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柏草" sheetId="1" r:id="rId5"/>
    <sheet state="visible" name="胡草" sheetId="2" r:id="rId6"/>
    <sheet state="visible" name="芸草" sheetId="3" r:id="rId7"/>
    <sheet state="visible" name="吳草" sheetId="4" r:id="rId8"/>
    <sheet state="visible" name="蕭草" sheetId="5" r:id="rId9"/>
    <sheet state="visible" name="俐草" sheetId="6" r:id="rId10"/>
    <sheet state="visible" name="資產流向表" sheetId="7" r:id="rId11"/>
    <sheet state="visible" name="分帳用" sheetId="8" r:id="rId12"/>
  </sheets>
  <definedNames>
    <definedName localSheetId="0" name="柏草">'柏草'!$A$1</definedName>
    <definedName name="柏草">#REF!</definedName>
  </definedNames>
  <calcPr/>
</workbook>
</file>

<file path=xl/sharedStrings.xml><?xml version="1.0" encoding="utf-8"?>
<sst xmlns="http://schemas.openxmlformats.org/spreadsheetml/2006/main" count="2127" uniqueCount="196">
  <si>
    <t>日期</t>
  </si>
  <si>
    <t>草</t>
  </si>
  <si>
    <t>匯率</t>
  </si>
  <si>
    <t>成本</t>
  </si>
  <si>
    <t>應收</t>
  </si>
  <si>
    <t>利潤</t>
  </si>
  <si>
    <t>收帳</t>
  </si>
  <si>
    <t>欠款</t>
  </si>
  <si>
    <t>備註</t>
  </si>
  <si>
    <t>阿信</t>
  </si>
  <si>
    <t>轉陳</t>
  </si>
  <si>
    <t>轉許</t>
  </si>
  <si>
    <t>蕎</t>
  </si>
  <si>
    <t>薪</t>
  </si>
  <si>
    <t>信</t>
  </si>
  <si>
    <t>陳</t>
  </si>
  <si>
    <t>轉台北</t>
  </si>
  <si>
    <t>陳現</t>
  </si>
  <si>
    <t>許收俊豪</t>
  </si>
  <si>
    <t>陳收轉帳</t>
  </si>
  <si>
    <t>陳收現</t>
  </si>
  <si>
    <t>俊豪</t>
  </si>
  <si>
    <t>轉000</t>
  </si>
  <si>
    <t>陳收阿信</t>
  </si>
  <si>
    <t>陳收蕎蕎</t>
  </si>
  <si>
    <t>林現</t>
  </si>
  <si>
    <t>陳收現蕎</t>
  </si>
  <si>
    <t>轉慈</t>
  </si>
  <si>
    <t>轉林</t>
  </si>
  <si>
    <t>許收阿信</t>
  </si>
  <si>
    <t>陳收蕎</t>
  </si>
  <si>
    <t>誤差校正</t>
  </si>
  <si>
    <t>原為892839</t>
  </si>
  <si>
    <t>誤差</t>
  </si>
  <si>
    <t>2/25</t>
  </si>
  <si>
    <t>2026/02/26</t>
  </si>
  <si>
    <t>2026/02/28</t>
  </si>
  <si>
    <t>2026/03/01</t>
  </si>
  <si>
    <t>2026/03/03</t>
  </si>
  <si>
    <t>2026/03/05</t>
  </si>
  <si>
    <t>2026/03/06</t>
  </si>
  <si>
    <t>2026/03/07</t>
  </si>
  <si>
    <t>2026/03/08</t>
  </si>
  <si>
    <t>2026/03/10</t>
  </si>
  <si>
    <t>2026/03/16</t>
  </si>
  <si>
    <t>2026/03/17</t>
  </si>
  <si>
    <t>2026/03/19</t>
  </si>
  <si>
    <t>2026/03/20</t>
  </si>
  <si>
    <t>2026/03/21</t>
  </si>
  <si>
    <t>2026/03/22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</si>
  <si>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</si>
  <si>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</si>
  <si>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</si>
  <si>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</si>
  <si>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</si>
  <si>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</si>
  <si>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</si>
  <si>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</si>
  <si>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2026/04/04</t>
  </si>
  <si>
    <t>2026/04/05</t>
  </si>
  <si>
    <t>2026/04/07</t>
  </si>
  <si>
    <t>2026/04/09</t>
  </si>
  <si>
    <t>2026/04/12</t>
  </si>
  <si>
    <t>2026/04/13</t>
  </si>
  <si>
    <t>2026/04/14</t>
  </si>
  <si>
    <t>2026/04/15</t>
  </si>
  <si>
    <t>2026/04/17</t>
  </si>
  <si>
    <t>2026/04/19</t>
  </si>
  <si>
    <t>2026/04/23</t>
  </si>
  <si>
    <t>2026/04/27</t>
  </si>
  <si>
    <t>2026/04/29</t>
  </si>
  <si>
    <t>2026/05/03</t>
  </si>
  <si>
    <t>2026/05/04</t>
  </si>
  <si>
    <t>2026/05/06</t>
  </si>
  <si>
    <t>2026/05/07</t>
  </si>
  <si>
    <t>2026/05/12</t>
  </si>
  <si>
    <t>2026/05/17</t>
  </si>
  <si>
    <t>2026/05/19</t>
  </si>
  <si>
    <t>2026/05/20</t>
  </si>
  <si>
    <t>2026/05/22</t>
  </si>
  <si>
    <t>2026/05/24</t>
  </si>
  <si>
    <t>2026/05/25</t>
  </si>
  <si>
    <t>2026/05/27</t>
  </si>
  <si>
    <t>2026/05/28</t>
  </si>
  <si>
    <t>2026/05/30</t>
  </si>
  <si>
    <t>2026/05/31</t>
  </si>
  <si>
    <t>現林</t>
  </si>
  <si>
    <t>現陳</t>
  </si>
  <si>
    <t>2026/05/16</t>
  </si>
  <si>
    <t>2026/05/18</t>
  </si>
  <si>
    <t>2026/05/23</t>
  </si>
  <si>
    <t>轉家銘</t>
  </si>
  <si>
    <t>2026/03/04</t>
  </si>
  <si>
    <t>2026/03/18</t>
  </si>
  <si>
    <t>2026/04/03</t>
  </si>
  <si>
    <t>2026/04/08</t>
  </si>
  <si>
    <t>2026/05/26</t>
  </si>
  <si>
    <t>陳收</t>
  </si>
  <si>
    <t>轉符策佳</t>
  </si>
  <si>
    <t>給000現</t>
  </si>
  <si>
    <t>林收現</t>
  </si>
  <si>
    <t>儲值草</t>
  </si>
  <si>
    <t>花費</t>
  </si>
  <si>
    <t>剩餘</t>
  </si>
  <si>
    <t xml:space="preserve"> 類別</t>
  </si>
  <si>
    <t xml:space="preserve"> 對象/客戶</t>
  </si>
  <si>
    <t xml:space="preserve"> 草</t>
  </si>
  <si>
    <t xml:space="preserve"> 匯率</t>
  </si>
  <si>
    <t xml:space="preserve"> 台</t>
  </si>
  <si>
    <t xml:space="preserve"> 動作</t>
  </si>
  <si>
    <t>5/31</t>
  </si>
  <si>
    <t>持有台</t>
  </si>
  <si>
    <t>6186台</t>
  </si>
  <si>
    <t>0107台</t>
  </si>
  <si>
    <t>7773台</t>
  </si>
  <si>
    <t>未收回台</t>
  </si>
  <si>
    <t>應有台</t>
  </si>
  <si>
    <t>持有草</t>
  </si>
  <si>
    <t>6186草</t>
  </si>
  <si>
    <t>0107草</t>
  </si>
  <si>
    <t>7773草</t>
  </si>
  <si>
    <t>俐欠草</t>
  </si>
  <si>
    <t>應有草</t>
  </si>
  <si>
    <t>平均匯率</t>
  </si>
  <si>
    <t>類別</t>
  </si>
  <si>
    <t>對象/客戶</t>
  </si>
  <si>
    <t>台</t>
  </si>
  <si>
    <t>出帳戶</t>
  </si>
  <si>
    <t>入帳戶</t>
  </si>
  <si>
    <t>售出</t>
  </si>
  <si>
    <t>柏草</t>
  </si>
  <si>
    <t>胡草</t>
  </si>
  <si>
    <t>吳草</t>
  </si>
  <si>
    <t>芸草</t>
  </si>
  <si>
    <t>內轉</t>
  </si>
  <si>
    <t>買入</t>
  </si>
  <si>
    <t>4</t>
  </si>
  <si>
    <t>1860</t>
  </si>
  <si>
    <t>蕭草</t>
  </si>
  <si>
    <t>三口元</t>
  </si>
  <si>
    <t>20000</t>
  </si>
  <si>
    <t>旅遊散戶</t>
  </si>
  <si>
    <t>2026/04/10</t>
  </si>
  <si>
    <t>增資</t>
  </si>
  <si>
    <t>林</t>
  </si>
  <si>
    <t>kai</t>
  </si>
  <si>
    <t>yii</t>
  </si>
  <si>
    <t>周</t>
  </si>
  <si>
    <t>4.73</t>
  </si>
  <si>
    <t>159</t>
  </si>
  <si>
    <t>YII</t>
  </si>
  <si>
    <t>TSAI</t>
  </si>
  <si>
    <t>已記</t>
  </si>
  <si>
    <t>謝偉</t>
  </si>
  <si>
    <t>許</t>
  </si>
  <si>
    <t>沅沅</t>
  </si>
  <si>
    <t>曾</t>
  </si>
  <si>
    <t>散客紀錄</t>
  </si>
  <si>
    <t>利潤金額</t>
  </si>
  <si>
    <t>拆帳日期</t>
  </si>
  <si>
    <t>拆帳金額</t>
  </si>
  <si>
    <t>已拆總額</t>
  </si>
  <si>
    <t>胡</t>
  </si>
  <si>
    <t>芸</t>
  </si>
  <si>
    <t>吳</t>
  </si>
  <si>
    <t>晴</t>
  </si>
  <si>
    <t>蕭</t>
  </si>
  <si>
    <t>希</t>
  </si>
  <si>
    <t>彥現金</t>
  </si>
  <si>
    <t>林現金</t>
  </si>
  <si>
    <t>番薯</t>
  </si>
  <si>
    <t>均現金</t>
  </si>
  <si>
    <t>腰</t>
  </si>
  <si>
    <t>均草換台</t>
  </si>
  <si>
    <t>蓁</t>
  </si>
  <si>
    <t>林草換台</t>
  </si>
  <si>
    <t>1350草</t>
  </si>
  <si>
    <t>孫</t>
  </si>
  <si>
    <t>林欠公司草換台</t>
  </si>
  <si>
    <t>13956草</t>
  </si>
  <si>
    <t>公司欠林</t>
  </si>
  <si>
    <t>例岑草換台</t>
  </si>
  <si>
    <t>資金</t>
  </si>
  <si>
    <t>報稅</t>
  </si>
  <si>
    <t>咖啡</t>
  </si>
  <si>
    <t>欠OAK</t>
  </si>
  <si>
    <t>臻</t>
  </si>
  <si>
    <t>曾姊</t>
  </si>
  <si>
    <t>憲</t>
  </si>
  <si>
    <t>陳偉霆</t>
  </si>
  <si>
    <t xml:space="preserve"> </t>
  </si>
  <si>
    <t>彥草</t>
  </si>
  <si>
    <t>總計</t>
  </si>
  <si>
    <t>送花</t>
  </si>
  <si>
    <t>拆</t>
  </si>
  <si>
    <t>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</si>
</sst>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¥]#,##0"/>
    <numFmt numFmtId="165" formatCode="#,##0.00;(#,##0.00)"/>
    <numFmt numFmtId="166" formatCode="[$NT$-404]#,##0"/>
    <numFmt numFmtId="167" formatCode="[$$]#,##0"/>
    <numFmt numFmtId="168" formatCode="m/d"/>
    <numFmt numFmtId="169" formatCode="yyyy/mm/dd"/>
    <numFmt numFmtId="170" formatCode="#,##0[$$]"/>
    <numFmt numFmtId="171" formatCode="[$¥]#,##0.00"/>
  </numFmts>
  <fonts count="14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rgb="FF000000"/>
      <name val="&quot;Google Sans Text&quot;"/>
    </font>
    <font>
      <sz val="14.0"/>
      <color theme="1"/>
      <name val="Arial"/>
      <scheme val="minor"/>
    </font>
    <font>
      <b/>
      <sz val="14.0"/>
      <color rgb="FFCC4125"/>
      <name val="&quot;Google Sans Text&quot;"/>
    </font>
    <font>
      <sz val="14.0"/>
      <color rgb="FFFFFFFF"/>
      <name val="Arial"/>
      <scheme val="minor"/>
    </font>
    <font>
      <sz val="14.0"/>
      <color rgb="FFFFFF00"/>
      <name val="Arial"/>
      <scheme val="minor"/>
    </font>
    <font>
      <b/>
      <sz val="14.0"/>
      <color rgb="FFFFFFFF"/>
      <name val="Arial"/>
      <scheme val="minor"/>
    </font>
    <font>
      <sz val="14.0"/>
      <color rgb="FF00FFFF"/>
      <name val="Arial"/>
      <scheme val="minor"/>
    </font>
    <font>
      <sz val="14.0"/>
      <color rgb="FF00FF00"/>
      <name val="Arial"/>
      <scheme val="minor"/>
    </font>
    <font>
      <sz val="14.0"/>
      <color rgb="FFFFFFFF"/>
      <name val="&quot;Google Sans Text&quot;"/>
    </font>
    <font>
      <b/>
      <sz val="14.0"/>
      <color theme="1"/>
      <name val="Arial"/>
      <scheme val="minor"/>
    </font>
    <font>
      <sz val="14.0"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3">
    <border/>
    <border>
      <left style="double">
        <color rgb="FF000000"/>
      </left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8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5" xfId="0" applyFont="1" applyNumberFormat="1"/>
    <xf borderId="0" fillId="0" fontId="1" numFmtId="14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169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49" xfId="0" applyAlignment="1" applyFont="1" applyNumberFormat="1">
      <alignment horizontal="center" readingOrder="0"/>
    </xf>
    <xf borderId="0" fillId="0" fontId="1" numFmtId="17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70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70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70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14" xfId="0" applyAlignment="1" applyFont="1" applyNumberFormat="1">
      <alignment horizontal="center" readingOrder="0"/>
    </xf>
    <xf borderId="0" fillId="0" fontId="2" numFmtId="164" xfId="0" applyFont="1" applyNumberFormat="1"/>
    <xf borderId="0" fillId="0" fontId="2" numFmtId="170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1" numFmtId="166" xfId="0" applyFont="1" applyNumberFormat="1"/>
    <xf borderId="0" fillId="2" fontId="1" numFmtId="49" xfId="0" applyAlignment="1" applyFill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2" fontId="1" numFmtId="166" xfId="0" applyAlignment="1" applyFont="1" applyNumberFormat="1">
      <alignment horizontal="center"/>
    </xf>
    <xf borderId="0" fillId="2" fontId="1" numFmtId="167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166" xfId="0" applyAlignment="1" applyFont="1" applyNumberFormat="1">
      <alignment horizontal="center" readingOrder="0"/>
    </xf>
    <xf borderId="0" fillId="0" fontId="1" numFmtId="171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0" fontId="2" numFmtId="171" xfId="0" applyAlignment="1" applyFont="1" applyNumberFormat="1">
      <alignment horizontal="center" readingOrder="0"/>
    </xf>
    <xf borderId="0" fillId="0" fontId="2" numFmtId="171" xfId="0" applyAlignment="1" applyFont="1" applyNumberFormat="1">
      <alignment horizontal="center"/>
    </xf>
    <xf borderId="0" fillId="3" fontId="3" numFmtId="49" xfId="0" applyAlignment="1" applyFill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3" fontId="5" numFmtId="49" xfId="0" applyAlignment="1" applyFont="1" applyNumberFormat="1">
      <alignment horizontal="center" readingOrder="0" vertical="center"/>
    </xf>
    <xf borderId="0" fillId="4" fontId="6" numFmtId="49" xfId="0" applyAlignment="1" applyFill="1" applyFont="1" applyNumberFormat="1">
      <alignment horizontal="center" readingOrder="0" vertical="center"/>
    </xf>
    <xf borderId="0" fillId="4" fontId="7" numFmtId="49" xfId="0" applyAlignment="1" applyFont="1" applyNumberForma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0" fillId="5" fontId="9" numFmtId="170" xfId="0" applyAlignment="1" applyFont="1" applyNumberFormat="1">
      <alignment horizontal="center" readingOrder="0" vertical="center"/>
    </xf>
    <xf borderId="0" fillId="5" fontId="6" numFmtId="170" xfId="0" applyAlignment="1" applyFont="1" applyNumberFormat="1">
      <alignment horizontal="center" readingOrder="0" vertical="center"/>
    </xf>
    <xf borderId="0" fillId="5" fontId="10" numFmtId="170" xfId="0" applyAlignment="1" applyFont="1" applyNumberFormat="1">
      <alignment horizontal="center" readingOrder="0" vertical="center"/>
    </xf>
    <xf borderId="0" fillId="4" fontId="11" numFmtId="49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vertical="center"/>
    </xf>
    <xf borderId="0" fillId="5" fontId="9" numFmtId="171" xfId="0" applyAlignment="1" applyFont="1" applyNumberFormat="1">
      <alignment horizontal="center" readingOrder="0" vertical="center"/>
    </xf>
    <xf borderId="0" fillId="5" fontId="6" numFmtId="171" xfId="0" applyAlignment="1" applyFont="1" applyNumberFormat="1">
      <alignment horizontal="center" readingOrder="0" vertical="center"/>
    </xf>
    <xf borderId="0" fillId="5" fontId="10" numFmtId="171" xfId="0" applyAlignment="1" applyFont="1" applyNumberFormat="1">
      <alignment horizontal="center" readingOrder="0" vertical="center"/>
    </xf>
    <xf borderId="0" fillId="6" fontId="12" numFmtId="49" xfId="0" applyAlignment="1" applyFill="1" applyFont="1" applyNumberForma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49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vertical="center"/>
    </xf>
    <xf borderId="0" fillId="0" fontId="13" numFmtId="49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3" numFmtId="49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vertical="center"/>
    </xf>
    <xf borderId="1" fillId="0" fontId="1" numFmtId="166" xfId="0" applyAlignment="1" applyBorder="1" applyFont="1" applyNumberFormat="1">
      <alignment horizontal="center" readingOrder="0" vertical="center"/>
    </xf>
    <xf borderId="2" fillId="0" fontId="1" numFmtId="166" xfId="0" applyAlignment="1" applyBorder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168" xfId="0" applyAlignment="1" applyFont="1" applyNumberFormat="1">
      <alignment horizontal="center" readingOrder="0" vertical="center"/>
    </xf>
    <xf borderId="1" fillId="0" fontId="1" numFmtId="168" xfId="0" applyAlignment="1" applyBorder="1" applyFont="1" applyNumberFormat="1">
      <alignment horizontal="center" readingOrder="0" vertical="center"/>
    </xf>
    <xf borderId="1" fillId="0" fontId="1" numFmtId="166" xfId="0" applyAlignment="1" applyBorder="1" applyFont="1" applyNumberFormat="1">
      <alignment horizontal="center" vertical="center"/>
    </xf>
    <xf borderId="2" fillId="0" fontId="1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219075</xdr:colOff>
      <xdr:row>1</xdr:row>
      <xdr:rowOff>38100</xdr:rowOff>
    </xdr:from>
    <xdr:ext cx="819150" cy="295275"/>
    <xdr:sp>
      <xdr:nvSpPr>
        <xdr:cNvPr id="3" name="Shape 3"/>
        <xdr:cNvSpPr/>
      </xdr:nvSpPr>
      <xdr:spPr>
        <a:xfrm>
          <a:off x="2650375" y="1320725"/>
          <a:ext cx="1471800" cy="5076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latin typeface="Microsoft JhengHei"/>
              <a:ea typeface="Microsoft JhengHei"/>
              <a:cs typeface="Microsoft JhengHei"/>
              <a:sym typeface="Microsoft JhengHei"/>
            </a:rPr>
            <a:t>確認送出</a:t>
          </a:r>
          <a:endParaRPr b="1" sz="2000">
            <a:latin typeface="Microsoft JhengHei"/>
            <a:ea typeface="Microsoft JhengHei"/>
            <a:cs typeface="Microsoft JhengHei"/>
            <a:sym typeface="Microsoft JhengHei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3.38"/>
    <col customWidth="1" min="3" max="3" width="7.5"/>
    <col customWidth="1" min="4" max="4" width="9.88"/>
    <col customWidth="1" min="5" max="5" width="11.75"/>
    <col customWidth="1" min="6" max="6" width="9.88"/>
    <col customWidth="1" min="7" max="7" width="11.75"/>
    <col customWidth="1" min="8" max="8" width="19.63"/>
    <col customWidth="1" min="9" max="9" width="9.88"/>
  </cols>
  <sheetData>
    <row r="1" ht="19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1" t="s">
        <v>8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9.5" customHeight="1">
      <c r="A2" s="9"/>
      <c r="B2" s="2"/>
      <c r="C2" s="1"/>
      <c r="D2" s="1"/>
      <c r="E2" s="3"/>
      <c r="F2" s="10"/>
      <c r="G2" s="11"/>
      <c r="H2" s="1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9.5" customHeight="1">
      <c r="A3" s="9">
        <v>45708.0</v>
      </c>
      <c r="B3" s="13"/>
      <c r="C3" s="8"/>
      <c r="D3" s="14"/>
      <c r="E3" s="15"/>
      <c r="F3" s="10"/>
      <c r="G3" s="5"/>
      <c r="H3" s="6">
        <v>97924.0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9.5" customHeight="1">
      <c r="A4" s="9">
        <v>45711.0</v>
      </c>
      <c r="B4" s="2"/>
      <c r="C4" s="1"/>
      <c r="D4" s="14"/>
      <c r="E4" s="3">
        <f t="shared" ref="E4:E12" si="1">B4*C4</f>
        <v>0</v>
      </c>
      <c r="F4" s="10"/>
      <c r="G4" s="5">
        <v>100000.0</v>
      </c>
      <c r="H4" s="6">
        <f t="shared" ref="H4:H778" si="2">IF(ISBLANK(A4), "", H3 + E4 - G4)</f>
        <v>-2076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9.5" customHeight="1">
      <c r="A5" s="9">
        <v>45711.0</v>
      </c>
      <c r="B5" s="2">
        <v>22300.0</v>
      </c>
      <c r="C5" s="1">
        <v>4.58</v>
      </c>
      <c r="D5" s="14"/>
      <c r="E5" s="3">
        <f t="shared" si="1"/>
        <v>102134</v>
      </c>
      <c r="F5" s="10"/>
      <c r="G5" s="5"/>
      <c r="H5" s="6">
        <f t="shared" si="2"/>
        <v>100058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9.5" customHeight="1">
      <c r="A6" s="9">
        <v>45711.0</v>
      </c>
      <c r="B6" s="2">
        <v>5900.0</v>
      </c>
      <c r="C6" s="1">
        <v>4.58</v>
      </c>
      <c r="D6" s="14"/>
      <c r="E6" s="3">
        <f t="shared" si="1"/>
        <v>27022</v>
      </c>
      <c r="F6" s="10"/>
      <c r="G6" s="5"/>
      <c r="H6" s="6">
        <f t="shared" si="2"/>
        <v>127080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9.5" customHeight="1">
      <c r="A7" s="9">
        <v>45714.0</v>
      </c>
      <c r="B7" s="2">
        <v>31300.0</v>
      </c>
      <c r="C7" s="1">
        <v>4.58</v>
      </c>
      <c r="D7" s="14"/>
      <c r="E7" s="3">
        <f t="shared" si="1"/>
        <v>143354</v>
      </c>
      <c r="F7" s="10"/>
      <c r="G7" s="11"/>
      <c r="H7" s="6">
        <f t="shared" si="2"/>
        <v>270434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9.5" customHeight="1">
      <c r="A8" s="9">
        <v>45715.0</v>
      </c>
      <c r="B8" s="13"/>
      <c r="C8" s="8"/>
      <c r="D8" s="14"/>
      <c r="E8" s="3">
        <f t="shared" si="1"/>
        <v>0</v>
      </c>
      <c r="F8" s="10"/>
      <c r="G8" s="5">
        <v>150000.0</v>
      </c>
      <c r="H8" s="6">
        <f t="shared" si="2"/>
        <v>120434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9.5" customHeight="1">
      <c r="A9" s="9">
        <v>45716.0</v>
      </c>
      <c r="B9" s="2">
        <v>7500.0</v>
      </c>
      <c r="C9" s="1">
        <v>4.58</v>
      </c>
      <c r="D9" s="14"/>
      <c r="E9" s="3">
        <f t="shared" si="1"/>
        <v>34350</v>
      </c>
      <c r="F9" s="10"/>
      <c r="G9" s="11"/>
      <c r="H9" s="6">
        <f t="shared" si="2"/>
        <v>154784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9.5" customHeight="1">
      <c r="A10" s="9">
        <v>45716.0</v>
      </c>
      <c r="B10" s="2">
        <v>3200.0</v>
      </c>
      <c r="C10" s="1">
        <v>4.58</v>
      </c>
      <c r="D10" s="14"/>
      <c r="E10" s="3">
        <f t="shared" si="1"/>
        <v>14656</v>
      </c>
      <c r="F10" s="10"/>
      <c r="G10" s="11"/>
      <c r="H10" s="6">
        <f t="shared" si="2"/>
        <v>169440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9.5" customHeight="1">
      <c r="A11" s="9">
        <v>45717.0</v>
      </c>
      <c r="B11" s="2">
        <v>4600.0</v>
      </c>
      <c r="C11" s="1">
        <v>4.58</v>
      </c>
      <c r="D11" s="14"/>
      <c r="E11" s="3">
        <f t="shared" si="1"/>
        <v>21068</v>
      </c>
      <c r="F11" s="10"/>
      <c r="G11" s="11"/>
      <c r="H11" s="6">
        <f t="shared" si="2"/>
        <v>190508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9.5" customHeight="1">
      <c r="A12" s="9">
        <v>45717.0</v>
      </c>
      <c r="B12" s="2">
        <v>9700.0</v>
      </c>
      <c r="C12" s="1">
        <v>4.58</v>
      </c>
      <c r="D12" s="14"/>
      <c r="E12" s="3">
        <f t="shared" si="1"/>
        <v>44426</v>
      </c>
      <c r="F12" s="10"/>
      <c r="G12" s="11"/>
      <c r="H12" s="6">
        <f t="shared" si="2"/>
        <v>234934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9.5" customHeight="1">
      <c r="A13" s="9">
        <v>45717.0</v>
      </c>
      <c r="B13" s="2">
        <v>7749.0</v>
      </c>
      <c r="C13" s="1">
        <v>4.58</v>
      </c>
      <c r="D13" s="14"/>
      <c r="E13" s="3">
        <v>35491.0</v>
      </c>
      <c r="F13" s="10"/>
      <c r="G13" s="11"/>
      <c r="H13" s="6">
        <f t="shared" si="2"/>
        <v>270425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9.5" customHeight="1">
      <c r="A14" s="9">
        <v>45718.0</v>
      </c>
      <c r="B14" s="13"/>
      <c r="C14" s="8"/>
      <c r="D14" s="14"/>
      <c r="E14" s="3">
        <f t="shared" ref="E14:E20" si="3">B14*C14</f>
        <v>0</v>
      </c>
      <c r="F14" s="10"/>
      <c r="G14" s="5">
        <v>85000.0</v>
      </c>
      <c r="H14" s="6">
        <f t="shared" si="2"/>
        <v>185425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9.5" customHeight="1">
      <c r="A15" s="9">
        <v>45719.0</v>
      </c>
      <c r="B15" s="13"/>
      <c r="C15" s="8"/>
      <c r="D15" s="14"/>
      <c r="E15" s="3">
        <f t="shared" si="3"/>
        <v>0</v>
      </c>
      <c r="F15" s="10"/>
      <c r="G15" s="5">
        <v>50000.0</v>
      </c>
      <c r="H15" s="6">
        <f t="shared" si="2"/>
        <v>135425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9.5" customHeight="1">
      <c r="A16" s="9">
        <v>45720.0</v>
      </c>
      <c r="B16" s="13"/>
      <c r="C16" s="8"/>
      <c r="D16" s="14"/>
      <c r="E16" s="3">
        <f t="shared" si="3"/>
        <v>0</v>
      </c>
      <c r="F16" s="10"/>
      <c r="G16" s="5">
        <v>50000.0</v>
      </c>
      <c r="H16" s="6">
        <f t="shared" si="2"/>
        <v>85425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9.5" customHeight="1">
      <c r="A17" s="9">
        <v>45720.0</v>
      </c>
      <c r="B17" s="13"/>
      <c r="C17" s="8"/>
      <c r="D17" s="1"/>
      <c r="E17" s="3">
        <f t="shared" si="3"/>
        <v>0</v>
      </c>
      <c r="F17" s="4"/>
      <c r="G17" s="5">
        <v>70000.0</v>
      </c>
      <c r="H17" s="6">
        <f t="shared" si="2"/>
        <v>15425</v>
      </c>
      <c r="I17" s="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9.5" customHeight="1">
      <c r="A18" s="9">
        <v>45720.0</v>
      </c>
      <c r="B18" s="2">
        <v>500.0</v>
      </c>
      <c r="C18" s="1">
        <v>4.58</v>
      </c>
      <c r="D18" s="14"/>
      <c r="E18" s="3">
        <f t="shared" si="3"/>
        <v>2290</v>
      </c>
      <c r="F18" s="10"/>
      <c r="G18" s="11"/>
      <c r="H18" s="6">
        <f t="shared" si="2"/>
        <v>17715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9.5" customHeight="1">
      <c r="A19" s="9">
        <v>45721.0</v>
      </c>
      <c r="B19" s="2">
        <v>28100.0</v>
      </c>
      <c r="C19" s="1">
        <v>4.58</v>
      </c>
      <c r="D19" s="14"/>
      <c r="E19" s="3">
        <f t="shared" si="3"/>
        <v>128698</v>
      </c>
      <c r="F19" s="10"/>
      <c r="G19" s="11"/>
      <c r="H19" s="6">
        <f t="shared" si="2"/>
        <v>146413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9.5" customHeight="1">
      <c r="A20" s="9">
        <v>45722.0</v>
      </c>
      <c r="B20" s="2">
        <v>200.0</v>
      </c>
      <c r="C20" s="1">
        <v>4.58</v>
      </c>
      <c r="D20" s="14"/>
      <c r="E20" s="3">
        <f t="shared" si="3"/>
        <v>916</v>
      </c>
      <c r="F20" s="10"/>
      <c r="G20" s="11"/>
      <c r="H20" s="6">
        <f t="shared" si="2"/>
        <v>147329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9.5" customHeight="1">
      <c r="A21" s="9">
        <v>45722.0</v>
      </c>
      <c r="B21" s="2">
        <v>15790.0</v>
      </c>
      <c r="C21" s="1">
        <v>4.58</v>
      </c>
      <c r="D21" s="14"/>
      <c r="E21" s="3">
        <v>72319.0</v>
      </c>
      <c r="F21" s="10"/>
      <c r="G21" s="11"/>
      <c r="H21" s="6">
        <f t="shared" si="2"/>
        <v>219648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9.5" customHeight="1">
      <c r="A22" s="9">
        <v>45724.0</v>
      </c>
      <c r="B22" s="2">
        <v>200.0</v>
      </c>
      <c r="C22" s="1">
        <v>4.58</v>
      </c>
      <c r="D22" s="14"/>
      <c r="E22" s="3">
        <f t="shared" ref="E22:E97" si="4">B22*C22</f>
        <v>916</v>
      </c>
      <c r="F22" s="10"/>
      <c r="G22" s="11"/>
      <c r="H22" s="6">
        <f t="shared" si="2"/>
        <v>220564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9.5" customHeight="1">
      <c r="A23" s="9">
        <v>45724.0</v>
      </c>
      <c r="B23" s="2">
        <v>5000.0</v>
      </c>
      <c r="C23" s="1">
        <v>4.58</v>
      </c>
      <c r="D23" s="14"/>
      <c r="E23" s="3">
        <f t="shared" si="4"/>
        <v>22900</v>
      </c>
      <c r="F23" s="10"/>
      <c r="G23" s="11"/>
      <c r="H23" s="6">
        <f t="shared" si="2"/>
        <v>243464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9.5" customHeight="1">
      <c r="A24" s="9">
        <v>45725.0</v>
      </c>
      <c r="B24" s="2">
        <v>7000.0</v>
      </c>
      <c r="C24" s="1">
        <v>4.58</v>
      </c>
      <c r="D24" s="14"/>
      <c r="E24" s="3">
        <f t="shared" si="4"/>
        <v>32060</v>
      </c>
      <c r="F24" s="10"/>
      <c r="G24" s="11"/>
      <c r="H24" s="6">
        <f t="shared" si="2"/>
        <v>275524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9.5" customHeight="1">
      <c r="A25" s="9">
        <v>45725.0</v>
      </c>
      <c r="B25" s="2">
        <v>2700.0</v>
      </c>
      <c r="C25" s="1">
        <v>4.58</v>
      </c>
      <c r="D25" s="14"/>
      <c r="E25" s="3">
        <f t="shared" si="4"/>
        <v>12366</v>
      </c>
      <c r="F25" s="10"/>
      <c r="G25" s="11"/>
      <c r="H25" s="6">
        <f t="shared" si="2"/>
        <v>287890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9.5" customHeight="1">
      <c r="A26" s="9">
        <v>45725.0</v>
      </c>
      <c r="B26" s="2">
        <v>1280.0</v>
      </c>
      <c r="C26" s="1">
        <v>4.58</v>
      </c>
      <c r="D26" s="14"/>
      <c r="E26" s="3">
        <f t="shared" si="4"/>
        <v>5862.4</v>
      </c>
      <c r="F26" s="10"/>
      <c r="G26" s="11"/>
      <c r="H26" s="6">
        <f t="shared" si="2"/>
        <v>293752.4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9.5" customHeight="1">
      <c r="A27" s="9">
        <v>45725.0</v>
      </c>
      <c r="B27" s="13"/>
      <c r="C27" s="8"/>
      <c r="D27" s="14"/>
      <c r="E27" s="3">
        <f t="shared" si="4"/>
        <v>0</v>
      </c>
      <c r="F27" s="10"/>
      <c r="G27" s="5">
        <v>176000.0</v>
      </c>
      <c r="H27" s="6">
        <f t="shared" si="2"/>
        <v>117752.4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9.5" customHeight="1">
      <c r="A28" s="9">
        <v>45725.0</v>
      </c>
      <c r="B28" s="2">
        <v>20200.0</v>
      </c>
      <c r="C28" s="1">
        <v>4.58</v>
      </c>
      <c r="D28" s="14"/>
      <c r="E28" s="3">
        <f t="shared" si="4"/>
        <v>92516</v>
      </c>
      <c r="F28" s="10"/>
      <c r="G28" s="11"/>
      <c r="H28" s="6">
        <f t="shared" si="2"/>
        <v>210268.4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9.5" customHeight="1">
      <c r="A29" s="9">
        <v>45728.0</v>
      </c>
      <c r="B29" s="13"/>
      <c r="C29" s="8"/>
      <c r="D29" s="14"/>
      <c r="E29" s="3">
        <f t="shared" si="4"/>
        <v>0</v>
      </c>
      <c r="F29" s="10"/>
      <c r="G29" s="5">
        <v>200000.0</v>
      </c>
      <c r="H29" s="6">
        <f t="shared" si="2"/>
        <v>10268.4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9.5" customHeight="1">
      <c r="A30" s="9">
        <v>45729.0</v>
      </c>
      <c r="B30" s="2">
        <v>20600.0</v>
      </c>
      <c r="C30" s="1">
        <v>4.58</v>
      </c>
      <c r="D30" s="14"/>
      <c r="E30" s="3">
        <f t="shared" si="4"/>
        <v>94348</v>
      </c>
      <c r="F30" s="10"/>
      <c r="G30" s="11"/>
      <c r="H30" s="6">
        <f t="shared" si="2"/>
        <v>104616.4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9.5" customHeight="1">
      <c r="A31" s="9">
        <v>45729.0</v>
      </c>
      <c r="B31" s="2">
        <v>1700.0</v>
      </c>
      <c r="C31" s="1">
        <v>4.58</v>
      </c>
      <c r="D31" s="14"/>
      <c r="E31" s="3">
        <f t="shared" si="4"/>
        <v>7786</v>
      </c>
      <c r="F31" s="10"/>
      <c r="G31" s="11"/>
      <c r="H31" s="6">
        <f t="shared" si="2"/>
        <v>112402.4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9.5" customHeight="1">
      <c r="A32" s="9">
        <v>45729.0</v>
      </c>
      <c r="B32" s="2">
        <v>1700.0</v>
      </c>
      <c r="C32" s="1">
        <v>4.58</v>
      </c>
      <c r="D32" s="14"/>
      <c r="E32" s="3">
        <f t="shared" si="4"/>
        <v>7786</v>
      </c>
      <c r="F32" s="10"/>
      <c r="G32" s="11"/>
      <c r="H32" s="6">
        <f t="shared" si="2"/>
        <v>120188.4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9.5" customHeight="1">
      <c r="A33" s="9">
        <v>45730.0</v>
      </c>
      <c r="B33" s="2">
        <v>10900.0</v>
      </c>
      <c r="C33" s="1">
        <v>4.58</v>
      </c>
      <c r="D33" s="14"/>
      <c r="E33" s="3">
        <f t="shared" si="4"/>
        <v>49922</v>
      </c>
      <c r="F33" s="10"/>
      <c r="G33" s="11"/>
      <c r="H33" s="6">
        <f t="shared" si="2"/>
        <v>170110.4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9.5" customHeight="1">
      <c r="A34" s="9">
        <v>45731.0</v>
      </c>
      <c r="B34" s="2">
        <v>3999.0</v>
      </c>
      <c r="C34" s="1">
        <v>4.58</v>
      </c>
      <c r="D34" s="14"/>
      <c r="E34" s="3">
        <f t="shared" si="4"/>
        <v>18315.42</v>
      </c>
      <c r="F34" s="10"/>
      <c r="G34" s="11"/>
      <c r="H34" s="6">
        <f t="shared" si="2"/>
        <v>188425.82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9.5" customHeight="1">
      <c r="A35" s="9">
        <v>45733.0</v>
      </c>
      <c r="B35" s="13"/>
      <c r="C35" s="8"/>
      <c r="D35" s="14"/>
      <c r="E35" s="3">
        <f t="shared" si="4"/>
        <v>0</v>
      </c>
      <c r="F35" s="10"/>
      <c r="G35" s="5">
        <v>200000.0</v>
      </c>
      <c r="H35" s="6">
        <f t="shared" si="2"/>
        <v>-11574.18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9.5" customHeight="1">
      <c r="A36" s="9">
        <v>45733.0</v>
      </c>
      <c r="B36" s="2">
        <v>7000.0</v>
      </c>
      <c r="C36" s="1">
        <v>4.58</v>
      </c>
      <c r="D36" s="14"/>
      <c r="E36" s="3">
        <f t="shared" si="4"/>
        <v>32060</v>
      </c>
      <c r="F36" s="10"/>
      <c r="G36" s="11"/>
      <c r="H36" s="6">
        <f t="shared" si="2"/>
        <v>20485.82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9.5" customHeight="1">
      <c r="A37" s="9">
        <v>45733.0</v>
      </c>
      <c r="B37" s="2">
        <v>10500.0</v>
      </c>
      <c r="C37" s="1">
        <v>4.58</v>
      </c>
      <c r="D37" s="14"/>
      <c r="E37" s="3">
        <f t="shared" si="4"/>
        <v>48090</v>
      </c>
      <c r="F37" s="10"/>
      <c r="G37" s="11"/>
      <c r="H37" s="6">
        <f t="shared" si="2"/>
        <v>68575.82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9.5" customHeight="1">
      <c r="A38" s="9">
        <v>45733.0</v>
      </c>
      <c r="B38" s="2">
        <v>4500.0</v>
      </c>
      <c r="C38" s="1">
        <v>4.58</v>
      </c>
      <c r="D38" s="14"/>
      <c r="E38" s="3">
        <f t="shared" si="4"/>
        <v>20610</v>
      </c>
      <c r="F38" s="10"/>
      <c r="G38" s="11"/>
      <c r="H38" s="6">
        <f t="shared" si="2"/>
        <v>89185.82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9.5" customHeight="1">
      <c r="A39" s="9">
        <v>45734.0</v>
      </c>
      <c r="B39" s="2">
        <v>12000.0</v>
      </c>
      <c r="C39" s="1">
        <v>4.63</v>
      </c>
      <c r="D39" s="14"/>
      <c r="E39" s="3">
        <f t="shared" si="4"/>
        <v>55560</v>
      </c>
      <c r="F39" s="10"/>
      <c r="G39" s="11"/>
      <c r="H39" s="6">
        <f t="shared" si="2"/>
        <v>144745.82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9.5" customHeight="1">
      <c r="A40" s="9">
        <v>45734.0</v>
      </c>
      <c r="B40" s="2">
        <v>1900.0</v>
      </c>
      <c r="C40" s="1">
        <v>4.63</v>
      </c>
      <c r="D40" s="14"/>
      <c r="E40" s="3">
        <f t="shared" si="4"/>
        <v>8797</v>
      </c>
      <c r="F40" s="10"/>
      <c r="G40" s="11"/>
      <c r="H40" s="6">
        <f t="shared" si="2"/>
        <v>153542.82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9.5" customHeight="1">
      <c r="A41" s="9">
        <v>45735.0</v>
      </c>
      <c r="B41" s="2">
        <v>4799.0</v>
      </c>
      <c r="C41" s="1">
        <v>4.63</v>
      </c>
      <c r="D41" s="14"/>
      <c r="E41" s="3">
        <f t="shared" si="4"/>
        <v>22219.37</v>
      </c>
      <c r="F41" s="10"/>
      <c r="G41" s="11"/>
      <c r="H41" s="6">
        <f t="shared" si="2"/>
        <v>175762.19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9.5" customHeight="1">
      <c r="A42" s="9">
        <v>45735.0</v>
      </c>
      <c r="B42" s="13"/>
      <c r="C42" s="8"/>
      <c r="D42" s="14"/>
      <c r="E42" s="3">
        <f t="shared" si="4"/>
        <v>0</v>
      </c>
      <c r="F42" s="10"/>
      <c r="G42" s="5">
        <v>100000.0</v>
      </c>
      <c r="H42" s="6">
        <f t="shared" si="2"/>
        <v>75762.19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9.5" customHeight="1">
      <c r="A43" s="9">
        <v>45737.0</v>
      </c>
      <c r="B43" s="2">
        <v>4700.0</v>
      </c>
      <c r="C43" s="1">
        <v>4.63</v>
      </c>
      <c r="D43" s="14"/>
      <c r="E43" s="3">
        <f t="shared" si="4"/>
        <v>21761</v>
      </c>
      <c r="F43" s="10"/>
      <c r="G43" s="11"/>
      <c r="H43" s="6">
        <f t="shared" si="2"/>
        <v>97523.19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9.5" customHeight="1">
      <c r="A44" s="9">
        <v>45738.0</v>
      </c>
      <c r="B44" s="2">
        <v>8900.0</v>
      </c>
      <c r="C44" s="1">
        <v>4.63</v>
      </c>
      <c r="D44" s="14"/>
      <c r="E44" s="3">
        <f t="shared" si="4"/>
        <v>41207</v>
      </c>
      <c r="F44" s="10"/>
      <c r="G44" s="11"/>
      <c r="H44" s="6">
        <f t="shared" si="2"/>
        <v>138730.19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9.5" customHeight="1">
      <c r="A45" s="9">
        <v>45739.0</v>
      </c>
      <c r="B45" s="2">
        <v>12000.0</v>
      </c>
      <c r="C45" s="1">
        <v>4.63</v>
      </c>
      <c r="D45" s="14"/>
      <c r="E45" s="3">
        <f t="shared" si="4"/>
        <v>55560</v>
      </c>
      <c r="F45" s="10"/>
      <c r="G45" s="11"/>
      <c r="H45" s="6">
        <f t="shared" si="2"/>
        <v>194290.19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9.5" customHeight="1">
      <c r="A46" s="9">
        <v>45739.0</v>
      </c>
      <c r="B46" s="13"/>
      <c r="C46" s="8"/>
      <c r="D46" s="14"/>
      <c r="E46" s="3">
        <f t="shared" si="4"/>
        <v>0</v>
      </c>
      <c r="F46" s="10"/>
      <c r="G46" s="5">
        <v>100000.0</v>
      </c>
      <c r="H46" s="6">
        <f t="shared" si="2"/>
        <v>94290.19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9.5" customHeight="1">
      <c r="A47" s="9">
        <v>45740.0</v>
      </c>
      <c r="B47" s="13"/>
      <c r="C47" s="8"/>
      <c r="D47" s="14"/>
      <c r="E47" s="3">
        <f t="shared" si="4"/>
        <v>0</v>
      </c>
      <c r="F47" s="10"/>
      <c r="G47" s="5">
        <v>80000.0</v>
      </c>
      <c r="H47" s="6">
        <f t="shared" si="2"/>
        <v>14290.19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9.5" customHeight="1">
      <c r="A48" s="9">
        <v>45740.0</v>
      </c>
      <c r="B48" s="2">
        <v>17800.0</v>
      </c>
      <c r="C48" s="1">
        <v>4.63</v>
      </c>
      <c r="D48" s="14"/>
      <c r="E48" s="3">
        <f t="shared" si="4"/>
        <v>82414</v>
      </c>
      <c r="F48" s="10"/>
      <c r="G48" s="11"/>
      <c r="H48" s="6">
        <f t="shared" si="2"/>
        <v>96704.19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9.5" customHeight="1">
      <c r="A49" s="9">
        <v>45741.0</v>
      </c>
      <c r="B49" s="2">
        <v>5980.0</v>
      </c>
      <c r="C49" s="1">
        <v>4.63</v>
      </c>
      <c r="D49" s="14"/>
      <c r="E49" s="3">
        <f t="shared" si="4"/>
        <v>27687.4</v>
      </c>
      <c r="F49" s="10"/>
      <c r="G49" s="11"/>
      <c r="H49" s="6">
        <f t="shared" si="2"/>
        <v>124391.59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9.5" customHeight="1">
      <c r="A50" s="9">
        <v>45741.0</v>
      </c>
      <c r="B50" s="2">
        <v>11700.0</v>
      </c>
      <c r="C50" s="1">
        <v>4.63</v>
      </c>
      <c r="D50" s="14"/>
      <c r="E50" s="3">
        <f t="shared" si="4"/>
        <v>54171</v>
      </c>
      <c r="F50" s="10"/>
      <c r="G50" s="11"/>
      <c r="H50" s="6">
        <f t="shared" si="2"/>
        <v>178562.59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9.5" customHeight="1">
      <c r="A51" s="9">
        <v>45742.0</v>
      </c>
      <c r="B51" s="2">
        <v>8900.0</v>
      </c>
      <c r="C51" s="1">
        <v>4.63</v>
      </c>
      <c r="D51" s="14"/>
      <c r="E51" s="3">
        <f t="shared" si="4"/>
        <v>41207</v>
      </c>
      <c r="F51" s="10"/>
      <c r="G51" s="11"/>
      <c r="H51" s="6">
        <f t="shared" si="2"/>
        <v>219769.59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9.5" customHeight="1">
      <c r="A52" s="9">
        <v>45742.0</v>
      </c>
      <c r="B52" s="13"/>
      <c r="C52" s="8"/>
      <c r="D52" s="14"/>
      <c r="E52" s="3">
        <f t="shared" si="4"/>
        <v>0</v>
      </c>
      <c r="F52" s="10"/>
      <c r="G52" s="5">
        <v>100000.0</v>
      </c>
      <c r="H52" s="6">
        <f t="shared" si="2"/>
        <v>119769.59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9.5" customHeight="1">
      <c r="A53" s="9">
        <v>45743.0</v>
      </c>
      <c r="B53" s="13"/>
      <c r="C53" s="8"/>
      <c r="D53" s="14"/>
      <c r="E53" s="3">
        <f t="shared" si="4"/>
        <v>0</v>
      </c>
      <c r="F53" s="10"/>
      <c r="G53" s="5">
        <v>100000.0</v>
      </c>
      <c r="H53" s="6">
        <f t="shared" si="2"/>
        <v>19769.59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9.5" customHeight="1">
      <c r="A54" s="9">
        <v>45748.0</v>
      </c>
      <c r="B54" s="2">
        <v>100.0</v>
      </c>
      <c r="C54" s="1">
        <v>4.63</v>
      </c>
      <c r="D54" s="14"/>
      <c r="E54" s="3">
        <f t="shared" si="4"/>
        <v>463</v>
      </c>
      <c r="F54" s="10"/>
      <c r="G54" s="11"/>
      <c r="H54" s="6">
        <f t="shared" si="2"/>
        <v>20232.59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9.5" customHeight="1">
      <c r="A55" s="9">
        <v>45756.0</v>
      </c>
      <c r="B55" s="2">
        <v>100.0</v>
      </c>
      <c r="C55" s="1">
        <v>4.59</v>
      </c>
      <c r="D55" s="14"/>
      <c r="E55" s="3">
        <f t="shared" si="4"/>
        <v>459</v>
      </c>
      <c r="F55" s="10"/>
      <c r="G55" s="11"/>
      <c r="H55" s="6">
        <f t="shared" si="2"/>
        <v>20691.59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9.5" customHeight="1">
      <c r="A56" s="9">
        <v>45757.0</v>
      </c>
      <c r="B56" s="2">
        <v>5000.0</v>
      </c>
      <c r="C56" s="1">
        <v>4.59</v>
      </c>
      <c r="D56" s="14"/>
      <c r="E56" s="3">
        <f t="shared" si="4"/>
        <v>22950</v>
      </c>
      <c r="F56" s="10"/>
      <c r="G56" s="11"/>
      <c r="H56" s="6">
        <f t="shared" si="2"/>
        <v>43641.59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9.5" customHeight="1">
      <c r="A57" s="9">
        <v>45759.0</v>
      </c>
      <c r="B57" s="2">
        <v>4650.0</v>
      </c>
      <c r="C57" s="1">
        <v>4.59</v>
      </c>
      <c r="D57" s="14"/>
      <c r="E57" s="3">
        <f t="shared" si="4"/>
        <v>21343.5</v>
      </c>
      <c r="F57" s="10"/>
      <c r="G57" s="11"/>
      <c r="H57" s="6">
        <f t="shared" si="2"/>
        <v>64985.09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9.5" customHeight="1">
      <c r="A58" s="9">
        <v>45759.0</v>
      </c>
      <c r="B58" s="2">
        <v>100.0</v>
      </c>
      <c r="C58" s="1">
        <v>4.58</v>
      </c>
      <c r="D58" s="14"/>
      <c r="E58" s="3">
        <f t="shared" si="4"/>
        <v>458</v>
      </c>
      <c r="F58" s="10"/>
      <c r="G58" s="11"/>
      <c r="H58" s="6">
        <f t="shared" si="2"/>
        <v>65443.09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9.5" customHeight="1">
      <c r="A59" s="9">
        <v>45760.0</v>
      </c>
      <c r="B59" s="2">
        <v>100.0</v>
      </c>
      <c r="C59" s="1">
        <v>4.58</v>
      </c>
      <c r="D59" s="14"/>
      <c r="E59" s="3">
        <f t="shared" si="4"/>
        <v>458</v>
      </c>
      <c r="F59" s="10"/>
      <c r="G59" s="11"/>
      <c r="H59" s="6">
        <f t="shared" si="2"/>
        <v>65901.09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9.5" customHeight="1">
      <c r="A60" s="9">
        <v>45766.0</v>
      </c>
      <c r="B60" s="2">
        <v>2800.0</v>
      </c>
      <c r="C60" s="1">
        <v>4.6</v>
      </c>
      <c r="D60" s="14"/>
      <c r="E60" s="3">
        <f t="shared" si="4"/>
        <v>12880</v>
      </c>
      <c r="F60" s="10"/>
      <c r="G60" s="11"/>
      <c r="H60" s="6">
        <f t="shared" si="2"/>
        <v>78781.09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9.5" customHeight="1">
      <c r="A61" s="9">
        <v>45770.0</v>
      </c>
      <c r="B61" s="13"/>
      <c r="C61" s="8"/>
      <c r="D61" s="14"/>
      <c r="E61" s="3">
        <f t="shared" si="4"/>
        <v>0</v>
      </c>
      <c r="F61" s="10"/>
      <c r="G61" s="5">
        <v>79000.0</v>
      </c>
      <c r="H61" s="6">
        <f t="shared" si="2"/>
        <v>-218.91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9.5" customHeight="1">
      <c r="A62" s="9">
        <v>45778.0</v>
      </c>
      <c r="B62" s="2">
        <v>12800.0</v>
      </c>
      <c r="C62" s="1">
        <v>4.52</v>
      </c>
      <c r="D62" s="14"/>
      <c r="E62" s="3">
        <f t="shared" si="4"/>
        <v>57856</v>
      </c>
      <c r="F62" s="10"/>
      <c r="G62" s="11"/>
      <c r="H62" s="6">
        <f t="shared" si="2"/>
        <v>57637.09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9.5" customHeight="1">
      <c r="A63" s="9">
        <v>45778.0</v>
      </c>
      <c r="B63" s="2">
        <v>5700.0</v>
      </c>
      <c r="C63" s="1">
        <v>4.52</v>
      </c>
      <c r="D63" s="14"/>
      <c r="E63" s="3">
        <f t="shared" si="4"/>
        <v>25764</v>
      </c>
      <c r="F63" s="10"/>
      <c r="G63" s="11"/>
      <c r="H63" s="6">
        <f t="shared" si="2"/>
        <v>83401.09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9.5" customHeight="1">
      <c r="A64" s="9">
        <v>45778.0</v>
      </c>
      <c r="B64" s="2">
        <v>8800.0</v>
      </c>
      <c r="C64" s="1">
        <v>4.52</v>
      </c>
      <c r="D64" s="14"/>
      <c r="E64" s="3">
        <f t="shared" si="4"/>
        <v>39776</v>
      </c>
      <c r="F64" s="10"/>
      <c r="G64" s="11"/>
      <c r="H64" s="6">
        <f t="shared" si="2"/>
        <v>123177.09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9.5" customHeight="1">
      <c r="A65" s="9">
        <v>45780.0</v>
      </c>
      <c r="B65" s="2">
        <v>9100.0</v>
      </c>
      <c r="C65" s="1">
        <v>4.5</v>
      </c>
      <c r="D65" s="14"/>
      <c r="E65" s="3">
        <f t="shared" si="4"/>
        <v>40950</v>
      </c>
      <c r="F65" s="10"/>
      <c r="G65" s="11"/>
      <c r="H65" s="6">
        <f t="shared" si="2"/>
        <v>164127.09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9.5" customHeight="1">
      <c r="A66" s="9">
        <v>45780.0</v>
      </c>
      <c r="B66" s="2">
        <v>300.0</v>
      </c>
      <c r="C66" s="1">
        <v>4.45</v>
      </c>
      <c r="D66" s="14"/>
      <c r="E66" s="3">
        <f t="shared" si="4"/>
        <v>1335</v>
      </c>
      <c r="F66" s="10"/>
      <c r="G66" s="11"/>
      <c r="H66" s="6">
        <f t="shared" si="2"/>
        <v>165462.09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9.5" customHeight="1">
      <c r="A67" s="9">
        <v>45780.0</v>
      </c>
      <c r="B67" s="2">
        <v>9000.0</v>
      </c>
      <c r="C67" s="1">
        <v>4.45</v>
      </c>
      <c r="D67" s="14"/>
      <c r="E67" s="3">
        <f t="shared" si="4"/>
        <v>40050</v>
      </c>
      <c r="F67" s="10"/>
      <c r="G67" s="11"/>
      <c r="H67" s="6">
        <f t="shared" si="2"/>
        <v>205512.09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9.5" customHeight="1">
      <c r="A68" s="9">
        <v>45782.0</v>
      </c>
      <c r="B68" s="2">
        <v>2599.0</v>
      </c>
      <c r="C68" s="1">
        <v>4.45</v>
      </c>
      <c r="D68" s="14"/>
      <c r="E68" s="3">
        <f t="shared" si="4"/>
        <v>11565.55</v>
      </c>
      <c r="F68" s="10"/>
      <c r="G68" s="11"/>
      <c r="H68" s="6">
        <f t="shared" si="2"/>
        <v>217077.64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9.5" customHeight="1">
      <c r="A69" s="9">
        <v>45782.0</v>
      </c>
      <c r="B69" s="2">
        <v>9200.0</v>
      </c>
      <c r="C69" s="1">
        <v>4.3</v>
      </c>
      <c r="D69" s="14"/>
      <c r="E69" s="3">
        <f t="shared" si="4"/>
        <v>39560</v>
      </c>
      <c r="F69" s="10"/>
      <c r="G69" s="5"/>
      <c r="H69" s="6">
        <f t="shared" si="2"/>
        <v>256637.64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9.5" customHeight="1">
      <c r="A70" s="9">
        <v>45782.0</v>
      </c>
      <c r="B70" s="13"/>
      <c r="C70" s="8"/>
      <c r="D70" s="14"/>
      <c r="E70" s="3">
        <f t="shared" si="4"/>
        <v>0</v>
      </c>
      <c r="F70" s="10"/>
      <c r="G70" s="5">
        <v>100000.0</v>
      </c>
      <c r="H70" s="6">
        <f t="shared" si="2"/>
        <v>156637.64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9.5" customHeight="1">
      <c r="A71" s="9">
        <v>45783.0</v>
      </c>
      <c r="B71" s="13"/>
      <c r="C71" s="8"/>
      <c r="D71" s="14"/>
      <c r="E71" s="3">
        <f t="shared" si="4"/>
        <v>0</v>
      </c>
      <c r="F71" s="10"/>
      <c r="G71" s="5">
        <v>100000.0</v>
      </c>
      <c r="H71" s="6">
        <f t="shared" si="2"/>
        <v>56637.64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9.5" customHeight="1">
      <c r="A72" s="9">
        <v>45783.0</v>
      </c>
      <c r="B72" s="2">
        <v>11800.0</v>
      </c>
      <c r="C72" s="1">
        <v>4.3</v>
      </c>
      <c r="D72" s="14"/>
      <c r="E72" s="3">
        <f t="shared" si="4"/>
        <v>50740</v>
      </c>
      <c r="F72" s="10"/>
      <c r="G72" s="11"/>
      <c r="H72" s="6">
        <f t="shared" si="2"/>
        <v>107377.64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9.5" customHeight="1">
      <c r="A73" s="9">
        <v>45783.0</v>
      </c>
      <c r="B73" s="2">
        <v>8800.0</v>
      </c>
      <c r="C73" s="1">
        <v>4.3</v>
      </c>
      <c r="D73" s="14"/>
      <c r="E73" s="3">
        <f t="shared" si="4"/>
        <v>37840</v>
      </c>
      <c r="F73" s="10"/>
      <c r="G73" s="11"/>
      <c r="H73" s="6">
        <f t="shared" si="2"/>
        <v>145217.64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9.5" customHeight="1">
      <c r="A74" s="9">
        <v>45783.0</v>
      </c>
      <c r="B74" s="2">
        <v>6999.0</v>
      </c>
      <c r="C74" s="1">
        <v>4.3</v>
      </c>
      <c r="D74" s="14"/>
      <c r="E74" s="3">
        <f t="shared" si="4"/>
        <v>30095.7</v>
      </c>
      <c r="F74" s="10"/>
      <c r="G74" s="11"/>
      <c r="H74" s="6">
        <f t="shared" si="2"/>
        <v>175313.34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9.5" customHeight="1">
      <c r="A75" s="9">
        <v>45783.0</v>
      </c>
      <c r="B75" s="2">
        <v>15700.0</v>
      </c>
      <c r="C75" s="1">
        <v>4.3</v>
      </c>
      <c r="D75" s="14"/>
      <c r="E75" s="3">
        <f t="shared" si="4"/>
        <v>67510</v>
      </c>
      <c r="F75" s="10"/>
      <c r="G75" s="11"/>
      <c r="H75" s="6">
        <f t="shared" si="2"/>
        <v>242823.34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9.5" customHeight="1">
      <c r="A76" s="9">
        <v>45785.0</v>
      </c>
      <c r="B76" s="2">
        <v>7900.0</v>
      </c>
      <c r="C76" s="1">
        <v>4.3</v>
      </c>
      <c r="D76" s="14"/>
      <c r="E76" s="3">
        <f t="shared" si="4"/>
        <v>33970</v>
      </c>
      <c r="F76" s="10"/>
      <c r="G76" s="11"/>
      <c r="H76" s="6">
        <f t="shared" si="2"/>
        <v>276793.34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9.5" customHeight="1">
      <c r="A77" s="9">
        <v>45785.0</v>
      </c>
      <c r="B77" s="2">
        <v>4600.0</v>
      </c>
      <c r="C77" s="1">
        <v>4.31</v>
      </c>
      <c r="D77" s="14"/>
      <c r="E77" s="3">
        <f t="shared" si="4"/>
        <v>19826</v>
      </c>
      <c r="F77" s="10"/>
      <c r="G77" s="11"/>
      <c r="H77" s="6">
        <f t="shared" si="2"/>
        <v>296619.34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9.5" customHeight="1">
      <c r="A78" s="9">
        <v>45785.0</v>
      </c>
      <c r="B78" s="2">
        <v>8300.0</v>
      </c>
      <c r="C78" s="1">
        <v>4.31</v>
      </c>
      <c r="D78" s="14"/>
      <c r="E78" s="3">
        <f t="shared" si="4"/>
        <v>35773</v>
      </c>
      <c r="F78" s="10"/>
      <c r="G78" s="11"/>
      <c r="H78" s="6">
        <f t="shared" si="2"/>
        <v>332392.34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9.5" customHeight="1">
      <c r="A79" s="9">
        <v>45786.0</v>
      </c>
      <c r="B79" s="13"/>
      <c r="C79" s="8"/>
      <c r="D79" s="14"/>
      <c r="E79" s="3">
        <f t="shared" si="4"/>
        <v>0</v>
      </c>
      <c r="F79" s="10"/>
      <c r="G79" s="5">
        <v>130446.0</v>
      </c>
      <c r="H79" s="6">
        <f t="shared" si="2"/>
        <v>201946.34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9.5" customHeight="1">
      <c r="A80" s="9">
        <v>45787.0</v>
      </c>
      <c r="B80" s="2">
        <v>2999.0</v>
      </c>
      <c r="C80" s="1">
        <v>4.31</v>
      </c>
      <c r="D80" s="14"/>
      <c r="E80" s="3">
        <f t="shared" si="4"/>
        <v>12925.69</v>
      </c>
      <c r="F80" s="10"/>
      <c r="G80" s="11"/>
      <c r="H80" s="6">
        <f t="shared" si="2"/>
        <v>214872.03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9.5" customHeight="1">
      <c r="A81" s="9">
        <v>45787.0</v>
      </c>
      <c r="B81" s="2">
        <v>19800.0</v>
      </c>
      <c r="C81" s="1">
        <v>4.31</v>
      </c>
      <c r="D81" s="14"/>
      <c r="E81" s="3">
        <f t="shared" si="4"/>
        <v>85338</v>
      </c>
      <c r="F81" s="10"/>
      <c r="G81" s="11"/>
      <c r="H81" s="6">
        <f t="shared" si="2"/>
        <v>300210.03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9.5" customHeight="1">
      <c r="A82" s="9">
        <v>45787.0</v>
      </c>
      <c r="B82" s="2">
        <v>11300.0</v>
      </c>
      <c r="C82" s="1">
        <v>4.31</v>
      </c>
      <c r="D82" s="14"/>
      <c r="E82" s="3">
        <f t="shared" si="4"/>
        <v>48703</v>
      </c>
      <c r="F82" s="10"/>
      <c r="G82" s="11"/>
      <c r="H82" s="6">
        <f t="shared" si="2"/>
        <v>348913.03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9.5" customHeight="1">
      <c r="A83" s="9">
        <v>45787.0</v>
      </c>
      <c r="B83" s="13"/>
      <c r="C83" s="8"/>
      <c r="D83" s="14"/>
      <c r="E83" s="3">
        <f t="shared" si="4"/>
        <v>0</v>
      </c>
      <c r="F83" s="10"/>
      <c r="G83" s="5">
        <v>50000.0</v>
      </c>
      <c r="H83" s="6">
        <f t="shared" si="2"/>
        <v>298913.03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9.5" customHeight="1">
      <c r="A84" s="9">
        <v>45787.0</v>
      </c>
      <c r="B84" s="2">
        <v>5800.0</v>
      </c>
      <c r="C84" s="1">
        <v>4.31</v>
      </c>
      <c r="D84" s="14"/>
      <c r="E84" s="3">
        <f t="shared" si="4"/>
        <v>24998</v>
      </c>
      <c r="F84" s="10"/>
      <c r="G84" s="11"/>
      <c r="H84" s="6">
        <f t="shared" si="2"/>
        <v>323911.03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9.5" customHeight="1">
      <c r="A85" s="9">
        <v>45789.0</v>
      </c>
      <c r="B85" s="2">
        <v>16500.0</v>
      </c>
      <c r="C85" s="1">
        <v>4.32</v>
      </c>
      <c r="D85" s="14"/>
      <c r="E85" s="3">
        <f t="shared" si="4"/>
        <v>71280</v>
      </c>
      <c r="F85" s="10"/>
      <c r="G85" s="11"/>
      <c r="H85" s="6">
        <f t="shared" si="2"/>
        <v>395191.03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9.5" customHeight="1">
      <c r="A86" s="9">
        <v>45790.0</v>
      </c>
      <c r="B86" s="13"/>
      <c r="C86" s="8"/>
      <c r="D86" s="14"/>
      <c r="E86" s="3">
        <f t="shared" si="4"/>
        <v>0</v>
      </c>
      <c r="F86" s="10"/>
      <c r="G86" s="5">
        <v>100000.0</v>
      </c>
      <c r="H86" s="6">
        <f t="shared" si="2"/>
        <v>295191.03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9.5" customHeight="1">
      <c r="A87" s="9">
        <v>45791.0</v>
      </c>
      <c r="B87" s="2">
        <v>12800.0</v>
      </c>
      <c r="C87" s="1">
        <v>4.35</v>
      </c>
      <c r="D87" s="14"/>
      <c r="E87" s="3">
        <f t="shared" si="4"/>
        <v>55680</v>
      </c>
      <c r="F87" s="10"/>
      <c r="G87" s="11"/>
      <c r="H87" s="6">
        <f t="shared" si="2"/>
        <v>350871.03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9.5" customHeight="1">
      <c r="A88" s="9">
        <v>45792.0</v>
      </c>
      <c r="B88" s="2">
        <v>3900.0</v>
      </c>
      <c r="C88" s="1">
        <v>4.34</v>
      </c>
      <c r="D88" s="14"/>
      <c r="E88" s="3">
        <f t="shared" si="4"/>
        <v>16926</v>
      </c>
      <c r="F88" s="10"/>
      <c r="G88" s="11"/>
      <c r="H88" s="6">
        <f t="shared" si="2"/>
        <v>367797.03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9.5" customHeight="1">
      <c r="A89" s="9">
        <v>45792.0</v>
      </c>
      <c r="B89" s="2">
        <v>12800.0</v>
      </c>
      <c r="C89" s="1">
        <v>4.34</v>
      </c>
      <c r="D89" s="14"/>
      <c r="E89" s="3">
        <f t="shared" si="4"/>
        <v>55552</v>
      </c>
      <c r="F89" s="10"/>
      <c r="G89" s="11"/>
      <c r="H89" s="6">
        <f t="shared" si="2"/>
        <v>423349.03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9.5" customHeight="1">
      <c r="A90" s="9">
        <v>45792.0</v>
      </c>
      <c r="B90" s="2">
        <v>12500.0</v>
      </c>
      <c r="C90" s="1">
        <v>4.34</v>
      </c>
      <c r="D90" s="14"/>
      <c r="E90" s="3">
        <f t="shared" si="4"/>
        <v>54250</v>
      </c>
      <c r="F90" s="10"/>
      <c r="G90" s="11"/>
      <c r="H90" s="6">
        <f t="shared" si="2"/>
        <v>477599.03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9.5" customHeight="1">
      <c r="A91" s="9">
        <v>45792.0</v>
      </c>
      <c r="B91" s="13"/>
      <c r="C91" s="8"/>
      <c r="D91" s="14"/>
      <c r="E91" s="3">
        <f t="shared" si="4"/>
        <v>0</v>
      </c>
      <c r="F91" s="10"/>
      <c r="G91" s="5">
        <v>100000.0</v>
      </c>
      <c r="H91" s="6">
        <f t="shared" si="2"/>
        <v>377599.03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9.5" customHeight="1">
      <c r="A92" s="9">
        <v>45793.0</v>
      </c>
      <c r="B92" s="13"/>
      <c r="C92" s="8"/>
      <c r="D92" s="14"/>
      <c r="E92" s="3">
        <f t="shared" si="4"/>
        <v>0</v>
      </c>
      <c r="F92" s="10"/>
      <c r="G92" s="5">
        <v>150000.0</v>
      </c>
      <c r="H92" s="6">
        <f t="shared" si="2"/>
        <v>227599.03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9.5" customHeight="1">
      <c r="A93" s="9">
        <v>45793.0</v>
      </c>
      <c r="B93" s="13"/>
      <c r="C93" s="8"/>
      <c r="D93" s="14"/>
      <c r="E93" s="3">
        <f t="shared" si="4"/>
        <v>0</v>
      </c>
      <c r="F93" s="10"/>
      <c r="G93" s="5">
        <v>100000.0</v>
      </c>
      <c r="H93" s="6">
        <f t="shared" si="2"/>
        <v>127599.03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9.5" customHeight="1">
      <c r="A94" s="9">
        <v>45794.0</v>
      </c>
      <c r="B94" s="2">
        <v>12800.0</v>
      </c>
      <c r="C94" s="1">
        <v>4.35</v>
      </c>
      <c r="D94" s="14"/>
      <c r="E94" s="3">
        <f t="shared" si="4"/>
        <v>55680</v>
      </c>
      <c r="F94" s="10"/>
      <c r="G94" s="11"/>
      <c r="H94" s="6">
        <f t="shared" si="2"/>
        <v>183279.03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9.5" customHeight="1">
      <c r="A95" s="9">
        <v>45794.0</v>
      </c>
      <c r="B95" s="13"/>
      <c r="C95" s="8"/>
      <c r="D95" s="14"/>
      <c r="E95" s="3">
        <f t="shared" si="4"/>
        <v>0</v>
      </c>
      <c r="F95" s="10"/>
      <c r="G95" s="5">
        <v>100000.0</v>
      </c>
      <c r="H95" s="6">
        <f t="shared" si="2"/>
        <v>83279.03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9.5" customHeight="1">
      <c r="A96" s="9">
        <v>45794.0</v>
      </c>
      <c r="B96" s="2">
        <v>3900.0</v>
      </c>
      <c r="C96" s="1">
        <v>4.35</v>
      </c>
      <c r="D96" s="14"/>
      <c r="E96" s="3">
        <f t="shared" si="4"/>
        <v>16965</v>
      </c>
      <c r="F96" s="10"/>
      <c r="G96" s="11"/>
      <c r="H96" s="6">
        <f t="shared" si="2"/>
        <v>100244.03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9.5" customHeight="1">
      <c r="A97" s="9">
        <v>45795.0</v>
      </c>
      <c r="B97" s="2">
        <v>300.0</v>
      </c>
      <c r="C97" s="1">
        <v>4.34</v>
      </c>
      <c r="D97" s="14"/>
      <c r="E97" s="3">
        <f t="shared" si="4"/>
        <v>1302</v>
      </c>
      <c r="F97" s="10"/>
      <c r="G97" s="11"/>
      <c r="H97" s="6">
        <f t="shared" si="2"/>
        <v>101546.03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9.5" customHeight="1">
      <c r="A98" s="9">
        <v>45796.0</v>
      </c>
      <c r="B98" s="2">
        <v>12600.0</v>
      </c>
      <c r="C98" s="1">
        <v>4.32</v>
      </c>
      <c r="D98" s="14"/>
      <c r="E98" s="3">
        <v>54432.0</v>
      </c>
      <c r="F98" s="10"/>
      <c r="G98" s="11"/>
      <c r="H98" s="6">
        <f t="shared" si="2"/>
        <v>155978.03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9.5" customHeight="1">
      <c r="A99" s="9">
        <v>45796.0</v>
      </c>
      <c r="B99" s="2">
        <v>5680.0</v>
      </c>
      <c r="C99" s="1">
        <v>4.32</v>
      </c>
      <c r="D99" s="14"/>
      <c r="E99" s="3">
        <v>24538.0</v>
      </c>
      <c r="F99" s="10"/>
      <c r="G99" s="11"/>
      <c r="H99" s="6">
        <f t="shared" si="2"/>
        <v>180516.03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9.5" customHeight="1">
      <c r="A100" s="9">
        <v>45796.0</v>
      </c>
      <c r="B100" s="13"/>
      <c r="C100" s="8"/>
      <c r="D100" s="14"/>
      <c r="E100" s="3">
        <f t="shared" ref="E100:E212" si="5">B100*C100</f>
        <v>0</v>
      </c>
      <c r="F100" s="10"/>
      <c r="G100" s="5">
        <v>37581.0</v>
      </c>
      <c r="H100" s="6">
        <f t="shared" si="2"/>
        <v>142935.03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9.5" customHeight="1">
      <c r="A101" s="9">
        <v>45796.0</v>
      </c>
      <c r="B101" s="13"/>
      <c r="C101" s="8"/>
      <c r="D101" s="14"/>
      <c r="E101" s="3">
        <f t="shared" si="5"/>
        <v>0</v>
      </c>
      <c r="F101" s="10"/>
      <c r="G101" s="5">
        <v>102000.0</v>
      </c>
      <c r="H101" s="6">
        <f t="shared" si="2"/>
        <v>40935.03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9.5" customHeight="1">
      <c r="A102" s="9">
        <v>45797.0</v>
      </c>
      <c r="B102" s="2">
        <v>10800.0</v>
      </c>
      <c r="C102" s="1">
        <v>4.32</v>
      </c>
      <c r="D102" s="14"/>
      <c r="E102" s="3">
        <f t="shared" si="5"/>
        <v>46656</v>
      </c>
      <c r="F102" s="10"/>
      <c r="G102" s="11"/>
      <c r="H102" s="6">
        <f t="shared" si="2"/>
        <v>87591.03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9.5" customHeight="1">
      <c r="A103" s="9">
        <v>45797.0</v>
      </c>
      <c r="B103" s="2">
        <v>25500.0</v>
      </c>
      <c r="C103" s="1">
        <v>4.32</v>
      </c>
      <c r="D103" s="14"/>
      <c r="E103" s="3">
        <f t="shared" si="5"/>
        <v>110160</v>
      </c>
      <c r="F103" s="10"/>
      <c r="G103" s="11"/>
      <c r="H103" s="6">
        <f t="shared" si="2"/>
        <v>197751.03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9.5" customHeight="1">
      <c r="A104" s="9">
        <v>45798.0</v>
      </c>
      <c r="B104" s="2">
        <v>4000.0</v>
      </c>
      <c r="C104" s="1">
        <v>4.32</v>
      </c>
      <c r="D104" s="14"/>
      <c r="E104" s="3">
        <f t="shared" si="5"/>
        <v>17280</v>
      </c>
      <c r="F104" s="10"/>
      <c r="G104" s="11"/>
      <c r="H104" s="6">
        <f t="shared" si="2"/>
        <v>215031.03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9.5" customHeight="1">
      <c r="A105" s="9">
        <v>45798.0</v>
      </c>
      <c r="B105" s="2">
        <v>9700.0</v>
      </c>
      <c r="C105" s="1">
        <v>4.32</v>
      </c>
      <c r="D105" s="14"/>
      <c r="E105" s="3">
        <f t="shared" si="5"/>
        <v>41904</v>
      </c>
      <c r="F105" s="10"/>
      <c r="G105" s="11"/>
      <c r="H105" s="6">
        <f t="shared" si="2"/>
        <v>256935.03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9.5" customHeight="1">
      <c r="A106" s="9">
        <v>45801.0</v>
      </c>
      <c r="B106" s="2">
        <v>15000.0</v>
      </c>
      <c r="C106" s="1">
        <v>4.33</v>
      </c>
      <c r="D106" s="14"/>
      <c r="E106" s="3">
        <f t="shared" si="5"/>
        <v>64950</v>
      </c>
      <c r="F106" s="10"/>
      <c r="G106" s="11"/>
      <c r="H106" s="6">
        <f t="shared" si="2"/>
        <v>321885.03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9.5" customHeight="1">
      <c r="A107" s="9">
        <v>45803.0</v>
      </c>
      <c r="B107" s="2">
        <v>1000.0</v>
      </c>
      <c r="C107" s="1">
        <v>4.33</v>
      </c>
      <c r="D107" s="14"/>
      <c r="E107" s="3">
        <f t="shared" si="5"/>
        <v>4330</v>
      </c>
      <c r="F107" s="10"/>
      <c r="G107" s="11"/>
      <c r="H107" s="6">
        <f t="shared" si="2"/>
        <v>326215.03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9.5" customHeight="1">
      <c r="A108" s="9">
        <v>45803.0</v>
      </c>
      <c r="B108" s="13"/>
      <c r="C108" s="8"/>
      <c r="D108" s="14"/>
      <c r="E108" s="3">
        <f t="shared" si="5"/>
        <v>0</v>
      </c>
      <c r="F108" s="10"/>
      <c r="G108" s="5">
        <v>30135.0</v>
      </c>
      <c r="H108" s="6">
        <f t="shared" si="2"/>
        <v>296080.03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9.5" customHeight="1">
      <c r="A109" s="9">
        <v>45804.0</v>
      </c>
      <c r="B109" s="13"/>
      <c r="C109" s="8"/>
      <c r="D109" s="14"/>
      <c r="E109" s="3">
        <f t="shared" si="5"/>
        <v>0</v>
      </c>
      <c r="F109" s="10"/>
      <c r="G109" s="5">
        <v>200000.0</v>
      </c>
      <c r="H109" s="6">
        <f t="shared" si="2"/>
        <v>96080.03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9.5" customHeight="1">
      <c r="A110" s="9">
        <v>45805.0</v>
      </c>
      <c r="B110" s="13"/>
      <c r="C110" s="8"/>
      <c r="D110" s="14"/>
      <c r="E110" s="3">
        <f t="shared" si="5"/>
        <v>0</v>
      </c>
      <c r="F110" s="10"/>
      <c r="G110" s="5">
        <v>100000.0</v>
      </c>
      <c r="H110" s="6">
        <f t="shared" si="2"/>
        <v>-3919.97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9.5" customHeight="1">
      <c r="A111" s="9">
        <v>45805.0</v>
      </c>
      <c r="B111" s="2">
        <v>8800.0</v>
      </c>
      <c r="C111" s="1">
        <v>4.3</v>
      </c>
      <c r="D111" s="14"/>
      <c r="E111" s="3">
        <f t="shared" si="5"/>
        <v>37840</v>
      </c>
      <c r="F111" s="10"/>
      <c r="G111" s="11"/>
      <c r="H111" s="6">
        <f t="shared" si="2"/>
        <v>33920.03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9.5" customHeight="1">
      <c r="A112" s="9">
        <v>45805.0</v>
      </c>
      <c r="B112" s="2">
        <v>7450.0</v>
      </c>
      <c r="C112" s="1">
        <v>4.3</v>
      </c>
      <c r="D112" s="14"/>
      <c r="E112" s="3">
        <f t="shared" si="5"/>
        <v>32035</v>
      </c>
      <c r="F112" s="10"/>
      <c r="G112" s="11"/>
      <c r="H112" s="6">
        <f t="shared" si="2"/>
        <v>65955.03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9.5" customHeight="1">
      <c r="A113" s="9">
        <v>45805.0</v>
      </c>
      <c r="B113" s="2">
        <v>8980.0</v>
      </c>
      <c r="C113" s="1">
        <v>4.3</v>
      </c>
      <c r="D113" s="14"/>
      <c r="E113" s="3">
        <f t="shared" si="5"/>
        <v>38614</v>
      </c>
      <c r="F113" s="10"/>
      <c r="G113" s="11"/>
      <c r="H113" s="6">
        <f t="shared" si="2"/>
        <v>104569.03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9.5" customHeight="1">
      <c r="A114" s="9">
        <v>45806.0</v>
      </c>
      <c r="B114" s="13"/>
      <c r="C114" s="8"/>
      <c r="D114" s="14"/>
      <c r="E114" s="3">
        <f t="shared" si="5"/>
        <v>0</v>
      </c>
      <c r="F114" s="10"/>
      <c r="G114" s="5">
        <v>75298.0</v>
      </c>
      <c r="H114" s="6">
        <f t="shared" si="2"/>
        <v>29271.03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9.5" customHeight="1">
      <c r="A115" s="9">
        <v>45807.0</v>
      </c>
      <c r="B115" s="2">
        <v>900.0</v>
      </c>
      <c r="C115" s="1">
        <v>4.3</v>
      </c>
      <c r="D115" s="14"/>
      <c r="E115" s="3">
        <f t="shared" si="5"/>
        <v>3870</v>
      </c>
      <c r="F115" s="10"/>
      <c r="G115" s="11"/>
      <c r="H115" s="6">
        <f t="shared" si="2"/>
        <v>33141.03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9.5" customHeight="1">
      <c r="A116" s="9">
        <v>45808.0</v>
      </c>
      <c r="B116" s="2">
        <v>400.0</v>
      </c>
      <c r="C116" s="1">
        <v>4.3</v>
      </c>
      <c r="D116" s="14"/>
      <c r="E116" s="3">
        <f t="shared" si="5"/>
        <v>1720</v>
      </c>
      <c r="F116" s="10"/>
      <c r="G116" s="11"/>
      <c r="H116" s="6">
        <f t="shared" si="2"/>
        <v>34861.03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9.5" customHeight="1">
      <c r="A117" s="9">
        <v>45815.0</v>
      </c>
      <c r="B117" s="2">
        <v>2200.0</v>
      </c>
      <c r="C117" s="1">
        <v>4.3</v>
      </c>
      <c r="D117" s="14"/>
      <c r="E117" s="3">
        <f t="shared" si="5"/>
        <v>9460</v>
      </c>
      <c r="F117" s="10"/>
      <c r="G117" s="11"/>
      <c r="H117" s="6">
        <f t="shared" si="2"/>
        <v>44321.03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9.5" customHeight="1">
      <c r="A118" s="9">
        <v>45819.0</v>
      </c>
      <c r="B118" s="2">
        <v>1400.0</v>
      </c>
      <c r="C118" s="1">
        <v>4.3</v>
      </c>
      <c r="D118" s="14"/>
      <c r="E118" s="3">
        <f t="shared" si="5"/>
        <v>6020</v>
      </c>
      <c r="F118" s="10"/>
      <c r="G118" s="11"/>
      <c r="H118" s="6">
        <f t="shared" si="2"/>
        <v>50341.03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9.5" customHeight="1">
      <c r="A119" s="9">
        <v>45820.0</v>
      </c>
      <c r="B119" s="2">
        <v>4500.0</v>
      </c>
      <c r="C119" s="1">
        <v>4.3</v>
      </c>
      <c r="D119" s="14"/>
      <c r="E119" s="3">
        <f t="shared" si="5"/>
        <v>19350</v>
      </c>
      <c r="F119" s="10"/>
      <c r="G119" s="11"/>
      <c r="H119" s="6">
        <f t="shared" si="2"/>
        <v>69691.03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9.5" customHeight="1">
      <c r="A120" s="9">
        <v>45824.0</v>
      </c>
      <c r="B120" s="2">
        <v>21500.0</v>
      </c>
      <c r="C120" s="1">
        <v>4.3</v>
      </c>
      <c r="D120" s="14"/>
      <c r="E120" s="3">
        <f t="shared" si="5"/>
        <v>92450</v>
      </c>
      <c r="F120" s="10"/>
      <c r="G120" s="11"/>
      <c r="H120" s="6">
        <f t="shared" si="2"/>
        <v>162141.03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9.5" customHeight="1">
      <c r="A121" s="9">
        <v>45824.0</v>
      </c>
      <c r="B121" s="2">
        <v>9000.0</v>
      </c>
      <c r="C121" s="1">
        <v>4.3</v>
      </c>
      <c r="D121" s="14"/>
      <c r="E121" s="3">
        <f t="shared" si="5"/>
        <v>38700</v>
      </c>
      <c r="F121" s="10"/>
      <c r="G121" s="11"/>
      <c r="H121" s="6">
        <f t="shared" si="2"/>
        <v>200841.03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9.5" customHeight="1">
      <c r="A122" s="9">
        <v>45827.0</v>
      </c>
      <c r="B122" s="13"/>
      <c r="C122" s="8"/>
      <c r="D122" s="14"/>
      <c r="E122" s="3">
        <f t="shared" si="5"/>
        <v>0</v>
      </c>
      <c r="F122" s="10"/>
      <c r="G122" s="5">
        <v>150000.0</v>
      </c>
      <c r="H122" s="6">
        <f t="shared" si="2"/>
        <v>50841.03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9.5" customHeight="1">
      <c r="A123" s="9">
        <v>45828.0</v>
      </c>
      <c r="B123" s="2">
        <v>11000.0</v>
      </c>
      <c r="C123" s="1">
        <v>4.3</v>
      </c>
      <c r="D123" s="14"/>
      <c r="E123" s="3">
        <f t="shared" si="5"/>
        <v>47300</v>
      </c>
      <c r="F123" s="10"/>
      <c r="G123" s="11"/>
      <c r="H123" s="6">
        <f t="shared" si="2"/>
        <v>98141.03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9.5" customHeight="1">
      <c r="A124" s="9">
        <v>45828.0</v>
      </c>
      <c r="B124" s="2">
        <v>10700.0</v>
      </c>
      <c r="C124" s="1">
        <v>4.3</v>
      </c>
      <c r="D124" s="14"/>
      <c r="E124" s="3">
        <f t="shared" si="5"/>
        <v>46010</v>
      </c>
      <c r="F124" s="10"/>
      <c r="G124" s="11"/>
      <c r="H124" s="6">
        <f t="shared" si="2"/>
        <v>144151.03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9.5" customHeight="1">
      <c r="A125" s="9">
        <v>45828.0</v>
      </c>
      <c r="B125" s="2">
        <v>15000.0</v>
      </c>
      <c r="C125" s="1">
        <v>4.3</v>
      </c>
      <c r="D125" s="14"/>
      <c r="E125" s="3">
        <f t="shared" si="5"/>
        <v>64500</v>
      </c>
      <c r="F125" s="10"/>
      <c r="G125" s="11"/>
      <c r="H125" s="6">
        <f t="shared" si="2"/>
        <v>208651.03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9.5" customHeight="1">
      <c r="A126" s="9">
        <v>45830.0</v>
      </c>
      <c r="B126" s="2">
        <v>11000.0</v>
      </c>
      <c r="C126" s="1">
        <v>4.3</v>
      </c>
      <c r="D126" s="14"/>
      <c r="E126" s="3">
        <f t="shared" si="5"/>
        <v>47300</v>
      </c>
      <c r="F126" s="10"/>
      <c r="G126" s="11"/>
      <c r="H126" s="6">
        <f t="shared" si="2"/>
        <v>255951.03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9.5" customHeight="1">
      <c r="A127" s="9">
        <v>45830.0</v>
      </c>
      <c r="B127" s="13"/>
      <c r="C127" s="8"/>
      <c r="D127" s="14"/>
      <c r="E127" s="3">
        <f t="shared" si="5"/>
        <v>0</v>
      </c>
      <c r="F127" s="10"/>
      <c r="G127" s="5">
        <v>100000.0</v>
      </c>
      <c r="H127" s="6">
        <f t="shared" si="2"/>
        <v>155951.03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9.5" customHeight="1">
      <c r="A128" s="9">
        <v>45830.0</v>
      </c>
      <c r="B128" s="13"/>
      <c r="C128" s="8"/>
      <c r="D128" s="14"/>
      <c r="E128" s="3">
        <f t="shared" si="5"/>
        <v>0</v>
      </c>
      <c r="F128" s="10"/>
      <c r="G128" s="5">
        <v>62800.0</v>
      </c>
      <c r="H128" s="6">
        <f t="shared" si="2"/>
        <v>93151.03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9.5" customHeight="1">
      <c r="A129" s="9">
        <v>45831.0</v>
      </c>
      <c r="B129" s="13"/>
      <c r="C129" s="8"/>
      <c r="D129" s="14"/>
      <c r="E129" s="3">
        <f t="shared" si="5"/>
        <v>0</v>
      </c>
      <c r="F129" s="10"/>
      <c r="G129" s="5">
        <v>50000.0</v>
      </c>
      <c r="H129" s="6">
        <f t="shared" si="2"/>
        <v>43151.03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9.5" customHeight="1">
      <c r="A130" s="9">
        <v>45832.0</v>
      </c>
      <c r="B130" s="2">
        <v>15800.0</v>
      </c>
      <c r="C130" s="1">
        <v>4.3</v>
      </c>
      <c r="D130" s="14"/>
      <c r="E130" s="3">
        <f t="shared" si="5"/>
        <v>67940</v>
      </c>
      <c r="F130" s="10"/>
      <c r="G130" s="11"/>
      <c r="H130" s="6">
        <f t="shared" si="2"/>
        <v>111091.03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9.5" customHeight="1">
      <c r="A131" s="9">
        <v>45833.0</v>
      </c>
      <c r="B131" s="2">
        <v>5500.0</v>
      </c>
      <c r="C131" s="1">
        <v>4.3</v>
      </c>
      <c r="D131" s="14"/>
      <c r="E131" s="3">
        <f t="shared" si="5"/>
        <v>23650</v>
      </c>
      <c r="F131" s="10"/>
      <c r="G131" s="11"/>
      <c r="H131" s="6">
        <f t="shared" si="2"/>
        <v>134741.03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9.5" customHeight="1">
      <c r="A132" s="9">
        <v>45834.0</v>
      </c>
      <c r="B132" s="2">
        <v>13800.0</v>
      </c>
      <c r="C132" s="1">
        <v>4.3</v>
      </c>
      <c r="D132" s="14"/>
      <c r="E132" s="3">
        <f t="shared" si="5"/>
        <v>59340</v>
      </c>
      <c r="F132" s="10"/>
      <c r="G132" s="11"/>
      <c r="H132" s="6">
        <f t="shared" si="2"/>
        <v>194081.03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9.5" customHeight="1">
      <c r="A133" s="9">
        <v>45835.0</v>
      </c>
      <c r="B133" s="13"/>
      <c r="C133" s="8"/>
      <c r="D133" s="14"/>
      <c r="E133" s="3">
        <f t="shared" si="5"/>
        <v>0</v>
      </c>
      <c r="F133" s="10"/>
      <c r="G133" s="5">
        <v>50000.0</v>
      </c>
      <c r="H133" s="6">
        <f t="shared" si="2"/>
        <v>144081.03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9.5" customHeight="1">
      <c r="A134" s="9">
        <v>45835.0</v>
      </c>
      <c r="B134" s="2">
        <v>3465.0</v>
      </c>
      <c r="C134" s="1">
        <v>4.3</v>
      </c>
      <c r="D134" s="14"/>
      <c r="E134" s="3">
        <f t="shared" si="5"/>
        <v>14899.5</v>
      </c>
      <c r="F134" s="10"/>
      <c r="G134" s="11"/>
      <c r="H134" s="6">
        <f t="shared" si="2"/>
        <v>158980.53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9.5" customHeight="1">
      <c r="A135" s="9">
        <v>45837.0</v>
      </c>
      <c r="B135" s="2">
        <v>14300.0</v>
      </c>
      <c r="C135" s="1">
        <v>4.3</v>
      </c>
      <c r="D135" s="14"/>
      <c r="E135" s="3">
        <f t="shared" si="5"/>
        <v>61490</v>
      </c>
      <c r="F135" s="10"/>
      <c r="G135" s="11"/>
      <c r="H135" s="6">
        <f t="shared" si="2"/>
        <v>220470.53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9.5" customHeight="1">
      <c r="A136" s="9">
        <v>45838.0</v>
      </c>
      <c r="B136" s="13"/>
      <c r="C136" s="8"/>
      <c r="D136" s="14"/>
      <c r="E136" s="3">
        <f t="shared" si="5"/>
        <v>0</v>
      </c>
      <c r="F136" s="10"/>
      <c r="G136" s="5">
        <v>100000.0</v>
      </c>
      <c r="H136" s="6">
        <f t="shared" si="2"/>
        <v>120470.53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9.5" customHeight="1">
      <c r="A137" s="9">
        <v>45839.0</v>
      </c>
      <c r="B137" s="2">
        <v>9099.0</v>
      </c>
      <c r="C137" s="1">
        <v>4.3</v>
      </c>
      <c r="D137" s="14"/>
      <c r="E137" s="3">
        <f t="shared" si="5"/>
        <v>39125.7</v>
      </c>
      <c r="F137" s="10"/>
      <c r="G137" s="11"/>
      <c r="H137" s="6">
        <f t="shared" si="2"/>
        <v>159596.23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9.5" customHeight="1">
      <c r="A138" s="9">
        <v>45839.0</v>
      </c>
      <c r="B138" s="2">
        <v>400.0</v>
      </c>
      <c r="C138" s="1">
        <v>4.3</v>
      </c>
      <c r="D138" s="14"/>
      <c r="E138" s="3">
        <f t="shared" si="5"/>
        <v>1720</v>
      </c>
      <c r="F138" s="10"/>
      <c r="G138" s="11"/>
      <c r="H138" s="6">
        <f t="shared" si="2"/>
        <v>161316.23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9.5" customHeight="1">
      <c r="A139" s="9">
        <v>45839.0</v>
      </c>
      <c r="B139" s="2">
        <v>8900.0</v>
      </c>
      <c r="C139" s="1">
        <v>4.3</v>
      </c>
      <c r="D139" s="14"/>
      <c r="E139" s="3">
        <f t="shared" si="5"/>
        <v>38270</v>
      </c>
      <c r="F139" s="10"/>
      <c r="G139" s="11"/>
      <c r="H139" s="6">
        <f t="shared" si="2"/>
        <v>199586.23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9.5" customHeight="1">
      <c r="A140" s="9">
        <v>45839.0</v>
      </c>
      <c r="B140" s="2">
        <v>100.0</v>
      </c>
      <c r="C140" s="1">
        <v>4.3</v>
      </c>
      <c r="D140" s="14"/>
      <c r="E140" s="3">
        <f t="shared" si="5"/>
        <v>430</v>
      </c>
      <c r="F140" s="10"/>
      <c r="G140" s="11"/>
      <c r="H140" s="6">
        <f t="shared" si="2"/>
        <v>200016.23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9.5" customHeight="1">
      <c r="A141" s="9">
        <v>45841.0</v>
      </c>
      <c r="B141" s="13"/>
      <c r="C141" s="8"/>
      <c r="D141" s="14"/>
      <c r="E141" s="3">
        <f t="shared" si="5"/>
        <v>0</v>
      </c>
      <c r="F141" s="10"/>
      <c r="G141" s="5">
        <v>50000.0</v>
      </c>
      <c r="H141" s="6">
        <f t="shared" si="2"/>
        <v>150016.23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9.5" customHeight="1">
      <c r="A142" s="9">
        <v>45841.0</v>
      </c>
      <c r="B142" s="2">
        <v>13000.0</v>
      </c>
      <c r="C142" s="1">
        <v>4.3</v>
      </c>
      <c r="D142" s="14"/>
      <c r="E142" s="3">
        <f t="shared" si="5"/>
        <v>55900</v>
      </c>
      <c r="F142" s="10"/>
      <c r="G142" s="11"/>
      <c r="H142" s="6">
        <f t="shared" si="2"/>
        <v>205916.23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9.5" customHeight="1">
      <c r="A143" s="9">
        <v>45841.0</v>
      </c>
      <c r="B143" s="2">
        <v>13300.0</v>
      </c>
      <c r="C143" s="1">
        <v>4.3</v>
      </c>
      <c r="D143" s="14"/>
      <c r="E143" s="3">
        <f t="shared" si="5"/>
        <v>57190</v>
      </c>
      <c r="F143" s="10"/>
      <c r="G143" s="11"/>
      <c r="H143" s="6">
        <f t="shared" si="2"/>
        <v>263106.23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9.5" customHeight="1">
      <c r="A144" s="9">
        <v>45843.0</v>
      </c>
      <c r="B144" s="2">
        <v>13000.0</v>
      </c>
      <c r="C144" s="1">
        <v>4.3</v>
      </c>
      <c r="D144" s="14"/>
      <c r="E144" s="3">
        <f t="shared" si="5"/>
        <v>55900</v>
      </c>
      <c r="F144" s="10"/>
      <c r="G144" s="11"/>
      <c r="H144" s="6">
        <f t="shared" si="2"/>
        <v>319006.23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9.5" customHeight="1">
      <c r="A145" s="9">
        <v>45843.0</v>
      </c>
      <c r="B145" s="2">
        <v>10000.0</v>
      </c>
      <c r="C145" s="1">
        <v>4.3</v>
      </c>
      <c r="D145" s="14"/>
      <c r="E145" s="3">
        <f t="shared" si="5"/>
        <v>43000</v>
      </c>
      <c r="F145" s="10"/>
      <c r="G145" s="11"/>
      <c r="H145" s="6">
        <f t="shared" si="2"/>
        <v>362006.23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9.5" customHeight="1">
      <c r="A146" s="9">
        <v>45843.0</v>
      </c>
      <c r="B146" s="2">
        <v>3164.0</v>
      </c>
      <c r="C146" s="1">
        <v>4.3</v>
      </c>
      <c r="D146" s="14"/>
      <c r="E146" s="3">
        <f t="shared" si="5"/>
        <v>13605.2</v>
      </c>
      <c r="F146" s="10"/>
      <c r="G146" s="11"/>
      <c r="H146" s="6">
        <f t="shared" si="2"/>
        <v>375611.43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9.5" customHeight="1">
      <c r="A147" s="9">
        <v>45844.0</v>
      </c>
      <c r="B147" s="13"/>
      <c r="C147" s="8"/>
      <c r="D147" s="14"/>
      <c r="E147" s="3">
        <f t="shared" si="5"/>
        <v>0</v>
      </c>
      <c r="F147" s="10"/>
      <c r="G147" s="5">
        <v>150000.0</v>
      </c>
      <c r="H147" s="6">
        <f t="shared" si="2"/>
        <v>225611.43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9.5" customHeight="1">
      <c r="A148" s="9">
        <v>45844.0</v>
      </c>
      <c r="B148" s="13"/>
      <c r="C148" s="8"/>
      <c r="D148" s="14"/>
      <c r="E148" s="3">
        <f t="shared" si="5"/>
        <v>0</v>
      </c>
      <c r="F148" s="10"/>
      <c r="G148" s="5">
        <v>150000.0</v>
      </c>
      <c r="H148" s="6">
        <f t="shared" si="2"/>
        <v>75611.43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9.5" customHeight="1">
      <c r="A149" s="9">
        <v>45845.0</v>
      </c>
      <c r="B149" s="2">
        <v>8850.0</v>
      </c>
      <c r="C149" s="1">
        <v>4.3</v>
      </c>
      <c r="D149" s="14"/>
      <c r="E149" s="3">
        <f t="shared" si="5"/>
        <v>38055</v>
      </c>
      <c r="F149" s="10"/>
      <c r="G149" s="11"/>
      <c r="H149" s="6">
        <f t="shared" si="2"/>
        <v>113666.43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9.5" customHeight="1">
      <c r="A150" s="9">
        <v>45846.0</v>
      </c>
      <c r="B150" s="13"/>
      <c r="C150" s="8"/>
      <c r="D150" s="14"/>
      <c r="E150" s="3">
        <f t="shared" si="5"/>
        <v>0</v>
      </c>
      <c r="F150" s="10"/>
      <c r="G150" s="5">
        <v>100000.0</v>
      </c>
      <c r="H150" s="6">
        <f t="shared" si="2"/>
        <v>13666.43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9.5" customHeight="1">
      <c r="A151" s="9">
        <v>45847.0</v>
      </c>
      <c r="B151" s="2">
        <v>2699.0</v>
      </c>
      <c r="C151" s="1">
        <v>4.3</v>
      </c>
      <c r="D151" s="14"/>
      <c r="E151" s="3">
        <f t="shared" si="5"/>
        <v>11605.7</v>
      </c>
      <c r="F151" s="10"/>
      <c r="G151" s="11"/>
      <c r="H151" s="6">
        <f t="shared" si="2"/>
        <v>25272.13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9.5" customHeight="1">
      <c r="A152" s="9">
        <v>45847.0</v>
      </c>
      <c r="B152" s="2">
        <v>2700.0</v>
      </c>
      <c r="C152" s="1">
        <v>4.3</v>
      </c>
      <c r="D152" s="14"/>
      <c r="E152" s="3">
        <f t="shared" si="5"/>
        <v>11610</v>
      </c>
      <c r="F152" s="10"/>
      <c r="G152" s="11"/>
      <c r="H152" s="6">
        <f t="shared" si="2"/>
        <v>36882.13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9.5" customHeight="1">
      <c r="A153" s="9">
        <v>45850.0</v>
      </c>
      <c r="B153" s="2">
        <v>5500.0</v>
      </c>
      <c r="C153" s="1">
        <v>4.24</v>
      </c>
      <c r="D153" s="14"/>
      <c r="E153" s="3">
        <f t="shared" si="5"/>
        <v>23320</v>
      </c>
      <c r="F153" s="10"/>
      <c r="G153" s="11"/>
      <c r="H153" s="6">
        <f t="shared" si="2"/>
        <v>60202.13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9.5" customHeight="1">
      <c r="A154" s="9">
        <v>45851.0</v>
      </c>
      <c r="B154" s="2">
        <v>1500.0</v>
      </c>
      <c r="C154" s="1">
        <v>4.24</v>
      </c>
      <c r="D154" s="14"/>
      <c r="E154" s="3">
        <f t="shared" si="5"/>
        <v>6360</v>
      </c>
      <c r="F154" s="10"/>
      <c r="G154" s="11"/>
      <c r="H154" s="6">
        <f t="shared" si="2"/>
        <v>66562.13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9.5" customHeight="1">
      <c r="A155" s="9">
        <v>45851.0</v>
      </c>
      <c r="B155" s="2">
        <v>11165.0</v>
      </c>
      <c r="C155" s="1">
        <v>4.24</v>
      </c>
      <c r="D155" s="14"/>
      <c r="E155" s="3">
        <f t="shared" si="5"/>
        <v>47339.6</v>
      </c>
      <c r="F155" s="10"/>
      <c r="G155" s="11"/>
      <c r="H155" s="6">
        <f t="shared" si="2"/>
        <v>113901.73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9.5" customHeight="1">
      <c r="A156" s="9">
        <v>45851.0</v>
      </c>
      <c r="B156" s="2">
        <v>8000.0</v>
      </c>
      <c r="C156" s="1">
        <v>4.24</v>
      </c>
      <c r="D156" s="14"/>
      <c r="E156" s="3">
        <f t="shared" si="5"/>
        <v>33920</v>
      </c>
      <c r="F156" s="10"/>
      <c r="G156" s="11"/>
      <c r="H156" s="6">
        <f t="shared" si="2"/>
        <v>147821.73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9.5" customHeight="1">
      <c r="A157" s="9">
        <v>45851.0</v>
      </c>
      <c r="B157" s="2">
        <v>24000.0</v>
      </c>
      <c r="C157" s="1">
        <v>4.24</v>
      </c>
      <c r="D157" s="14"/>
      <c r="E157" s="3">
        <f t="shared" si="5"/>
        <v>101760</v>
      </c>
      <c r="F157" s="10"/>
      <c r="G157" s="11"/>
      <c r="H157" s="6">
        <f t="shared" si="2"/>
        <v>249581.73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9.5" customHeight="1">
      <c r="A158" s="9">
        <v>45852.0</v>
      </c>
      <c r="B158" s="2">
        <v>200.0</v>
      </c>
      <c r="C158" s="1">
        <v>4.24</v>
      </c>
      <c r="D158" s="14"/>
      <c r="E158" s="3">
        <f t="shared" si="5"/>
        <v>848</v>
      </c>
      <c r="F158" s="10"/>
      <c r="G158" s="11"/>
      <c r="H158" s="6">
        <f t="shared" si="2"/>
        <v>250429.73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9.5" customHeight="1">
      <c r="A159" s="9">
        <v>45852.0</v>
      </c>
      <c r="B159" s="13"/>
      <c r="C159" s="8"/>
      <c r="D159" s="14"/>
      <c r="E159" s="3">
        <f t="shared" si="5"/>
        <v>0</v>
      </c>
      <c r="F159" s="10"/>
      <c r="G159" s="5">
        <v>100000.0</v>
      </c>
      <c r="H159" s="6">
        <f t="shared" si="2"/>
        <v>150429.73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9.5" customHeight="1">
      <c r="A160" s="9">
        <v>45853.0</v>
      </c>
      <c r="B160" s="2">
        <v>13900.0</v>
      </c>
      <c r="C160" s="1">
        <v>4.24</v>
      </c>
      <c r="D160" s="14"/>
      <c r="E160" s="3">
        <f t="shared" si="5"/>
        <v>58936</v>
      </c>
      <c r="F160" s="10"/>
      <c r="G160" s="11"/>
      <c r="H160" s="6">
        <f t="shared" si="2"/>
        <v>209365.73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9.5" customHeight="1">
      <c r="A161" s="9">
        <v>45853.0</v>
      </c>
      <c r="B161" s="2">
        <v>9300.0</v>
      </c>
      <c r="C161" s="1">
        <v>4.24</v>
      </c>
      <c r="D161" s="14"/>
      <c r="E161" s="3">
        <f t="shared" si="5"/>
        <v>39432</v>
      </c>
      <c r="F161" s="10"/>
      <c r="G161" s="11"/>
      <c r="H161" s="6">
        <f t="shared" si="2"/>
        <v>248797.73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9.5" customHeight="1">
      <c r="A162" s="9">
        <v>45853.0</v>
      </c>
      <c r="B162" s="2">
        <v>7599.0</v>
      </c>
      <c r="C162" s="1">
        <v>4.24</v>
      </c>
      <c r="D162" s="14"/>
      <c r="E162" s="3">
        <f t="shared" si="5"/>
        <v>32219.76</v>
      </c>
      <c r="F162" s="10"/>
      <c r="G162" s="11"/>
      <c r="H162" s="6">
        <f t="shared" si="2"/>
        <v>281017.49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9.5" customHeight="1">
      <c r="A163" s="9">
        <v>45854.0</v>
      </c>
      <c r="B163" s="2">
        <v>21800.0</v>
      </c>
      <c r="C163" s="1">
        <v>4.24</v>
      </c>
      <c r="D163" s="14"/>
      <c r="E163" s="3">
        <f t="shared" si="5"/>
        <v>92432</v>
      </c>
      <c r="F163" s="10"/>
      <c r="G163" s="11"/>
      <c r="H163" s="6">
        <f t="shared" si="2"/>
        <v>373449.49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9.5" customHeight="1">
      <c r="A164" s="9">
        <v>45854.0</v>
      </c>
      <c r="B164" s="2">
        <v>968.0</v>
      </c>
      <c r="C164" s="1">
        <v>4.25</v>
      </c>
      <c r="D164" s="14"/>
      <c r="E164" s="3">
        <f t="shared" si="5"/>
        <v>4114</v>
      </c>
      <c r="F164" s="10"/>
      <c r="G164" s="11"/>
      <c r="H164" s="6">
        <f t="shared" si="2"/>
        <v>377563.49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9.5" customHeight="1">
      <c r="A165" s="9">
        <v>45854.0</v>
      </c>
      <c r="B165" s="2">
        <v>3099.0</v>
      </c>
      <c r="C165" s="1">
        <v>4.25</v>
      </c>
      <c r="D165" s="14"/>
      <c r="E165" s="3">
        <f t="shared" si="5"/>
        <v>13170.75</v>
      </c>
      <c r="F165" s="10"/>
      <c r="G165" s="11"/>
      <c r="H165" s="6">
        <f t="shared" si="2"/>
        <v>390734.24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9.5" customHeight="1">
      <c r="A166" s="9">
        <v>45854.0</v>
      </c>
      <c r="B166" s="13"/>
      <c r="C166" s="8"/>
      <c r="D166" s="14"/>
      <c r="E166" s="3">
        <f t="shared" si="5"/>
        <v>0</v>
      </c>
      <c r="F166" s="10"/>
      <c r="G166" s="5">
        <v>100000.0</v>
      </c>
      <c r="H166" s="6">
        <f t="shared" si="2"/>
        <v>290734.24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9.5" customHeight="1">
      <c r="A167" s="9">
        <v>45854.0</v>
      </c>
      <c r="B167" s="13"/>
      <c r="C167" s="8"/>
      <c r="D167" s="14"/>
      <c r="E167" s="3">
        <f t="shared" si="5"/>
        <v>0</v>
      </c>
      <c r="F167" s="10"/>
      <c r="G167" s="5">
        <v>42000.0</v>
      </c>
      <c r="H167" s="6">
        <f t="shared" si="2"/>
        <v>248734.24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9.5" customHeight="1">
      <c r="A168" s="9">
        <v>45854.0</v>
      </c>
      <c r="B168" s="13"/>
      <c r="C168" s="8"/>
      <c r="D168" s="14"/>
      <c r="E168" s="3">
        <f t="shared" si="5"/>
        <v>0</v>
      </c>
      <c r="F168" s="10"/>
      <c r="G168" s="5">
        <v>32094.0</v>
      </c>
      <c r="H168" s="6">
        <f t="shared" si="2"/>
        <v>216640.24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9.5" customHeight="1">
      <c r="A169" s="9">
        <v>45855.0</v>
      </c>
      <c r="B169" s="2">
        <v>24000.0</v>
      </c>
      <c r="C169" s="1">
        <v>4.25</v>
      </c>
      <c r="D169" s="14"/>
      <c r="E169" s="3">
        <f t="shared" si="5"/>
        <v>102000</v>
      </c>
      <c r="F169" s="10"/>
      <c r="G169" s="11"/>
      <c r="H169" s="6">
        <f t="shared" si="2"/>
        <v>318640.24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9.5" customHeight="1">
      <c r="A170" s="9">
        <v>45856.0</v>
      </c>
      <c r="B170" s="2">
        <v>12800.0</v>
      </c>
      <c r="C170" s="1">
        <v>4.25</v>
      </c>
      <c r="D170" s="14"/>
      <c r="E170" s="3">
        <f t="shared" si="5"/>
        <v>54400</v>
      </c>
      <c r="F170" s="10"/>
      <c r="G170" s="11"/>
      <c r="H170" s="6">
        <f t="shared" si="2"/>
        <v>373040.24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9.5" customHeight="1">
      <c r="A171" s="9">
        <v>45856.0</v>
      </c>
      <c r="B171" s="2">
        <v>10000.0</v>
      </c>
      <c r="C171" s="1">
        <v>4.25</v>
      </c>
      <c r="D171" s="14"/>
      <c r="E171" s="3">
        <f t="shared" si="5"/>
        <v>42500</v>
      </c>
      <c r="F171" s="10"/>
      <c r="G171" s="11"/>
      <c r="H171" s="6">
        <f t="shared" si="2"/>
        <v>415540.24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9.5" customHeight="1">
      <c r="A172" s="9">
        <v>45856.0</v>
      </c>
      <c r="B172" s="13"/>
      <c r="C172" s="8"/>
      <c r="D172" s="14"/>
      <c r="E172" s="3">
        <f t="shared" si="5"/>
        <v>0</v>
      </c>
      <c r="F172" s="10"/>
      <c r="G172" s="5">
        <v>70000.0</v>
      </c>
      <c r="H172" s="6">
        <f t="shared" si="2"/>
        <v>345540.24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9.5" customHeight="1">
      <c r="A173" s="9">
        <v>45857.0</v>
      </c>
      <c r="B173" s="13"/>
      <c r="C173" s="8"/>
      <c r="D173" s="14"/>
      <c r="E173" s="3">
        <f t="shared" si="5"/>
        <v>0</v>
      </c>
      <c r="F173" s="10"/>
      <c r="G173" s="5">
        <v>5785.0</v>
      </c>
      <c r="H173" s="6">
        <f t="shared" si="2"/>
        <v>339755.24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9.5" customHeight="1">
      <c r="A174" s="9">
        <v>45857.0</v>
      </c>
      <c r="B174" s="13"/>
      <c r="C174" s="8"/>
      <c r="D174" s="14"/>
      <c r="E174" s="3">
        <f t="shared" si="5"/>
        <v>0</v>
      </c>
      <c r="F174" s="10"/>
      <c r="G174" s="5">
        <v>24000.0</v>
      </c>
      <c r="H174" s="6">
        <f t="shared" si="2"/>
        <v>315755.24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9.5" customHeight="1">
      <c r="A175" s="9">
        <v>45857.0</v>
      </c>
      <c r="B175" s="13"/>
      <c r="C175" s="8"/>
      <c r="D175" s="14"/>
      <c r="E175" s="3">
        <f t="shared" si="5"/>
        <v>0</v>
      </c>
      <c r="F175" s="10"/>
      <c r="G175" s="5">
        <v>25000.0</v>
      </c>
      <c r="H175" s="6">
        <f t="shared" si="2"/>
        <v>290755.24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9.5" customHeight="1">
      <c r="A176" s="9">
        <v>45858.0</v>
      </c>
      <c r="B176" s="2">
        <v>5500.0</v>
      </c>
      <c r="C176" s="1">
        <v>4.25</v>
      </c>
      <c r="D176" s="14"/>
      <c r="E176" s="3">
        <f t="shared" si="5"/>
        <v>23375</v>
      </c>
      <c r="F176" s="10"/>
      <c r="G176" s="11"/>
      <c r="H176" s="6">
        <f t="shared" si="2"/>
        <v>314130.24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9.5" customHeight="1">
      <c r="A177" s="9">
        <v>45858.0</v>
      </c>
      <c r="B177" s="13"/>
      <c r="C177" s="8"/>
      <c r="D177" s="14"/>
      <c r="E177" s="3">
        <f t="shared" si="5"/>
        <v>0</v>
      </c>
      <c r="F177" s="10"/>
      <c r="G177" s="5">
        <v>68000.0</v>
      </c>
      <c r="H177" s="6">
        <f t="shared" si="2"/>
        <v>246130.24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9.5" customHeight="1">
      <c r="A178" s="9">
        <v>45858.0</v>
      </c>
      <c r="B178" s="2">
        <v>8800.0</v>
      </c>
      <c r="C178" s="1">
        <v>4.25</v>
      </c>
      <c r="D178" s="14"/>
      <c r="E178" s="3">
        <f t="shared" si="5"/>
        <v>37400</v>
      </c>
      <c r="F178" s="10"/>
      <c r="G178" s="11"/>
      <c r="H178" s="6">
        <f t="shared" si="2"/>
        <v>283530.24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9.5" customHeight="1">
      <c r="A179" s="9">
        <v>45858.0</v>
      </c>
      <c r="B179" s="2">
        <v>2480.0</v>
      </c>
      <c r="C179" s="1">
        <v>4.25</v>
      </c>
      <c r="D179" s="14"/>
      <c r="E179" s="3">
        <f t="shared" si="5"/>
        <v>10540</v>
      </c>
      <c r="F179" s="10"/>
      <c r="G179" s="11"/>
      <c r="H179" s="6">
        <f t="shared" si="2"/>
        <v>294070.24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9.5" customHeight="1">
      <c r="A180" s="9">
        <v>45858.0</v>
      </c>
      <c r="B180" s="2">
        <v>500.0</v>
      </c>
      <c r="C180" s="1">
        <v>4.25</v>
      </c>
      <c r="D180" s="14"/>
      <c r="E180" s="3">
        <f t="shared" si="5"/>
        <v>2125</v>
      </c>
      <c r="F180" s="10"/>
      <c r="G180" s="11"/>
      <c r="H180" s="6">
        <f t="shared" si="2"/>
        <v>296195.24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9.5" customHeight="1">
      <c r="A181" s="9">
        <v>45858.0</v>
      </c>
      <c r="B181" s="13"/>
      <c r="C181" s="8"/>
      <c r="D181" s="14"/>
      <c r="E181" s="3">
        <f t="shared" si="5"/>
        <v>0</v>
      </c>
      <c r="F181" s="10"/>
      <c r="G181" s="5">
        <v>52000.0</v>
      </c>
      <c r="H181" s="6">
        <f t="shared" si="2"/>
        <v>244195.24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9.5" customHeight="1">
      <c r="A182" s="9">
        <v>45858.0</v>
      </c>
      <c r="B182" s="13"/>
      <c r="C182" s="8"/>
      <c r="D182" s="14"/>
      <c r="E182" s="3">
        <f t="shared" si="5"/>
        <v>0</v>
      </c>
      <c r="F182" s="10"/>
      <c r="G182" s="5">
        <v>50000.0</v>
      </c>
      <c r="H182" s="6">
        <f t="shared" si="2"/>
        <v>194195.24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9.5" customHeight="1">
      <c r="A183" s="9">
        <v>45858.0</v>
      </c>
      <c r="B183" s="13"/>
      <c r="C183" s="8"/>
      <c r="D183" s="14"/>
      <c r="E183" s="3">
        <f t="shared" si="5"/>
        <v>0</v>
      </c>
      <c r="F183" s="10"/>
      <c r="G183" s="5">
        <v>30000.0</v>
      </c>
      <c r="H183" s="6">
        <f t="shared" si="2"/>
        <v>164195.24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9.5" customHeight="1">
      <c r="A184" s="9">
        <v>45859.0</v>
      </c>
      <c r="B184" s="2">
        <v>39800.0</v>
      </c>
      <c r="C184" s="1">
        <v>4.24</v>
      </c>
      <c r="D184" s="14"/>
      <c r="E184" s="3">
        <f t="shared" si="5"/>
        <v>168752</v>
      </c>
      <c r="F184" s="10"/>
      <c r="G184" s="11"/>
      <c r="H184" s="6">
        <f t="shared" si="2"/>
        <v>332947.24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9.5" customHeight="1">
      <c r="A185" s="9">
        <v>45859.0</v>
      </c>
      <c r="B185" s="2">
        <v>23600.0</v>
      </c>
      <c r="C185" s="1">
        <v>4.24</v>
      </c>
      <c r="D185" s="14"/>
      <c r="E185" s="3">
        <f t="shared" si="5"/>
        <v>100064</v>
      </c>
      <c r="F185" s="10"/>
      <c r="G185" s="11"/>
      <c r="H185" s="6">
        <f t="shared" si="2"/>
        <v>433011.24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9.5" customHeight="1">
      <c r="A186" s="9">
        <v>45859.0</v>
      </c>
      <c r="B186" s="2">
        <v>17900.0</v>
      </c>
      <c r="C186" s="1">
        <v>4.24</v>
      </c>
      <c r="D186" s="14"/>
      <c r="E186" s="3">
        <f t="shared" si="5"/>
        <v>75896</v>
      </c>
      <c r="F186" s="10"/>
      <c r="G186" s="11"/>
      <c r="H186" s="6">
        <f t="shared" si="2"/>
        <v>508907.24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9.5" customHeight="1">
      <c r="A187" s="9">
        <v>45860.0</v>
      </c>
      <c r="B187" s="13"/>
      <c r="C187" s="8"/>
      <c r="D187" s="14"/>
      <c r="E187" s="3">
        <f t="shared" si="5"/>
        <v>0</v>
      </c>
      <c r="F187" s="10"/>
      <c r="G187" s="5">
        <v>140000.0</v>
      </c>
      <c r="H187" s="6">
        <f t="shared" si="2"/>
        <v>368907.24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9.5" customHeight="1">
      <c r="A188" s="9">
        <v>45860.0</v>
      </c>
      <c r="B188" s="2">
        <v>100.0</v>
      </c>
      <c r="C188" s="1">
        <v>4.24</v>
      </c>
      <c r="D188" s="14"/>
      <c r="E188" s="3">
        <f t="shared" si="5"/>
        <v>424</v>
      </c>
      <c r="F188" s="10"/>
      <c r="G188" s="11"/>
      <c r="H188" s="6">
        <f t="shared" si="2"/>
        <v>369331.24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9.5" customHeight="1">
      <c r="A189" s="9">
        <v>45860.0</v>
      </c>
      <c r="B189" s="2">
        <v>25800.0</v>
      </c>
      <c r="C189" s="1">
        <v>4.24</v>
      </c>
      <c r="D189" s="14"/>
      <c r="E189" s="3">
        <f t="shared" si="5"/>
        <v>109392</v>
      </c>
      <c r="F189" s="10"/>
      <c r="G189" s="11"/>
      <c r="H189" s="6">
        <f t="shared" si="2"/>
        <v>478723.24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9.5" customHeight="1">
      <c r="A190" s="9">
        <v>45860.0</v>
      </c>
      <c r="B190" s="2">
        <v>11700.0</v>
      </c>
      <c r="C190" s="1">
        <v>4.24</v>
      </c>
      <c r="D190" s="14"/>
      <c r="E190" s="3">
        <f t="shared" si="5"/>
        <v>49608</v>
      </c>
      <c r="F190" s="10"/>
      <c r="G190" s="11"/>
      <c r="H190" s="6">
        <f t="shared" si="2"/>
        <v>528331.24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9.5" customHeight="1">
      <c r="A191" s="9">
        <v>45861.0</v>
      </c>
      <c r="B191" s="13"/>
      <c r="C191" s="8"/>
      <c r="D191" s="14"/>
      <c r="E191" s="3">
        <f t="shared" si="5"/>
        <v>0</v>
      </c>
      <c r="F191" s="10"/>
      <c r="G191" s="5">
        <v>50000.0</v>
      </c>
      <c r="H191" s="6">
        <f t="shared" si="2"/>
        <v>478331.24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9.5" customHeight="1">
      <c r="A192" s="9">
        <v>45861.0</v>
      </c>
      <c r="B192" s="2">
        <v>8000.0</v>
      </c>
      <c r="C192" s="1">
        <v>4.25</v>
      </c>
      <c r="D192" s="14"/>
      <c r="E192" s="3">
        <f t="shared" si="5"/>
        <v>34000</v>
      </c>
      <c r="F192" s="10"/>
      <c r="G192" s="11"/>
      <c r="H192" s="6">
        <f t="shared" si="2"/>
        <v>512331.24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9.5" customHeight="1">
      <c r="A193" s="9">
        <v>45861.0</v>
      </c>
      <c r="B193" s="2">
        <v>13000.0</v>
      </c>
      <c r="C193" s="1">
        <v>4.25</v>
      </c>
      <c r="D193" s="14"/>
      <c r="E193" s="3">
        <f t="shared" si="5"/>
        <v>55250</v>
      </c>
      <c r="F193" s="10"/>
      <c r="G193" s="11"/>
      <c r="H193" s="6">
        <f t="shared" si="2"/>
        <v>567581.24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9.5" customHeight="1">
      <c r="A194" s="9">
        <v>45861.0</v>
      </c>
      <c r="B194" s="2">
        <v>100.0</v>
      </c>
      <c r="C194" s="1">
        <v>4.25</v>
      </c>
      <c r="D194" s="14"/>
      <c r="E194" s="3">
        <f t="shared" si="5"/>
        <v>425</v>
      </c>
      <c r="F194" s="10"/>
      <c r="G194" s="11"/>
      <c r="H194" s="6">
        <f t="shared" si="2"/>
        <v>568006.24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9.5" customHeight="1">
      <c r="A195" s="9">
        <v>45862.0</v>
      </c>
      <c r="B195" s="13"/>
      <c r="C195" s="8"/>
      <c r="D195" s="14"/>
      <c r="E195" s="3">
        <f t="shared" si="5"/>
        <v>0</v>
      </c>
      <c r="F195" s="10"/>
      <c r="G195" s="5">
        <v>100000.0</v>
      </c>
      <c r="H195" s="6">
        <f t="shared" si="2"/>
        <v>468006.24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9.5" customHeight="1">
      <c r="A196" s="9">
        <v>45862.0</v>
      </c>
      <c r="B196" s="2">
        <v>7200.0</v>
      </c>
      <c r="C196" s="1">
        <v>4.25</v>
      </c>
      <c r="D196" s="14"/>
      <c r="E196" s="3">
        <f t="shared" si="5"/>
        <v>30600</v>
      </c>
      <c r="F196" s="10"/>
      <c r="G196" s="11"/>
      <c r="H196" s="6">
        <f t="shared" si="2"/>
        <v>498606.24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9.5" customHeight="1">
      <c r="A197" s="9">
        <v>45862.0</v>
      </c>
      <c r="B197" s="2">
        <v>12500.0</v>
      </c>
      <c r="C197" s="1">
        <v>4.25</v>
      </c>
      <c r="D197" s="14"/>
      <c r="E197" s="3">
        <f t="shared" si="5"/>
        <v>53125</v>
      </c>
      <c r="F197" s="10"/>
      <c r="G197" s="11"/>
      <c r="H197" s="6">
        <f t="shared" si="2"/>
        <v>551731.24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9.5" customHeight="1">
      <c r="A198" s="9">
        <v>45862.0</v>
      </c>
      <c r="B198" s="2">
        <v>17400.0</v>
      </c>
      <c r="C198" s="1">
        <v>4.25</v>
      </c>
      <c r="D198" s="14"/>
      <c r="E198" s="3">
        <f t="shared" si="5"/>
        <v>73950</v>
      </c>
      <c r="F198" s="10"/>
      <c r="G198" s="11"/>
      <c r="H198" s="6">
        <f t="shared" si="2"/>
        <v>625681.24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9.5" customHeight="1">
      <c r="A199" s="9">
        <v>45863.0</v>
      </c>
      <c r="B199" s="13"/>
      <c r="C199" s="8"/>
      <c r="D199" s="14"/>
      <c r="E199" s="3">
        <f t="shared" si="5"/>
        <v>0</v>
      </c>
      <c r="F199" s="10"/>
      <c r="G199" s="5">
        <v>100000.0</v>
      </c>
      <c r="H199" s="6">
        <f t="shared" si="2"/>
        <v>525681.24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9.5" customHeight="1">
      <c r="A200" s="9">
        <v>45863.0</v>
      </c>
      <c r="B200" s="2">
        <v>7200.0</v>
      </c>
      <c r="C200" s="1">
        <v>4.25</v>
      </c>
      <c r="D200" s="14"/>
      <c r="E200" s="3">
        <f t="shared" si="5"/>
        <v>30600</v>
      </c>
      <c r="F200" s="10"/>
      <c r="G200" s="11"/>
      <c r="H200" s="6">
        <f t="shared" si="2"/>
        <v>556281.24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9.5" customHeight="1">
      <c r="A201" s="9">
        <v>45863.0</v>
      </c>
      <c r="B201" s="2">
        <v>20400.0</v>
      </c>
      <c r="C201" s="1">
        <v>4.25</v>
      </c>
      <c r="D201" s="14"/>
      <c r="E201" s="3">
        <f t="shared" si="5"/>
        <v>86700</v>
      </c>
      <c r="F201" s="10"/>
      <c r="G201" s="11"/>
      <c r="H201" s="6">
        <f t="shared" si="2"/>
        <v>642981.24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9.5" customHeight="1">
      <c r="A202" s="9">
        <v>45864.0</v>
      </c>
      <c r="B202" s="2">
        <v>100.0</v>
      </c>
      <c r="C202" s="1">
        <v>4.25</v>
      </c>
      <c r="D202" s="14"/>
      <c r="E202" s="3">
        <f t="shared" si="5"/>
        <v>425</v>
      </c>
      <c r="F202" s="10"/>
      <c r="G202" s="11"/>
      <c r="H202" s="6">
        <f t="shared" si="2"/>
        <v>643406.24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9.5" customHeight="1">
      <c r="A203" s="9">
        <v>45865.0</v>
      </c>
      <c r="B203" s="13"/>
      <c r="C203" s="8"/>
      <c r="D203" s="14"/>
      <c r="E203" s="3">
        <f t="shared" si="5"/>
        <v>0</v>
      </c>
      <c r="F203" s="10"/>
      <c r="G203" s="5">
        <v>250000.0</v>
      </c>
      <c r="H203" s="6">
        <f t="shared" si="2"/>
        <v>393406.24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9.5" customHeight="1">
      <c r="A204" s="9">
        <v>45865.0</v>
      </c>
      <c r="B204" s="2">
        <v>100.0</v>
      </c>
      <c r="C204" s="1">
        <v>4.25</v>
      </c>
      <c r="D204" s="14"/>
      <c r="E204" s="3">
        <f t="shared" si="5"/>
        <v>425</v>
      </c>
      <c r="F204" s="10"/>
      <c r="G204" s="11"/>
      <c r="H204" s="6">
        <f t="shared" si="2"/>
        <v>393831.24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9.5" customHeight="1">
      <c r="A205" s="9">
        <v>45865.0</v>
      </c>
      <c r="B205" s="2">
        <v>12200.0</v>
      </c>
      <c r="C205" s="1">
        <v>4.25</v>
      </c>
      <c r="D205" s="14"/>
      <c r="E205" s="3">
        <f t="shared" si="5"/>
        <v>51850</v>
      </c>
      <c r="F205" s="10"/>
      <c r="G205" s="11"/>
      <c r="H205" s="6">
        <f t="shared" si="2"/>
        <v>445681.24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9.5" customHeight="1">
      <c r="A206" s="9">
        <v>45865.0</v>
      </c>
      <c r="B206" s="2">
        <v>18300.0</v>
      </c>
      <c r="C206" s="1">
        <v>4.25</v>
      </c>
      <c r="D206" s="14"/>
      <c r="E206" s="3">
        <f t="shared" si="5"/>
        <v>77775</v>
      </c>
      <c r="F206" s="10"/>
      <c r="G206" s="5">
        <v>390000.0</v>
      </c>
      <c r="H206" s="6">
        <f t="shared" si="2"/>
        <v>133456.24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9.5" customHeight="1">
      <c r="A207" s="9">
        <v>45867.0</v>
      </c>
      <c r="B207" s="2">
        <v>33520.0</v>
      </c>
      <c r="C207" s="1">
        <v>4.25</v>
      </c>
      <c r="D207" s="14"/>
      <c r="E207" s="3">
        <f t="shared" si="5"/>
        <v>142460</v>
      </c>
      <c r="F207" s="10"/>
      <c r="G207" s="11"/>
      <c r="H207" s="6">
        <f t="shared" si="2"/>
        <v>275916.24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9.5" customHeight="1">
      <c r="A208" s="9">
        <v>45867.0</v>
      </c>
      <c r="B208" s="2">
        <v>13700.0</v>
      </c>
      <c r="C208" s="1">
        <v>4.25</v>
      </c>
      <c r="D208" s="14"/>
      <c r="E208" s="3">
        <f t="shared" si="5"/>
        <v>58225</v>
      </c>
      <c r="F208" s="10"/>
      <c r="G208" s="11"/>
      <c r="H208" s="6">
        <f t="shared" si="2"/>
        <v>334141.24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9.5" customHeight="1">
      <c r="A209" s="9">
        <v>45867.0</v>
      </c>
      <c r="B209" s="2">
        <v>1000.0</v>
      </c>
      <c r="C209" s="1">
        <v>4.25</v>
      </c>
      <c r="D209" s="14"/>
      <c r="E209" s="3">
        <f t="shared" si="5"/>
        <v>4250</v>
      </c>
      <c r="F209" s="10"/>
      <c r="G209" s="11"/>
      <c r="H209" s="6">
        <f t="shared" si="2"/>
        <v>338391.24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9.5" customHeight="1">
      <c r="A210" s="9">
        <v>45868.0</v>
      </c>
      <c r="B210" s="2">
        <v>12000.0</v>
      </c>
      <c r="C210" s="1">
        <v>4.26</v>
      </c>
      <c r="D210" s="14"/>
      <c r="E210" s="3">
        <f t="shared" si="5"/>
        <v>51120</v>
      </c>
      <c r="F210" s="10"/>
      <c r="G210" s="11"/>
      <c r="H210" s="6">
        <f t="shared" si="2"/>
        <v>389511.24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9.5" customHeight="1">
      <c r="A211" s="9">
        <v>45869.0</v>
      </c>
      <c r="B211" s="2">
        <v>10000.0</v>
      </c>
      <c r="C211" s="1">
        <v>4.26</v>
      </c>
      <c r="D211" s="14"/>
      <c r="E211" s="3">
        <f t="shared" si="5"/>
        <v>42600</v>
      </c>
      <c r="F211" s="10"/>
      <c r="G211" s="11"/>
      <c r="H211" s="6">
        <f t="shared" si="2"/>
        <v>432111.24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9.5" customHeight="1">
      <c r="A212" s="9">
        <v>45869.0</v>
      </c>
      <c r="B212" s="2">
        <v>17500.0</v>
      </c>
      <c r="C212" s="1">
        <v>4.26</v>
      </c>
      <c r="D212" s="14"/>
      <c r="E212" s="3">
        <f t="shared" si="5"/>
        <v>74550</v>
      </c>
      <c r="F212" s="10"/>
      <c r="G212" s="11"/>
      <c r="H212" s="6">
        <f t="shared" si="2"/>
        <v>506661.24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9.5" customHeight="1">
      <c r="A213" s="9">
        <v>45870.0</v>
      </c>
      <c r="B213" s="2">
        <v>3999.0</v>
      </c>
      <c r="C213" s="1">
        <v>4.26</v>
      </c>
      <c r="D213" s="14"/>
      <c r="E213" s="3">
        <v>17036.0</v>
      </c>
      <c r="F213" s="10"/>
      <c r="G213" s="11"/>
      <c r="H213" s="6">
        <f t="shared" si="2"/>
        <v>523697.24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9.5" customHeight="1">
      <c r="A214" s="9">
        <v>45870.0</v>
      </c>
      <c r="B214" s="13"/>
      <c r="C214" s="8"/>
      <c r="D214" s="14"/>
      <c r="E214" s="3">
        <f>B214*C214</f>
        <v>0</v>
      </c>
      <c r="F214" s="10"/>
      <c r="G214" s="5">
        <v>250000.0</v>
      </c>
      <c r="H214" s="6">
        <f t="shared" si="2"/>
        <v>273697.24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9.5" customHeight="1">
      <c r="A215" s="9">
        <v>45872.0</v>
      </c>
      <c r="B215" s="2">
        <v>7299.0</v>
      </c>
      <c r="C215" s="1">
        <v>4.27</v>
      </c>
      <c r="D215" s="14"/>
      <c r="E215" s="3">
        <v>31167.0</v>
      </c>
      <c r="F215" s="10"/>
      <c r="G215" s="11"/>
      <c r="H215" s="6">
        <f t="shared" si="2"/>
        <v>304864.24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9.5" customHeight="1">
      <c r="A216" s="9">
        <v>45873.0</v>
      </c>
      <c r="B216" s="2">
        <v>7200.0</v>
      </c>
      <c r="C216" s="1">
        <v>4.27</v>
      </c>
      <c r="D216" s="14"/>
      <c r="E216" s="3">
        <f t="shared" ref="E216:E246" si="6">B216*C216</f>
        <v>30744</v>
      </c>
      <c r="F216" s="10"/>
      <c r="G216" s="11"/>
      <c r="H216" s="6">
        <f t="shared" si="2"/>
        <v>335608.24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9.5" customHeight="1">
      <c r="A217" s="9">
        <v>45873.0</v>
      </c>
      <c r="B217" s="2">
        <v>13700.0</v>
      </c>
      <c r="C217" s="1">
        <v>4.27</v>
      </c>
      <c r="D217" s="14"/>
      <c r="E217" s="3">
        <f t="shared" si="6"/>
        <v>58499</v>
      </c>
      <c r="F217" s="10"/>
      <c r="G217" s="11"/>
      <c r="H217" s="6">
        <f t="shared" si="2"/>
        <v>394107.24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9.5" customHeight="1">
      <c r="A218" s="9">
        <v>45873.0</v>
      </c>
      <c r="B218" s="2">
        <v>8500.0</v>
      </c>
      <c r="C218" s="1">
        <v>4.27</v>
      </c>
      <c r="D218" s="14"/>
      <c r="E218" s="3">
        <f t="shared" si="6"/>
        <v>36295</v>
      </c>
      <c r="F218" s="10"/>
      <c r="G218" s="11"/>
      <c r="H218" s="6">
        <f t="shared" si="2"/>
        <v>430402.24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9.5" customHeight="1">
      <c r="A219" s="9">
        <v>45873.0</v>
      </c>
      <c r="B219" s="13"/>
      <c r="C219" s="8"/>
      <c r="D219" s="14"/>
      <c r="E219" s="3">
        <f t="shared" si="6"/>
        <v>0</v>
      </c>
      <c r="F219" s="10"/>
      <c r="G219" s="5">
        <v>50000.0</v>
      </c>
      <c r="H219" s="6">
        <f t="shared" si="2"/>
        <v>380402.24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9.5" customHeight="1">
      <c r="A220" s="9">
        <v>45873.0</v>
      </c>
      <c r="B220" s="13"/>
      <c r="C220" s="8"/>
      <c r="D220" s="14"/>
      <c r="E220" s="3">
        <f t="shared" si="6"/>
        <v>0</v>
      </c>
      <c r="F220" s="10"/>
      <c r="G220" s="5">
        <v>40000.0</v>
      </c>
      <c r="H220" s="6">
        <f t="shared" si="2"/>
        <v>340402.24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9.5" customHeight="1">
      <c r="A221" s="9">
        <v>45874.0</v>
      </c>
      <c r="B221" s="2">
        <v>4200.0</v>
      </c>
      <c r="C221" s="1">
        <v>4.27</v>
      </c>
      <c r="D221" s="14"/>
      <c r="E221" s="3">
        <f t="shared" si="6"/>
        <v>17934</v>
      </c>
      <c r="F221" s="10"/>
      <c r="G221" s="11"/>
      <c r="H221" s="6">
        <f t="shared" si="2"/>
        <v>358336.24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9.5" customHeight="1">
      <c r="A222" s="9">
        <v>45874.0</v>
      </c>
      <c r="B222" s="2">
        <v>19400.0</v>
      </c>
      <c r="C222" s="1">
        <v>4.27</v>
      </c>
      <c r="D222" s="14"/>
      <c r="E222" s="3">
        <f t="shared" si="6"/>
        <v>82838</v>
      </c>
      <c r="F222" s="10"/>
      <c r="G222" s="11"/>
      <c r="H222" s="6">
        <f t="shared" si="2"/>
        <v>441174.24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9.5" customHeight="1">
      <c r="A223" s="9">
        <v>45874.0</v>
      </c>
      <c r="B223" s="13"/>
      <c r="C223" s="8"/>
      <c r="D223" s="14"/>
      <c r="E223" s="3">
        <f t="shared" si="6"/>
        <v>0</v>
      </c>
      <c r="F223" s="10"/>
      <c r="G223" s="5">
        <v>50000.0</v>
      </c>
      <c r="H223" s="6">
        <f t="shared" si="2"/>
        <v>391174.24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9.5" customHeight="1">
      <c r="A224" s="9">
        <v>45874.0</v>
      </c>
      <c r="B224" s="13"/>
      <c r="C224" s="8"/>
      <c r="D224" s="14"/>
      <c r="E224" s="3">
        <f t="shared" si="6"/>
        <v>0</v>
      </c>
      <c r="F224" s="10"/>
      <c r="G224" s="5">
        <v>30000.0</v>
      </c>
      <c r="H224" s="6">
        <f t="shared" si="2"/>
        <v>361174.24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9.5" customHeight="1">
      <c r="A225" s="9">
        <v>45874.0</v>
      </c>
      <c r="B225" s="13"/>
      <c r="C225" s="8"/>
      <c r="D225" s="14"/>
      <c r="E225" s="3">
        <f t="shared" si="6"/>
        <v>0</v>
      </c>
      <c r="F225" s="10"/>
      <c r="G225" s="5">
        <v>30762.0</v>
      </c>
      <c r="H225" s="6">
        <f t="shared" si="2"/>
        <v>330412.24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9.5" customHeight="1">
      <c r="A226" s="9">
        <v>45875.0</v>
      </c>
      <c r="B226" s="2">
        <v>10800.0</v>
      </c>
      <c r="C226" s="1">
        <v>4.27</v>
      </c>
      <c r="D226" s="14"/>
      <c r="E226" s="3">
        <f t="shared" si="6"/>
        <v>46116</v>
      </c>
      <c r="F226" s="10"/>
      <c r="G226" s="11"/>
      <c r="H226" s="6">
        <f t="shared" si="2"/>
        <v>376528.24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9.5" customHeight="1">
      <c r="A227" s="9">
        <v>45875.0</v>
      </c>
      <c r="B227" s="2">
        <v>20300.0</v>
      </c>
      <c r="C227" s="1">
        <v>4.27</v>
      </c>
      <c r="D227" s="14"/>
      <c r="E227" s="3">
        <f t="shared" si="6"/>
        <v>86681</v>
      </c>
      <c r="F227" s="10"/>
      <c r="G227" s="11"/>
      <c r="H227" s="6">
        <f t="shared" si="2"/>
        <v>463209.24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9.5" customHeight="1">
      <c r="A228" s="9">
        <v>45876.0</v>
      </c>
      <c r="B228" s="2">
        <v>500.0</v>
      </c>
      <c r="C228" s="1">
        <v>4.27</v>
      </c>
      <c r="D228" s="14"/>
      <c r="E228" s="3">
        <f t="shared" si="6"/>
        <v>2135</v>
      </c>
      <c r="F228" s="10"/>
      <c r="G228" s="11"/>
      <c r="H228" s="6">
        <f t="shared" si="2"/>
        <v>465344.24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9.5" customHeight="1">
      <c r="A229" s="9">
        <v>45876.0</v>
      </c>
      <c r="B229" s="2">
        <v>7200.0</v>
      </c>
      <c r="C229" s="1">
        <v>4.27</v>
      </c>
      <c r="D229" s="14"/>
      <c r="E229" s="3">
        <f t="shared" si="6"/>
        <v>30744</v>
      </c>
      <c r="F229" s="10"/>
      <c r="G229" s="11"/>
      <c r="H229" s="6">
        <f t="shared" si="2"/>
        <v>496088.24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9.5" customHeight="1">
      <c r="A230" s="9">
        <v>45876.0</v>
      </c>
      <c r="B230" s="2">
        <v>5200.0</v>
      </c>
      <c r="C230" s="1">
        <v>4.27</v>
      </c>
      <c r="D230" s="14"/>
      <c r="E230" s="3">
        <f t="shared" si="6"/>
        <v>22204</v>
      </c>
      <c r="F230" s="10"/>
      <c r="G230" s="11"/>
      <c r="H230" s="6">
        <f t="shared" si="2"/>
        <v>518292.24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9.5" customHeight="1">
      <c r="A231" s="9">
        <v>45877.0</v>
      </c>
      <c r="B231" s="2">
        <v>23400.0</v>
      </c>
      <c r="C231" s="1">
        <v>4.27</v>
      </c>
      <c r="D231" s="14"/>
      <c r="E231" s="3">
        <f t="shared" si="6"/>
        <v>99918</v>
      </c>
      <c r="F231" s="10"/>
      <c r="G231" s="11"/>
      <c r="H231" s="6">
        <f t="shared" si="2"/>
        <v>618210.24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9.5" customHeight="1">
      <c r="A232" s="9">
        <v>45878.0</v>
      </c>
      <c r="B232" s="2">
        <v>8700.0</v>
      </c>
      <c r="C232" s="1">
        <v>4.27</v>
      </c>
      <c r="D232" s="14"/>
      <c r="E232" s="3">
        <f t="shared" si="6"/>
        <v>37149</v>
      </c>
      <c r="F232" s="10"/>
      <c r="G232" s="11"/>
      <c r="H232" s="6">
        <f t="shared" si="2"/>
        <v>655359.24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9.5" customHeight="1">
      <c r="A233" s="9">
        <v>45878.0</v>
      </c>
      <c r="B233" s="2">
        <v>8600.0</v>
      </c>
      <c r="C233" s="1">
        <v>4.27</v>
      </c>
      <c r="D233" s="14"/>
      <c r="E233" s="3">
        <f t="shared" si="6"/>
        <v>36722</v>
      </c>
      <c r="F233" s="10"/>
      <c r="G233" s="11"/>
      <c r="H233" s="6">
        <f t="shared" si="2"/>
        <v>692081.24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9.5" customHeight="1">
      <c r="A234" s="9">
        <v>45878.0</v>
      </c>
      <c r="B234" s="13"/>
      <c r="C234" s="8"/>
      <c r="D234" s="14"/>
      <c r="E234" s="3">
        <f t="shared" si="6"/>
        <v>0</v>
      </c>
      <c r="F234" s="10"/>
      <c r="G234" s="5">
        <v>90000.0</v>
      </c>
      <c r="H234" s="6">
        <f t="shared" si="2"/>
        <v>602081.24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9.5" customHeight="1">
      <c r="A235" s="9">
        <v>45878.0</v>
      </c>
      <c r="B235" s="13"/>
      <c r="C235" s="8"/>
      <c r="D235" s="14"/>
      <c r="E235" s="3">
        <f t="shared" si="6"/>
        <v>0</v>
      </c>
      <c r="F235" s="10"/>
      <c r="G235" s="5">
        <v>230000.0</v>
      </c>
      <c r="H235" s="6">
        <f t="shared" si="2"/>
        <v>372081.24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9.5" customHeight="1">
      <c r="A236" s="9">
        <v>45878.0</v>
      </c>
      <c r="B236" s="2">
        <v>8800.0</v>
      </c>
      <c r="C236" s="1">
        <v>4.27</v>
      </c>
      <c r="D236" s="14"/>
      <c r="E236" s="3">
        <f t="shared" si="6"/>
        <v>37576</v>
      </c>
      <c r="F236" s="10"/>
      <c r="G236" s="11"/>
      <c r="H236" s="6">
        <f t="shared" si="2"/>
        <v>409657.24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9.5" customHeight="1">
      <c r="A237" s="9">
        <v>45878.0</v>
      </c>
      <c r="B237" s="13"/>
      <c r="C237" s="8"/>
      <c r="D237" s="14"/>
      <c r="E237" s="3">
        <f t="shared" si="6"/>
        <v>0</v>
      </c>
      <c r="F237" s="10"/>
      <c r="G237" s="5">
        <v>50000.0</v>
      </c>
      <c r="H237" s="6">
        <f t="shared" si="2"/>
        <v>359657.24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9.5" customHeight="1">
      <c r="A238" s="9">
        <v>45878.0</v>
      </c>
      <c r="B238" s="13"/>
      <c r="C238" s="8"/>
      <c r="D238" s="14"/>
      <c r="E238" s="3">
        <f t="shared" si="6"/>
        <v>0</v>
      </c>
      <c r="F238" s="10"/>
      <c r="G238" s="5">
        <v>48000.0</v>
      </c>
      <c r="H238" s="6">
        <f t="shared" si="2"/>
        <v>311657.24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9.5" customHeight="1">
      <c r="A239" s="9">
        <v>45878.0</v>
      </c>
      <c r="B239" s="13"/>
      <c r="C239" s="8"/>
      <c r="D239" s="14"/>
      <c r="E239" s="3">
        <f t="shared" si="6"/>
        <v>0</v>
      </c>
      <c r="F239" s="10"/>
      <c r="G239" s="5">
        <v>29760.0</v>
      </c>
      <c r="H239" s="6">
        <f t="shared" si="2"/>
        <v>281897.24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9.5" customHeight="1">
      <c r="A240" s="9">
        <v>45880.0</v>
      </c>
      <c r="B240" s="2">
        <v>5900.0</v>
      </c>
      <c r="C240" s="1">
        <v>4.27</v>
      </c>
      <c r="D240" s="14"/>
      <c r="E240" s="3">
        <f t="shared" si="6"/>
        <v>25193</v>
      </c>
      <c r="F240" s="10"/>
      <c r="G240" s="11"/>
      <c r="H240" s="6">
        <f t="shared" si="2"/>
        <v>307090.24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9.5" customHeight="1">
      <c r="A241" s="9">
        <v>45880.0</v>
      </c>
      <c r="B241" s="2">
        <v>19700.0</v>
      </c>
      <c r="C241" s="1">
        <v>4.27</v>
      </c>
      <c r="D241" s="14"/>
      <c r="E241" s="3">
        <f t="shared" si="6"/>
        <v>84119</v>
      </c>
      <c r="F241" s="10"/>
      <c r="G241" s="11"/>
      <c r="H241" s="6">
        <f t="shared" si="2"/>
        <v>391209.24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9.5" customHeight="1">
      <c r="A242" s="9">
        <v>45881.0</v>
      </c>
      <c r="B242" s="2">
        <v>11400.0</v>
      </c>
      <c r="C242" s="1">
        <v>4.27</v>
      </c>
      <c r="D242" s="14"/>
      <c r="E242" s="3">
        <f t="shared" si="6"/>
        <v>48678</v>
      </c>
      <c r="F242" s="10"/>
      <c r="G242" s="11"/>
      <c r="H242" s="6">
        <f t="shared" si="2"/>
        <v>439887.24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9.5" customHeight="1">
      <c r="A243" s="9">
        <v>45881.0</v>
      </c>
      <c r="B243" s="2">
        <v>900.0</v>
      </c>
      <c r="C243" s="1">
        <v>4.27</v>
      </c>
      <c r="D243" s="14"/>
      <c r="E243" s="3">
        <f t="shared" si="6"/>
        <v>3843</v>
      </c>
      <c r="F243" s="10"/>
      <c r="G243" s="11"/>
      <c r="H243" s="6">
        <f t="shared" si="2"/>
        <v>443730.24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9.5" customHeight="1">
      <c r="A244" s="9">
        <v>45883.0</v>
      </c>
      <c r="B244" s="2">
        <v>1800.0</v>
      </c>
      <c r="C244" s="1">
        <v>4.27</v>
      </c>
      <c r="D244" s="14"/>
      <c r="E244" s="3">
        <f t="shared" si="6"/>
        <v>7686</v>
      </c>
      <c r="F244" s="10"/>
      <c r="G244" s="11"/>
      <c r="H244" s="6">
        <f t="shared" si="2"/>
        <v>451416.24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9.5" customHeight="1">
      <c r="A245" s="9">
        <v>45883.0</v>
      </c>
      <c r="B245" s="13"/>
      <c r="C245" s="8"/>
      <c r="D245" s="14"/>
      <c r="E245" s="3">
        <f t="shared" si="6"/>
        <v>0</v>
      </c>
      <c r="F245" s="10"/>
      <c r="G245" s="5">
        <v>100000.0</v>
      </c>
      <c r="H245" s="6">
        <f t="shared" si="2"/>
        <v>351416.24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9.5" customHeight="1">
      <c r="A246" s="9">
        <v>45884.0</v>
      </c>
      <c r="B246" s="13"/>
      <c r="C246" s="8"/>
      <c r="D246" s="14"/>
      <c r="E246" s="3">
        <f t="shared" si="6"/>
        <v>0</v>
      </c>
      <c r="F246" s="10"/>
      <c r="G246" s="5">
        <v>250000.0</v>
      </c>
      <c r="H246" s="6">
        <f t="shared" si="2"/>
        <v>101416.24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9.5" customHeight="1">
      <c r="A247" s="9">
        <v>45884.0</v>
      </c>
      <c r="B247" s="2">
        <v>14899.0</v>
      </c>
      <c r="C247" s="1">
        <v>4.27</v>
      </c>
      <c r="D247" s="14"/>
      <c r="E247" s="3">
        <v>63619.0</v>
      </c>
      <c r="F247" s="10"/>
      <c r="G247" s="11"/>
      <c r="H247" s="6">
        <f t="shared" si="2"/>
        <v>165035.24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9.5" customHeight="1">
      <c r="A248" s="9">
        <v>45884.0</v>
      </c>
      <c r="B248" s="2">
        <v>400.0</v>
      </c>
      <c r="C248" s="1">
        <v>4.27</v>
      </c>
      <c r="D248" s="14"/>
      <c r="E248" s="3">
        <f t="shared" ref="E248:E258" si="7">B248*C248</f>
        <v>1708</v>
      </c>
      <c r="F248" s="10"/>
      <c r="G248" s="11"/>
      <c r="H248" s="6">
        <f t="shared" si="2"/>
        <v>166743.24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9.5" customHeight="1">
      <c r="A249" s="9">
        <v>45884.0</v>
      </c>
      <c r="B249" s="2">
        <v>7600.0</v>
      </c>
      <c r="C249" s="1">
        <v>4.27</v>
      </c>
      <c r="D249" s="14"/>
      <c r="E249" s="3">
        <f t="shared" si="7"/>
        <v>32452</v>
      </c>
      <c r="F249" s="10"/>
      <c r="G249" s="11"/>
      <c r="H249" s="6">
        <f t="shared" si="2"/>
        <v>199195.24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9.5" customHeight="1">
      <c r="A250" s="9">
        <v>45884.0</v>
      </c>
      <c r="B250" s="2">
        <v>11600.0</v>
      </c>
      <c r="C250" s="1">
        <v>4.27</v>
      </c>
      <c r="D250" s="14"/>
      <c r="E250" s="3">
        <f t="shared" si="7"/>
        <v>49532</v>
      </c>
      <c r="F250" s="10"/>
      <c r="G250" s="11"/>
      <c r="H250" s="6">
        <f t="shared" si="2"/>
        <v>248727.24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9.5" customHeight="1">
      <c r="A251" s="9">
        <v>45885.0</v>
      </c>
      <c r="B251" s="2">
        <v>21300.0</v>
      </c>
      <c r="C251" s="1">
        <v>4.27</v>
      </c>
      <c r="D251" s="14"/>
      <c r="E251" s="3">
        <f t="shared" si="7"/>
        <v>90951</v>
      </c>
      <c r="F251" s="10"/>
      <c r="G251" s="11"/>
      <c r="H251" s="6">
        <f t="shared" si="2"/>
        <v>339678.24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9.5" customHeight="1">
      <c r="A252" s="9">
        <v>45886.0</v>
      </c>
      <c r="B252" s="2">
        <v>10800.0</v>
      </c>
      <c r="C252" s="1">
        <v>4.27</v>
      </c>
      <c r="D252" s="14"/>
      <c r="E252" s="3">
        <f t="shared" si="7"/>
        <v>46116</v>
      </c>
      <c r="F252" s="10"/>
      <c r="G252" s="11"/>
      <c r="H252" s="6">
        <f t="shared" si="2"/>
        <v>385794.24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9.5" customHeight="1">
      <c r="A253" s="9">
        <v>45886.0</v>
      </c>
      <c r="B253" s="2">
        <v>300.0</v>
      </c>
      <c r="C253" s="1">
        <v>4.27</v>
      </c>
      <c r="D253" s="14"/>
      <c r="E253" s="3">
        <f t="shared" si="7"/>
        <v>1281</v>
      </c>
      <c r="F253" s="10"/>
      <c r="G253" s="11"/>
      <c r="H253" s="6">
        <f t="shared" si="2"/>
        <v>387075.24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9.5" customHeight="1">
      <c r="A254" s="9">
        <v>45886.0</v>
      </c>
      <c r="B254" s="13"/>
      <c r="C254" s="8"/>
      <c r="D254" s="14"/>
      <c r="E254" s="3">
        <f t="shared" si="7"/>
        <v>0</v>
      </c>
      <c r="F254" s="10"/>
      <c r="G254" s="5">
        <v>100000.0</v>
      </c>
      <c r="H254" s="6">
        <f t="shared" si="2"/>
        <v>287075.24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9.5" customHeight="1">
      <c r="A255" s="9">
        <v>45887.0</v>
      </c>
      <c r="B255" s="2">
        <v>22600.0</v>
      </c>
      <c r="C255" s="1">
        <v>4.27</v>
      </c>
      <c r="D255" s="14"/>
      <c r="E255" s="3">
        <f t="shared" si="7"/>
        <v>96502</v>
      </c>
      <c r="F255" s="10"/>
      <c r="G255" s="11"/>
      <c r="H255" s="6">
        <f t="shared" si="2"/>
        <v>383577.24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9.5" customHeight="1">
      <c r="A256" s="9">
        <v>45888.0</v>
      </c>
      <c r="B256" s="2">
        <v>45800.0</v>
      </c>
      <c r="C256" s="1">
        <v>4.28</v>
      </c>
      <c r="D256" s="14"/>
      <c r="E256" s="3">
        <f t="shared" si="7"/>
        <v>196024</v>
      </c>
      <c r="F256" s="10"/>
      <c r="G256" s="11"/>
      <c r="H256" s="6">
        <f t="shared" si="2"/>
        <v>579601.24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9.5" customHeight="1">
      <c r="A257" s="9">
        <v>45888.0</v>
      </c>
      <c r="B257" s="2">
        <v>100.0</v>
      </c>
      <c r="C257" s="1">
        <v>4.28</v>
      </c>
      <c r="D257" s="14"/>
      <c r="E257" s="3">
        <f t="shared" si="7"/>
        <v>428</v>
      </c>
      <c r="F257" s="10"/>
      <c r="G257" s="11"/>
      <c r="H257" s="6">
        <f t="shared" si="2"/>
        <v>580029.24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9.5" customHeight="1">
      <c r="A258" s="9">
        <v>45887.0</v>
      </c>
      <c r="B258" s="13"/>
      <c r="C258" s="8"/>
      <c r="D258" s="14"/>
      <c r="E258" s="3">
        <f t="shared" si="7"/>
        <v>0</v>
      </c>
      <c r="F258" s="10"/>
      <c r="G258" s="5">
        <v>200000.0</v>
      </c>
      <c r="H258" s="6">
        <f t="shared" si="2"/>
        <v>380029.24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9.5" customHeight="1">
      <c r="A259" s="9">
        <v>45888.0</v>
      </c>
      <c r="B259" s="2">
        <v>23165.0</v>
      </c>
      <c r="C259" s="1">
        <v>4.28</v>
      </c>
      <c r="D259" s="14"/>
      <c r="E259" s="3">
        <v>99147.0</v>
      </c>
      <c r="F259" s="10"/>
      <c r="G259" s="11"/>
      <c r="H259" s="6">
        <f t="shared" si="2"/>
        <v>479176.24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9.5" customHeight="1">
      <c r="A260" s="9">
        <v>45888.0</v>
      </c>
      <c r="B260" s="13"/>
      <c r="C260" s="8"/>
      <c r="D260" s="14"/>
      <c r="E260" s="3">
        <f t="shared" ref="E260:E280" si="8">B260*C260</f>
        <v>0</v>
      </c>
      <c r="F260" s="10"/>
      <c r="G260" s="5">
        <v>29000.0</v>
      </c>
      <c r="H260" s="6">
        <f t="shared" si="2"/>
        <v>450176.24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9.5" customHeight="1">
      <c r="A261" s="9">
        <v>45888.0</v>
      </c>
      <c r="B261" s="2">
        <v>15200.0</v>
      </c>
      <c r="C261" s="1">
        <v>4.28</v>
      </c>
      <c r="D261" s="14"/>
      <c r="E261" s="3">
        <f t="shared" si="8"/>
        <v>65056</v>
      </c>
      <c r="F261" s="10"/>
      <c r="G261" s="11"/>
      <c r="H261" s="6">
        <f t="shared" si="2"/>
        <v>515232.24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9.5" customHeight="1">
      <c r="A262" s="9">
        <v>45888.0</v>
      </c>
      <c r="B262" s="2">
        <v>11000.0</v>
      </c>
      <c r="C262" s="1">
        <v>4.28</v>
      </c>
      <c r="D262" s="14"/>
      <c r="E262" s="3">
        <f t="shared" si="8"/>
        <v>47080</v>
      </c>
      <c r="F262" s="10"/>
      <c r="G262" s="11"/>
      <c r="H262" s="6">
        <f t="shared" si="2"/>
        <v>562312.24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9.5" customHeight="1">
      <c r="A263" s="9">
        <v>45888.0</v>
      </c>
      <c r="B263" s="2">
        <v>8500.0</v>
      </c>
      <c r="C263" s="1">
        <v>4.28</v>
      </c>
      <c r="D263" s="14"/>
      <c r="E263" s="3">
        <f t="shared" si="8"/>
        <v>36380</v>
      </c>
      <c r="F263" s="10"/>
      <c r="G263" s="11"/>
      <c r="H263" s="6">
        <f t="shared" si="2"/>
        <v>598692.24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9.5" customHeight="1">
      <c r="A264" s="9">
        <v>45890.0</v>
      </c>
      <c r="B264" s="13"/>
      <c r="C264" s="8"/>
      <c r="D264" s="14"/>
      <c r="E264" s="3">
        <f t="shared" si="8"/>
        <v>0</v>
      </c>
      <c r="F264" s="10"/>
      <c r="G264" s="5">
        <v>220000.0</v>
      </c>
      <c r="H264" s="6">
        <f t="shared" si="2"/>
        <v>378692.24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9.5" customHeight="1">
      <c r="A265" s="9">
        <v>45890.0</v>
      </c>
      <c r="B265" s="2">
        <v>19600.0</v>
      </c>
      <c r="C265" s="1">
        <v>4.34</v>
      </c>
      <c r="D265" s="14"/>
      <c r="E265" s="3">
        <f t="shared" si="8"/>
        <v>85064</v>
      </c>
      <c r="F265" s="10"/>
      <c r="G265" s="11"/>
      <c r="H265" s="6">
        <f t="shared" si="2"/>
        <v>463756.24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9.5" customHeight="1">
      <c r="A266" s="9">
        <v>45890.0</v>
      </c>
      <c r="B266" s="2">
        <v>33300.0</v>
      </c>
      <c r="C266" s="1">
        <v>4.34</v>
      </c>
      <c r="D266" s="14"/>
      <c r="E266" s="3">
        <f t="shared" si="8"/>
        <v>144522</v>
      </c>
      <c r="F266" s="10"/>
      <c r="G266" s="11"/>
      <c r="H266" s="6">
        <f t="shared" si="2"/>
        <v>608278.24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9.5" customHeight="1">
      <c r="A267" s="9">
        <v>45891.0</v>
      </c>
      <c r="B267" s="2">
        <v>300.0</v>
      </c>
      <c r="C267" s="1">
        <v>4.34</v>
      </c>
      <c r="D267" s="14"/>
      <c r="E267" s="3">
        <f t="shared" si="8"/>
        <v>1302</v>
      </c>
      <c r="F267" s="10"/>
      <c r="G267" s="11"/>
      <c r="H267" s="6">
        <f t="shared" si="2"/>
        <v>609580.24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9.5" customHeight="1">
      <c r="A268" s="9">
        <v>45892.0</v>
      </c>
      <c r="B268" s="2">
        <v>9300.0</v>
      </c>
      <c r="C268" s="1">
        <v>4.35</v>
      </c>
      <c r="D268" s="14"/>
      <c r="E268" s="3">
        <f t="shared" si="8"/>
        <v>40455</v>
      </c>
      <c r="F268" s="10"/>
      <c r="G268" s="11"/>
      <c r="H268" s="6">
        <f t="shared" si="2"/>
        <v>650035.24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9.5" customHeight="1">
      <c r="A269" s="9">
        <v>45892.0</v>
      </c>
      <c r="B269" s="2">
        <v>22200.0</v>
      </c>
      <c r="C269" s="1">
        <v>4.35</v>
      </c>
      <c r="D269" s="14"/>
      <c r="E269" s="3">
        <f t="shared" si="8"/>
        <v>96570</v>
      </c>
      <c r="F269" s="10"/>
      <c r="G269" s="11"/>
      <c r="H269" s="6">
        <f t="shared" si="2"/>
        <v>746605.24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9.5" customHeight="1">
      <c r="A270" s="9">
        <v>45893.0</v>
      </c>
      <c r="B270" s="13"/>
      <c r="C270" s="8"/>
      <c r="D270" s="14"/>
      <c r="E270" s="3">
        <f t="shared" si="8"/>
        <v>0</v>
      </c>
      <c r="F270" s="10"/>
      <c r="G270" s="5">
        <v>340000.0</v>
      </c>
      <c r="H270" s="6">
        <f t="shared" si="2"/>
        <v>406605.24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9.5" customHeight="1">
      <c r="A271" s="9">
        <v>45893.0</v>
      </c>
      <c r="B271" s="2">
        <v>700.0</v>
      </c>
      <c r="C271" s="1">
        <v>4.35</v>
      </c>
      <c r="D271" s="14"/>
      <c r="E271" s="3">
        <f t="shared" si="8"/>
        <v>3045</v>
      </c>
      <c r="F271" s="10"/>
      <c r="G271" s="11"/>
      <c r="H271" s="6">
        <f t="shared" si="2"/>
        <v>409650.24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9.5" customHeight="1">
      <c r="A272" s="9">
        <v>45893.0</v>
      </c>
      <c r="B272" s="2">
        <v>4300.0</v>
      </c>
      <c r="C272" s="1">
        <v>4.35</v>
      </c>
      <c r="D272" s="14"/>
      <c r="E272" s="3">
        <f t="shared" si="8"/>
        <v>18705</v>
      </c>
      <c r="F272" s="10"/>
      <c r="G272" s="11"/>
      <c r="H272" s="6">
        <f t="shared" si="2"/>
        <v>428355.24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9.5" customHeight="1">
      <c r="A273" s="9">
        <v>45893.0</v>
      </c>
      <c r="B273" s="2">
        <v>11200.0</v>
      </c>
      <c r="C273" s="1">
        <v>4.35</v>
      </c>
      <c r="D273" s="14"/>
      <c r="E273" s="3">
        <f t="shared" si="8"/>
        <v>48720</v>
      </c>
      <c r="F273" s="10"/>
      <c r="G273" s="11"/>
      <c r="H273" s="6">
        <f t="shared" si="2"/>
        <v>477075.24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9.5" customHeight="1">
      <c r="A274" s="9">
        <v>45893.0</v>
      </c>
      <c r="B274" s="2">
        <v>2900.0</v>
      </c>
      <c r="C274" s="1">
        <v>4.35</v>
      </c>
      <c r="D274" s="14"/>
      <c r="E274" s="3">
        <f t="shared" si="8"/>
        <v>12615</v>
      </c>
      <c r="F274" s="10"/>
      <c r="G274" s="11"/>
      <c r="H274" s="6">
        <f t="shared" si="2"/>
        <v>489690.24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9.5" customHeight="1">
      <c r="A275" s="9">
        <v>45894.0</v>
      </c>
      <c r="B275" s="13"/>
      <c r="C275" s="8"/>
      <c r="D275" s="14"/>
      <c r="E275" s="3">
        <f t="shared" si="8"/>
        <v>0</v>
      </c>
      <c r="F275" s="10"/>
      <c r="G275" s="5">
        <v>200000.0</v>
      </c>
      <c r="H275" s="6">
        <f t="shared" si="2"/>
        <v>289690.24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9.5" customHeight="1">
      <c r="A276" s="9">
        <v>45893.0</v>
      </c>
      <c r="B276" s="2">
        <v>8500.0</v>
      </c>
      <c r="C276" s="1">
        <v>4.35</v>
      </c>
      <c r="D276" s="14"/>
      <c r="E276" s="3">
        <f t="shared" si="8"/>
        <v>36975</v>
      </c>
      <c r="F276" s="10"/>
      <c r="G276" s="11"/>
      <c r="H276" s="6">
        <f t="shared" si="2"/>
        <v>326665.24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9.5" customHeight="1">
      <c r="A277" s="9">
        <v>45894.0</v>
      </c>
      <c r="B277" s="2">
        <v>1100.0</v>
      </c>
      <c r="C277" s="1">
        <v>4.35</v>
      </c>
      <c r="D277" s="14"/>
      <c r="E277" s="3">
        <f t="shared" si="8"/>
        <v>4785</v>
      </c>
      <c r="F277" s="10"/>
      <c r="G277" s="11"/>
      <c r="H277" s="6">
        <f t="shared" si="2"/>
        <v>331450.24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9.5" customHeight="1">
      <c r="A278" s="9">
        <v>45896.0</v>
      </c>
      <c r="B278" s="2">
        <v>18000.0</v>
      </c>
      <c r="C278" s="1">
        <v>4.35</v>
      </c>
      <c r="D278" s="14"/>
      <c r="E278" s="3">
        <f t="shared" si="8"/>
        <v>78300</v>
      </c>
      <c r="F278" s="10"/>
      <c r="G278" s="11"/>
      <c r="H278" s="6">
        <f t="shared" si="2"/>
        <v>409750.24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9.5" customHeight="1">
      <c r="A279" s="9">
        <v>45896.0</v>
      </c>
      <c r="B279" s="2">
        <v>12500.0</v>
      </c>
      <c r="C279" s="1">
        <v>4.35</v>
      </c>
      <c r="D279" s="14"/>
      <c r="E279" s="3">
        <f t="shared" si="8"/>
        <v>54375</v>
      </c>
      <c r="F279" s="10"/>
      <c r="G279" s="11"/>
      <c r="H279" s="6">
        <f t="shared" si="2"/>
        <v>464125.24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9.5" customHeight="1">
      <c r="A280" s="9">
        <v>45898.0</v>
      </c>
      <c r="B280" s="2">
        <v>20700.0</v>
      </c>
      <c r="C280" s="1">
        <v>4.35</v>
      </c>
      <c r="D280" s="14"/>
      <c r="E280" s="3">
        <f t="shared" si="8"/>
        <v>90045</v>
      </c>
      <c r="F280" s="10"/>
      <c r="G280" s="11"/>
      <c r="H280" s="6">
        <f t="shared" si="2"/>
        <v>554170.24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9.5" customHeight="1">
      <c r="A281" s="9">
        <v>45898.0</v>
      </c>
      <c r="B281" s="2">
        <v>2599.0</v>
      </c>
      <c r="C281" s="1">
        <v>4.35</v>
      </c>
      <c r="D281" s="14"/>
      <c r="E281" s="3">
        <v>11306.0</v>
      </c>
      <c r="F281" s="10"/>
      <c r="G281" s="11"/>
      <c r="H281" s="6">
        <f t="shared" si="2"/>
        <v>565476.24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9.5" customHeight="1">
      <c r="A282" s="9">
        <v>45898.0</v>
      </c>
      <c r="B282" s="2">
        <v>480.0</v>
      </c>
      <c r="C282" s="1">
        <v>4.35</v>
      </c>
      <c r="D282" s="14"/>
      <c r="E282" s="3">
        <f>B282*C282</f>
        <v>2088</v>
      </c>
      <c r="F282" s="10"/>
      <c r="G282" s="11"/>
      <c r="H282" s="6">
        <f t="shared" si="2"/>
        <v>567564.24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9.5" customHeight="1">
      <c r="A283" s="9">
        <v>45898.0</v>
      </c>
      <c r="B283" s="2">
        <v>13250.0</v>
      </c>
      <c r="C283" s="1">
        <v>4.35</v>
      </c>
      <c r="D283" s="14"/>
      <c r="E283" s="3">
        <v>57638.0</v>
      </c>
      <c r="F283" s="10"/>
      <c r="G283" s="11"/>
      <c r="H283" s="6">
        <f t="shared" si="2"/>
        <v>625202.24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9.5" customHeight="1">
      <c r="A284" s="9">
        <v>45899.0</v>
      </c>
      <c r="B284" s="2">
        <v>300.0</v>
      </c>
      <c r="C284" s="1">
        <v>4.37</v>
      </c>
      <c r="D284" s="14"/>
      <c r="E284" s="3">
        <f t="shared" ref="E284:E315" si="9">B284*C284</f>
        <v>1311</v>
      </c>
      <c r="F284" s="10"/>
      <c r="G284" s="11"/>
      <c r="H284" s="6">
        <f t="shared" si="2"/>
        <v>626513.24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9.5" customHeight="1">
      <c r="A285" s="9">
        <v>45900.0</v>
      </c>
      <c r="B285" s="13"/>
      <c r="C285" s="8"/>
      <c r="D285" s="14"/>
      <c r="E285" s="3">
        <f t="shared" si="9"/>
        <v>0</v>
      </c>
      <c r="F285" s="10"/>
      <c r="G285" s="5">
        <v>250000.0</v>
      </c>
      <c r="H285" s="6">
        <f t="shared" si="2"/>
        <v>376513.24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9.5" customHeight="1">
      <c r="A286" s="9">
        <v>45901.0</v>
      </c>
      <c r="B286" s="13"/>
      <c r="C286" s="8"/>
      <c r="D286" s="14"/>
      <c r="E286" s="3">
        <f t="shared" si="9"/>
        <v>0</v>
      </c>
      <c r="F286" s="10"/>
      <c r="G286" s="5">
        <v>100000.0</v>
      </c>
      <c r="H286" s="6">
        <f t="shared" si="2"/>
        <v>276513.24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9.5" customHeight="1">
      <c r="A287" s="9">
        <v>45901.0</v>
      </c>
      <c r="B287" s="2">
        <v>12200.0</v>
      </c>
      <c r="C287" s="1">
        <v>4.39</v>
      </c>
      <c r="D287" s="14"/>
      <c r="E287" s="3">
        <f t="shared" si="9"/>
        <v>53558</v>
      </c>
      <c r="F287" s="10"/>
      <c r="G287" s="11"/>
      <c r="H287" s="6">
        <f t="shared" si="2"/>
        <v>330071.24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9.5" customHeight="1">
      <c r="A288" s="9">
        <v>45901.0</v>
      </c>
      <c r="B288" s="2">
        <v>5900.0</v>
      </c>
      <c r="C288" s="1">
        <v>4.39</v>
      </c>
      <c r="D288" s="14"/>
      <c r="E288" s="3">
        <f t="shared" si="9"/>
        <v>25901</v>
      </c>
      <c r="F288" s="10"/>
      <c r="G288" s="11"/>
      <c r="H288" s="6">
        <f t="shared" si="2"/>
        <v>355972.24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9.5" customHeight="1">
      <c r="A289" s="9">
        <v>45901.0</v>
      </c>
      <c r="B289" s="2">
        <v>6700.0</v>
      </c>
      <c r="C289" s="1">
        <v>4.39</v>
      </c>
      <c r="D289" s="14"/>
      <c r="E289" s="3">
        <f t="shared" si="9"/>
        <v>29413</v>
      </c>
      <c r="F289" s="10"/>
      <c r="G289" s="11"/>
      <c r="H289" s="6">
        <f t="shared" si="2"/>
        <v>385385.24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9.5" customHeight="1">
      <c r="A290" s="9">
        <v>45902.0</v>
      </c>
      <c r="B290" s="2">
        <v>12600.0</v>
      </c>
      <c r="C290" s="1">
        <v>4.39</v>
      </c>
      <c r="D290" s="14"/>
      <c r="E290" s="3">
        <f t="shared" si="9"/>
        <v>55314</v>
      </c>
      <c r="F290" s="10"/>
      <c r="G290" s="11"/>
      <c r="H290" s="6">
        <f t="shared" si="2"/>
        <v>440699.24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9.5" customHeight="1">
      <c r="A291" s="9">
        <v>45903.0</v>
      </c>
      <c r="B291" s="2">
        <v>8800.0</v>
      </c>
      <c r="C291" s="1">
        <v>4.39</v>
      </c>
      <c r="D291" s="14"/>
      <c r="E291" s="3">
        <f t="shared" si="9"/>
        <v>38632</v>
      </c>
      <c r="F291" s="10"/>
      <c r="G291" s="11"/>
      <c r="H291" s="6">
        <f t="shared" si="2"/>
        <v>479331.24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9.5" customHeight="1">
      <c r="A292" s="9">
        <v>45904.0</v>
      </c>
      <c r="B292" s="2">
        <v>8500.0</v>
      </c>
      <c r="C292" s="1">
        <v>4.39</v>
      </c>
      <c r="D292" s="14"/>
      <c r="E292" s="3">
        <f t="shared" si="9"/>
        <v>37315</v>
      </c>
      <c r="F292" s="10"/>
      <c r="G292" s="11"/>
      <c r="H292" s="6">
        <f t="shared" si="2"/>
        <v>516646.24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9.5" customHeight="1">
      <c r="A293" s="9">
        <v>45904.0</v>
      </c>
      <c r="B293" s="2">
        <v>10000.0</v>
      </c>
      <c r="C293" s="1">
        <v>4.39</v>
      </c>
      <c r="D293" s="14"/>
      <c r="E293" s="3">
        <f t="shared" si="9"/>
        <v>43900</v>
      </c>
      <c r="F293" s="10"/>
      <c r="G293" s="11"/>
      <c r="H293" s="6">
        <f t="shared" si="2"/>
        <v>560546.24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9.5" customHeight="1">
      <c r="A294" s="9">
        <v>45904.0</v>
      </c>
      <c r="B294" s="2">
        <v>10200.0</v>
      </c>
      <c r="C294" s="1">
        <v>4.39</v>
      </c>
      <c r="D294" s="14"/>
      <c r="E294" s="3">
        <f t="shared" si="9"/>
        <v>44778</v>
      </c>
      <c r="F294" s="10"/>
      <c r="G294" s="11"/>
      <c r="H294" s="6">
        <f t="shared" si="2"/>
        <v>605324.24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9.5" customHeight="1">
      <c r="A295" s="9">
        <v>45905.0</v>
      </c>
      <c r="B295" s="13"/>
      <c r="C295" s="8"/>
      <c r="D295" s="14"/>
      <c r="E295" s="3">
        <f t="shared" si="9"/>
        <v>0</v>
      </c>
      <c r="F295" s="10"/>
      <c r="G295" s="5">
        <v>100000.0</v>
      </c>
      <c r="H295" s="6">
        <f t="shared" si="2"/>
        <v>505324.24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9.5" customHeight="1">
      <c r="A296" s="9">
        <v>45906.0</v>
      </c>
      <c r="B296" s="13"/>
      <c r="C296" s="8"/>
      <c r="D296" s="14"/>
      <c r="E296" s="3">
        <f t="shared" si="9"/>
        <v>0</v>
      </c>
      <c r="F296" s="10"/>
      <c r="G296" s="5">
        <v>100000.0</v>
      </c>
      <c r="H296" s="6">
        <f t="shared" si="2"/>
        <v>405324.24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9.5" customHeight="1">
      <c r="A297" s="9">
        <v>45906.0</v>
      </c>
      <c r="B297" s="2">
        <v>500.0</v>
      </c>
      <c r="C297" s="1">
        <v>4.39</v>
      </c>
      <c r="D297" s="14"/>
      <c r="E297" s="3">
        <f t="shared" si="9"/>
        <v>2195</v>
      </c>
      <c r="F297" s="10"/>
      <c r="G297" s="11"/>
      <c r="H297" s="6">
        <f t="shared" si="2"/>
        <v>407519.24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9.5" customHeight="1">
      <c r="A298" s="9">
        <v>45907.0</v>
      </c>
      <c r="B298" s="13"/>
      <c r="C298" s="8"/>
      <c r="D298" s="14"/>
      <c r="E298" s="3">
        <f t="shared" si="9"/>
        <v>0</v>
      </c>
      <c r="F298" s="10"/>
      <c r="G298" s="5">
        <v>190000.0</v>
      </c>
      <c r="H298" s="6">
        <f t="shared" si="2"/>
        <v>217519.24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9.5" customHeight="1">
      <c r="A299" s="9">
        <v>45907.0</v>
      </c>
      <c r="B299" s="2">
        <v>16500.0</v>
      </c>
      <c r="C299" s="1">
        <v>4.39</v>
      </c>
      <c r="D299" s="14"/>
      <c r="E299" s="3">
        <f t="shared" si="9"/>
        <v>72435</v>
      </c>
      <c r="F299" s="10"/>
      <c r="G299" s="11"/>
      <c r="H299" s="6">
        <f t="shared" si="2"/>
        <v>289954.24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9.5" customHeight="1">
      <c r="A300" s="9">
        <v>45907.0</v>
      </c>
      <c r="B300" s="2">
        <v>14000.0</v>
      </c>
      <c r="C300" s="1">
        <v>4.39</v>
      </c>
      <c r="D300" s="14"/>
      <c r="E300" s="3">
        <f t="shared" si="9"/>
        <v>61460</v>
      </c>
      <c r="F300" s="10"/>
      <c r="G300" s="11"/>
      <c r="H300" s="6">
        <f t="shared" si="2"/>
        <v>351414.24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9.5" customHeight="1">
      <c r="A301" s="9">
        <v>45908.0</v>
      </c>
      <c r="B301" s="2">
        <v>14600.0</v>
      </c>
      <c r="C301" s="1">
        <v>4.39</v>
      </c>
      <c r="D301" s="14"/>
      <c r="E301" s="3">
        <f t="shared" si="9"/>
        <v>64094</v>
      </c>
      <c r="F301" s="10"/>
      <c r="G301" s="11"/>
      <c r="H301" s="6">
        <f t="shared" si="2"/>
        <v>415508.24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9.5" customHeight="1">
      <c r="A302" s="9">
        <v>45908.0</v>
      </c>
      <c r="B302" s="13"/>
      <c r="C302" s="8"/>
      <c r="D302" s="14"/>
      <c r="E302" s="3">
        <f t="shared" si="9"/>
        <v>0</v>
      </c>
      <c r="F302" s="10"/>
      <c r="G302" s="5">
        <v>100000.0</v>
      </c>
      <c r="H302" s="6">
        <f t="shared" si="2"/>
        <v>315508.24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9.5" customHeight="1">
      <c r="A303" s="9">
        <v>45909.0</v>
      </c>
      <c r="B303" s="2">
        <v>13100.0</v>
      </c>
      <c r="C303" s="1">
        <v>4.38</v>
      </c>
      <c r="D303" s="14"/>
      <c r="E303" s="3">
        <f t="shared" si="9"/>
        <v>57378</v>
      </c>
      <c r="F303" s="10"/>
      <c r="G303" s="11"/>
      <c r="H303" s="6">
        <f t="shared" si="2"/>
        <v>372886.24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9.5" customHeight="1">
      <c r="A304" s="9">
        <v>45909.0</v>
      </c>
      <c r="B304" s="2">
        <v>11300.0</v>
      </c>
      <c r="C304" s="1">
        <v>4.38</v>
      </c>
      <c r="D304" s="14"/>
      <c r="E304" s="3">
        <f t="shared" si="9"/>
        <v>49494</v>
      </c>
      <c r="F304" s="10"/>
      <c r="G304" s="11"/>
      <c r="H304" s="6">
        <f t="shared" si="2"/>
        <v>422380.24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9.5" customHeight="1">
      <c r="A305" s="9">
        <v>45909.0</v>
      </c>
      <c r="B305" s="2">
        <v>300.0</v>
      </c>
      <c r="C305" s="1">
        <v>4.38</v>
      </c>
      <c r="D305" s="14"/>
      <c r="E305" s="3">
        <f t="shared" si="9"/>
        <v>1314</v>
      </c>
      <c r="F305" s="10"/>
      <c r="G305" s="11"/>
      <c r="H305" s="6">
        <f t="shared" si="2"/>
        <v>423694.24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9.5" customHeight="1">
      <c r="A306" s="9">
        <v>45910.0</v>
      </c>
      <c r="B306" s="2">
        <v>7000.0</v>
      </c>
      <c r="C306" s="1">
        <v>4.37</v>
      </c>
      <c r="D306" s="14"/>
      <c r="E306" s="3">
        <f t="shared" si="9"/>
        <v>30590</v>
      </c>
      <c r="F306" s="10"/>
      <c r="G306" s="11"/>
      <c r="H306" s="6">
        <f t="shared" si="2"/>
        <v>454284.24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9.5" customHeight="1">
      <c r="A307" s="9">
        <v>45912.0</v>
      </c>
      <c r="B307" s="2">
        <v>3300.0</v>
      </c>
      <c r="C307" s="1">
        <v>4.37</v>
      </c>
      <c r="D307" s="14"/>
      <c r="E307" s="3">
        <f t="shared" si="9"/>
        <v>14421</v>
      </c>
      <c r="F307" s="10"/>
      <c r="G307" s="11"/>
      <c r="H307" s="6">
        <f t="shared" si="2"/>
        <v>468705.24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9.5" customHeight="1">
      <c r="A308" s="9">
        <v>45912.0</v>
      </c>
      <c r="B308" s="2">
        <v>1800.0</v>
      </c>
      <c r="C308" s="1">
        <v>4.37</v>
      </c>
      <c r="D308" s="14"/>
      <c r="E308" s="3">
        <f t="shared" si="9"/>
        <v>7866</v>
      </c>
      <c r="F308" s="10"/>
      <c r="G308" s="11"/>
      <c r="H308" s="6">
        <f t="shared" si="2"/>
        <v>476571.24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9.5" customHeight="1">
      <c r="A309" s="9">
        <v>45912.0</v>
      </c>
      <c r="B309" s="13"/>
      <c r="C309" s="8"/>
      <c r="D309" s="14"/>
      <c r="E309" s="3">
        <f t="shared" si="9"/>
        <v>0</v>
      </c>
      <c r="F309" s="10"/>
      <c r="G309" s="5">
        <v>100000.0</v>
      </c>
      <c r="H309" s="6">
        <f t="shared" si="2"/>
        <v>376571.24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9.5" customHeight="1">
      <c r="A310" s="9">
        <v>45914.0</v>
      </c>
      <c r="B310" s="13"/>
      <c r="C310" s="8"/>
      <c r="D310" s="14"/>
      <c r="E310" s="3">
        <f t="shared" si="9"/>
        <v>0</v>
      </c>
      <c r="F310" s="10"/>
      <c r="G310" s="5">
        <v>140000.0</v>
      </c>
      <c r="H310" s="6">
        <f t="shared" si="2"/>
        <v>236571.24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9.5" customHeight="1">
      <c r="A311" s="9">
        <v>45914.0</v>
      </c>
      <c r="B311" s="2">
        <v>7900.0</v>
      </c>
      <c r="C311" s="1">
        <v>4.37</v>
      </c>
      <c r="D311" s="14"/>
      <c r="E311" s="3">
        <f t="shared" si="9"/>
        <v>34523</v>
      </c>
      <c r="F311" s="10"/>
      <c r="G311" s="11"/>
      <c r="H311" s="6">
        <f t="shared" si="2"/>
        <v>271094.24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9.5" customHeight="1">
      <c r="A312" s="9">
        <v>45914.0</v>
      </c>
      <c r="B312" s="2">
        <v>500.0</v>
      </c>
      <c r="C312" s="1">
        <v>4.37</v>
      </c>
      <c r="D312" s="14"/>
      <c r="E312" s="3">
        <f t="shared" si="9"/>
        <v>2185</v>
      </c>
      <c r="F312" s="10"/>
      <c r="G312" s="11"/>
      <c r="H312" s="6">
        <f t="shared" si="2"/>
        <v>273279.24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9.5" customHeight="1">
      <c r="A313" s="9">
        <v>45915.0</v>
      </c>
      <c r="B313" s="2">
        <v>23800.0</v>
      </c>
      <c r="C313" s="1">
        <v>4.35</v>
      </c>
      <c r="D313" s="14"/>
      <c r="E313" s="3">
        <f t="shared" si="9"/>
        <v>103530</v>
      </c>
      <c r="F313" s="10"/>
      <c r="G313" s="11"/>
      <c r="H313" s="6">
        <f t="shared" si="2"/>
        <v>376809.24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9.5" customHeight="1">
      <c r="A314" s="9">
        <v>45915.0</v>
      </c>
      <c r="B314" s="2">
        <v>16000.0</v>
      </c>
      <c r="C314" s="1">
        <v>4.35</v>
      </c>
      <c r="D314" s="14"/>
      <c r="E314" s="3">
        <f t="shared" si="9"/>
        <v>69600</v>
      </c>
      <c r="F314" s="10"/>
      <c r="G314" s="11"/>
      <c r="H314" s="6">
        <f t="shared" si="2"/>
        <v>446409.24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9.5" customHeight="1">
      <c r="A315" s="9">
        <v>45915.0</v>
      </c>
      <c r="B315" s="2">
        <v>12500.0</v>
      </c>
      <c r="C315" s="1">
        <v>4.35</v>
      </c>
      <c r="D315" s="14"/>
      <c r="E315" s="3">
        <f t="shared" si="9"/>
        <v>54375</v>
      </c>
      <c r="F315" s="10"/>
      <c r="G315" s="11"/>
      <c r="H315" s="6">
        <f t="shared" si="2"/>
        <v>500784.24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9.5" customHeight="1">
      <c r="A316" s="9">
        <v>45916.0</v>
      </c>
      <c r="B316" s="2">
        <v>1070.0</v>
      </c>
      <c r="C316" s="1">
        <v>4.35</v>
      </c>
      <c r="D316" s="14"/>
      <c r="E316" s="3">
        <v>4655.0</v>
      </c>
      <c r="F316" s="10"/>
      <c r="G316" s="11"/>
      <c r="H316" s="6">
        <f t="shared" si="2"/>
        <v>505439.24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9.5" customHeight="1">
      <c r="A317" s="9">
        <v>45916.0</v>
      </c>
      <c r="B317" s="13"/>
      <c r="C317" s="8"/>
      <c r="D317" s="14"/>
      <c r="E317" s="3">
        <f t="shared" ref="E317:E340" si="10">B317*C317</f>
        <v>0</v>
      </c>
      <c r="F317" s="10"/>
      <c r="G317" s="5">
        <v>100000.0</v>
      </c>
      <c r="H317" s="6">
        <f t="shared" si="2"/>
        <v>405439.24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9.5" customHeight="1">
      <c r="A318" s="9">
        <v>45917.0</v>
      </c>
      <c r="B318" s="2">
        <v>10700.0</v>
      </c>
      <c r="C318" s="1">
        <v>4.32</v>
      </c>
      <c r="D318" s="14"/>
      <c r="E318" s="3">
        <f t="shared" si="10"/>
        <v>46224</v>
      </c>
      <c r="F318" s="10"/>
      <c r="G318" s="11"/>
      <c r="H318" s="6">
        <f t="shared" si="2"/>
        <v>451663.24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9.5" customHeight="1">
      <c r="A319" s="9">
        <v>45917.0</v>
      </c>
      <c r="B319" s="2">
        <v>24000.0</v>
      </c>
      <c r="C319" s="1">
        <v>4.32</v>
      </c>
      <c r="D319" s="14"/>
      <c r="E319" s="3">
        <f t="shared" si="10"/>
        <v>103680</v>
      </c>
      <c r="F319" s="10"/>
      <c r="G319" s="11"/>
      <c r="H319" s="6">
        <f t="shared" si="2"/>
        <v>555343.24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9.5" customHeight="1">
      <c r="A320" s="9">
        <v>45919.0</v>
      </c>
      <c r="B320" s="13"/>
      <c r="C320" s="8"/>
      <c r="D320" s="14"/>
      <c r="E320" s="3">
        <f t="shared" si="10"/>
        <v>0</v>
      </c>
      <c r="F320" s="10"/>
      <c r="G320" s="5">
        <v>167800.0</v>
      </c>
      <c r="H320" s="6">
        <f t="shared" si="2"/>
        <v>387543.24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9.5" customHeight="1">
      <c r="A321" s="9">
        <v>45919.0</v>
      </c>
      <c r="B321" s="2">
        <v>10500.0</v>
      </c>
      <c r="C321" s="1">
        <v>4.35</v>
      </c>
      <c r="D321" s="14"/>
      <c r="E321" s="3">
        <f t="shared" si="10"/>
        <v>45675</v>
      </c>
      <c r="F321" s="10"/>
      <c r="G321" s="11"/>
      <c r="H321" s="6">
        <f t="shared" si="2"/>
        <v>433218.24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9.5" customHeight="1">
      <c r="A322" s="9">
        <v>45919.0</v>
      </c>
      <c r="B322" s="2">
        <v>15700.0</v>
      </c>
      <c r="C322" s="1">
        <v>4.35</v>
      </c>
      <c r="D322" s="14"/>
      <c r="E322" s="3">
        <f t="shared" si="10"/>
        <v>68295</v>
      </c>
      <c r="F322" s="10"/>
      <c r="G322" s="11"/>
      <c r="H322" s="6">
        <f t="shared" si="2"/>
        <v>501513.24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9.5" customHeight="1">
      <c r="A323" s="9">
        <v>45919.0</v>
      </c>
      <c r="B323" s="2">
        <v>6300.0</v>
      </c>
      <c r="C323" s="1">
        <v>4.35</v>
      </c>
      <c r="D323" s="14"/>
      <c r="E323" s="3">
        <f t="shared" si="10"/>
        <v>27405</v>
      </c>
      <c r="F323" s="10"/>
      <c r="G323" s="11"/>
      <c r="H323" s="6">
        <f t="shared" si="2"/>
        <v>528918.24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9.5" customHeight="1">
      <c r="A324" s="9">
        <v>45921.0</v>
      </c>
      <c r="B324" s="2">
        <v>55300.0</v>
      </c>
      <c r="C324" s="1">
        <v>4.36</v>
      </c>
      <c r="D324" s="14"/>
      <c r="E324" s="3">
        <f t="shared" si="10"/>
        <v>241108</v>
      </c>
      <c r="F324" s="10"/>
      <c r="G324" s="11"/>
      <c r="H324" s="6">
        <f t="shared" si="2"/>
        <v>770026.24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9.5" customHeight="1">
      <c r="A325" s="9">
        <v>45922.0</v>
      </c>
      <c r="B325" s="2">
        <v>21500.0</v>
      </c>
      <c r="C325" s="1">
        <v>4.37</v>
      </c>
      <c r="D325" s="14"/>
      <c r="E325" s="3">
        <f t="shared" si="10"/>
        <v>93955</v>
      </c>
      <c r="F325" s="10"/>
      <c r="G325" s="11"/>
      <c r="H325" s="6">
        <f t="shared" si="2"/>
        <v>863981.24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9.5" customHeight="1">
      <c r="A326" s="9">
        <v>45922.0</v>
      </c>
      <c r="B326" s="13"/>
      <c r="C326" s="8"/>
      <c r="D326" s="14"/>
      <c r="E326" s="3">
        <f t="shared" si="10"/>
        <v>0</v>
      </c>
      <c r="F326" s="10"/>
      <c r="G326" s="5">
        <v>229099.0</v>
      </c>
      <c r="H326" s="6">
        <f t="shared" si="2"/>
        <v>634882.24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9.5" customHeight="1">
      <c r="A327" s="9">
        <v>45923.0</v>
      </c>
      <c r="B327" s="2">
        <v>17800.0</v>
      </c>
      <c r="C327" s="1">
        <v>4.36</v>
      </c>
      <c r="D327" s="14"/>
      <c r="E327" s="3">
        <f t="shared" si="10"/>
        <v>77608</v>
      </c>
      <c r="F327" s="10"/>
      <c r="G327" s="11"/>
      <c r="H327" s="6">
        <f t="shared" si="2"/>
        <v>712490.24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9.5" customHeight="1">
      <c r="A328" s="9">
        <v>45923.0</v>
      </c>
      <c r="B328" s="2">
        <v>12000.0</v>
      </c>
      <c r="C328" s="1">
        <v>4.36</v>
      </c>
      <c r="D328" s="14"/>
      <c r="E328" s="3">
        <f t="shared" si="10"/>
        <v>52320</v>
      </c>
      <c r="F328" s="10"/>
      <c r="G328" s="11"/>
      <c r="H328" s="6">
        <f t="shared" si="2"/>
        <v>764810.24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9.5" customHeight="1">
      <c r="A329" s="9">
        <v>45923.0</v>
      </c>
      <c r="B329" s="13"/>
      <c r="C329" s="8"/>
      <c r="D329" s="14"/>
      <c r="E329" s="3">
        <f t="shared" si="10"/>
        <v>0</v>
      </c>
      <c r="F329" s="10"/>
      <c r="G329" s="5">
        <v>25000.0</v>
      </c>
      <c r="H329" s="6">
        <f t="shared" si="2"/>
        <v>739810.24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9.5" customHeight="1">
      <c r="A330" s="9">
        <v>45923.0</v>
      </c>
      <c r="B330" s="13"/>
      <c r="C330" s="8"/>
      <c r="D330" s="14"/>
      <c r="E330" s="3">
        <f t="shared" si="10"/>
        <v>0</v>
      </c>
      <c r="F330" s="10"/>
      <c r="G330" s="5">
        <v>22554.0</v>
      </c>
      <c r="H330" s="6">
        <f t="shared" si="2"/>
        <v>717256.24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9.5" customHeight="1">
      <c r="A331" s="9">
        <v>45924.0</v>
      </c>
      <c r="B331" s="13"/>
      <c r="C331" s="8"/>
      <c r="D331" s="14"/>
      <c r="E331" s="3">
        <f t="shared" si="10"/>
        <v>0</v>
      </c>
      <c r="F331" s="10"/>
      <c r="G331" s="5">
        <v>23500.0</v>
      </c>
      <c r="H331" s="6">
        <f t="shared" si="2"/>
        <v>693756.24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9.5" customHeight="1">
      <c r="A332" s="9">
        <v>45924.0</v>
      </c>
      <c r="B332" s="2">
        <v>10900.0</v>
      </c>
      <c r="C332" s="1">
        <v>4.37</v>
      </c>
      <c r="D332" s="14"/>
      <c r="E332" s="3">
        <f t="shared" si="10"/>
        <v>47633</v>
      </c>
      <c r="F332" s="10"/>
      <c r="G332" s="11"/>
      <c r="H332" s="6">
        <f t="shared" si="2"/>
        <v>741389.24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9.5" customHeight="1">
      <c r="A333" s="9">
        <v>45925.0</v>
      </c>
      <c r="B333" s="2">
        <v>100.0</v>
      </c>
      <c r="C333" s="1">
        <v>4.37</v>
      </c>
      <c r="D333" s="14"/>
      <c r="E333" s="3">
        <f t="shared" si="10"/>
        <v>437</v>
      </c>
      <c r="F333" s="10"/>
      <c r="G333" s="11"/>
      <c r="H333" s="6">
        <f t="shared" si="2"/>
        <v>741826.24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9.5" customHeight="1">
      <c r="A334" s="9">
        <v>45927.0</v>
      </c>
      <c r="B334" s="13"/>
      <c r="C334" s="8"/>
      <c r="D334" s="14"/>
      <c r="E334" s="3">
        <f t="shared" si="10"/>
        <v>0</v>
      </c>
      <c r="F334" s="10"/>
      <c r="G334" s="5">
        <v>300000.0</v>
      </c>
      <c r="H334" s="6">
        <f t="shared" si="2"/>
        <v>441826.24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9.5" customHeight="1">
      <c r="A335" s="9">
        <v>45928.0</v>
      </c>
      <c r="B335" s="13"/>
      <c r="C335" s="8"/>
      <c r="D335" s="14"/>
      <c r="E335" s="3">
        <f t="shared" si="10"/>
        <v>0</v>
      </c>
      <c r="F335" s="10"/>
      <c r="G335" s="5">
        <v>255000.0</v>
      </c>
      <c r="H335" s="6">
        <f t="shared" si="2"/>
        <v>186826.24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9.5" customHeight="1">
      <c r="A336" s="9">
        <v>45928.0</v>
      </c>
      <c r="B336" s="13"/>
      <c r="C336" s="8"/>
      <c r="D336" s="14"/>
      <c r="E336" s="3">
        <f t="shared" si="10"/>
        <v>0</v>
      </c>
      <c r="F336" s="10"/>
      <c r="G336" s="5">
        <v>100000.0</v>
      </c>
      <c r="H336" s="6">
        <f t="shared" si="2"/>
        <v>86826.24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9.5" customHeight="1">
      <c r="A337" s="9">
        <v>45929.0</v>
      </c>
      <c r="B337" s="2">
        <v>21300.0</v>
      </c>
      <c r="C337" s="1">
        <v>4.39</v>
      </c>
      <c r="D337" s="14"/>
      <c r="E337" s="3">
        <f t="shared" si="10"/>
        <v>93507</v>
      </c>
      <c r="F337" s="10"/>
      <c r="G337" s="11"/>
      <c r="H337" s="6">
        <f t="shared" si="2"/>
        <v>180333.24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9.5" customHeight="1">
      <c r="A338" s="9">
        <v>45929.0</v>
      </c>
      <c r="B338" s="2">
        <v>14000.0</v>
      </c>
      <c r="C338" s="1">
        <v>4.39</v>
      </c>
      <c r="D338" s="14"/>
      <c r="E338" s="3">
        <f t="shared" si="10"/>
        <v>61460</v>
      </c>
      <c r="F338" s="10"/>
      <c r="G338" s="11"/>
      <c r="H338" s="6">
        <f t="shared" si="2"/>
        <v>241793.24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9.5" customHeight="1">
      <c r="A339" s="9">
        <v>45929.0</v>
      </c>
      <c r="B339" s="2">
        <v>8000.0</v>
      </c>
      <c r="C339" s="1">
        <v>4.39</v>
      </c>
      <c r="D339" s="14"/>
      <c r="E339" s="3">
        <f t="shared" si="10"/>
        <v>35120</v>
      </c>
      <c r="F339" s="10"/>
      <c r="G339" s="11"/>
      <c r="H339" s="6">
        <f t="shared" si="2"/>
        <v>276913.24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9.5" customHeight="1">
      <c r="A340" s="9">
        <v>45930.0</v>
      </c>
      <c r="B340" s="2">
        <v>16300.0</v>
      </c>
      <c r="C340" s="1">
        <v>4.39</v>
      </c>
      <c r="D340" s="14"/>
      <c r="E340" s="3">
        <f t="shared" si="10"/>
        <v>71557</v>
      </c>
      <c r="F340" s="10"/>
      <c r="G340" s="11"/>
      <c r="H340" s="6">
        <f t="shared" si="2"/>
        <v>348470.24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9.5" customHeight="1">
      <c r="A341" s="9">
        <v>45930.0</v>
      </c>
      <c r="B341" s="2">
        <v>2864.0</v>
      </c>
      <c r="C341" s="1">
        <v>4.39</v>
      </c>
      <c r="D341" s="14"/>
      <c r="E341" s="3">
        <v>12573.0</v>
      </c>
      <c r="F341" s="10"/>
      <c r="G341" s="11"/>
      <c r="H341" s="6">
        <f t="shared" si="2"/>
        <v>361043.24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9.5" customHeight="1">
      <c r="A342" s="9">
        <v>45931.0</v>
      </c>
      <c r="B342" s="2">
        <v>4400.0</v>
      </c>
      <c r="C342" s="1">
        <v>4.39</v>
      </c>
      <c r="D342" s="14"/>
      <c r="E342" s="3">
        <f t="shared" ref="E342:E344" si="11">B342*C342</f>
        <v>19316</v>
      </c>
      <c r="F342" s="10"/>
      <c r="G342" s="11"/>
      <c r="H342" s="6">
        <f t="shared" si="2"/>
        <v>380359.24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9.5" customHeight="1">
      <c r="A343" s="9">
        <v>45931.0</v>
      </c>
      <c r="B343" s="2">
        <v>11500.0</v>
      </c>
      <c r="C343" s="1">
        <v>4.39</v>
      </c>
      <c r="D343" s="14"/>
      <c r="E343" s="3">
        <f t="shared" si="11"/>
        <v>50485</v>
      </c>
      <c r="F343" s="10"/>
      <c r="G343" s="11"/>
      <c r="H343" s="6">
        <f t="shared" si="2"/>
        <v>430844.24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9.5" customHeight="1">
      <c r="A344" s="9">
        <v>45931.0</v>
      </c>
      <c r="B344" s="2">
        <v>4600.0</v>
      </c>
      <c r="C344" s="1">
        <v>4.39</v>
      </c>
      <c r="D344" s="14"/>
      <c r="E344" s="3">
        <f t="shared" si="11"/>
        <v>20194</v>
      </c>
      <c r="F344" s="10"/>
      <c r="G344" s="11"/>
      <c r="H344" s="6">
        <f t="shared" si="2"/>
        <v>451038.24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9.5" customHeight="1">
      <c r="A345" s="9">
        <v>45931.0</v>
      </c>
      <c r="B345" s="2">
        <v>456.0</v>
      </c>
      <c r="C345" s="1">
        <v>4.39</v>
      </c>
      <c r="D345" s="14"/>
      <c r="E345" s="3">
        <v>2002.0</v>
      </c>
      <c r="F345" s="10"/>
      <c r="G345" s="11"/>
      <c r="H345" s="6">
        <f t="shared" si="2"/>
        <v>453040.24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9.5" customHeight="1">
      <c r="A346" s="9">
        <v>45931.0</v>
      </c>
      <c r="B346" s="2">
        <v>11800.0</v>
      </c>
      <c r="C346" s="1">
        <v>4.39</v>
      </c>
      <c r="D346" s="14"/>
      <c r="E346" s="3">
        <f t="shared" ref="E346:E351" si="12">B346*C346</f>
        <v>51802</v>
      </c>
      <c r="F346" s="10"/>
      <c r="G346" s="11"/>
      <c r="H346" s="6">
        <f t="shared" si="2"/>
        <v>504842.24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9.5" customHeight="1">
      <c r="A347" s="9">
        <v>45931.0</v>
      </c>
      <c r="B347" s="13"/>
      <c r="C347" s="8"/>
      <c r="D347" s="14"/>
      <c r="E347" s="3">
        <f t="shared" si="12"/>
        <v>0</v>
      </c>
      <c r="F347" s="10"/>
      <c r="G347" s="5">
        <v>100000.0</v>
      </c>
      <c r="H347" s="6">
        <f t="shared" si="2"/>
        <v>404842.24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9.5" customHeight="1">
      <c r="A348" s="9">
        <v>45933.0</v>
      </c>
      <c r="B348" s="2">
        <v>100.0</v>
      </c>
      <c r="C348" s="1">
        <v>4.38</v>
      </c>
      <c r="D348" s="14"/>
      <c r="E348" s="3">
        <f t="shared" si="12"/>
        <v>438</v>
      </c>
      <c r="F348" s="10"/>
      <c r="G348" s="11"/>
      <c r="H348" s="6">
        <f t="shared" si="2"/>
        <v>405280.24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9.5" customHeight="1">
      <c r="A349" s="9">
        <v>45933.0</v>
      </c>
      <c r="B349" s="2">
        <v>12900.0</v>
      </c>
      <c r="C349" s="1">
        <v>4.38</v>
      </c>
      <c r="D349" s="14"/>
      <c r="E349" s="3">
        <f t="shared" si="12"/>
        <v>56502</v>
      </c>
      <c r="F349" s="10"/>
      <c r="G349" s="11"/>
      <c r="H349" s="6">
        <f t="shared" si="2"/>
        <v>461782.24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9.5" customHeight="1">
      <c r="A350" s="9">
        <v>45933.0</v>
      </c>
      <c r="B350" s="2">
        <v>16000.0</v>
      </c>
      <c r="C350" s="1">
        <v>4.38</v>
      </c>
      <c r="D350" s="14"/>
      <c r="E350" s="3">
        <f t="shared" si="12"/>
        <v>70080</v>
      </c>
      <c r="F350" s="10"/>
      <c r="G350" s="11"/>
      <c r="H350" s="6">
        <f t="shared" si="2"/>
        <v>531862.24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9.5" customHeight="1">
      <c r="A351" s="9">
        <v>45933.0</v>
      </c>
      <c r="B351" s="2">
        <v>7200.0</v>
      </c>
      <c r="C351" s="1">
        <v>4.38</v>
      </c>
      <c r="D351" s="14"/>
      <c r="E351" s="3">
        <f t="shared" si="12"/>
        <v>31536</v>
      </c>
      <c r="F351" s="10"/>
      <c r="G351" s="11"/>
      <c r="H351" s="6">
        <f t="shared" si="2"/>
        <v>563398.24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9.5" customHeight="1">
      <c r="A352" s="9">
        <v>45934.0</v>
      </c>
      <c r="B352" s="2">
        <v>680.0</v>
      </c>
      <c r="C352" s="1">
        <v>4.38</v>
      </c>
      <c r="D352" s="14"/>
      <c r="E352" s="3">
        <v>2979.0</v>
      </c>
      <c r="F352" s="10"/>
      <c r="G352" s="11"/>
      <c r="H352" s="6">
        <f t="shared" si="2"/>
        <v>566377.24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9.5" customHeight="1">
      <c r="A353" s="9">
        <v>45935.0</v>
      </c>
      <c r="B353" s="2">
        <v>26300.0</v>
      </c>
      <c r="C353" s="1">
        <v>4.38</v>
      </c>
      <c r="D353" s="14"/>
      <c r="E353" s="3">
        <f t="shared" ref="E353:E358" si="13">B353*C353</f>
        <v>115194</v>
      </c>
      <c r="F353" s="10"/>
      <c r="G353" s="11"/>
      <c r="H353" s="6">
        <f t="shared" si="2"/>
        <v>681571.24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9.5" customHeight="1">
      <c r="A354" s="9">
        <v>45938.0</v>
      </c>
      <c r="B354" s="13"/>
      <c r="C354" s="8"/>
      <c r="D354" s="14"/>
      <c r="E354" s="3">
        <f t="shared" si="13"/>
        <v>0</v>
      </c>
      <c r="F354" s="10"/>
      <c r="G354" s="5">
        <v>120000.0</v>
      </c>
      <c r="H354" s="6">
        <f t="shared" si="2"/>
        <v>561571.24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9.5" customHeight="1">
      <c r="A355" s="9">
        <v>45938.0</v>
      </c>
      <c r="B355" s="2">
        <v>750.0</v>
      </c>
      <c r="C355" s="1">
        <v>4.36</v>
      </c>
      <c r="D355" s="14"/>
      <c r="E355" s="3">
        <f t="shared" si="13"/>
        <v>3270</v>
      </c>
      <c r="F355" s="10"/>
      <c r="G355" s="11"/>
      <c r="H355" s="6">
        <f t="shared" si="2"/>
        <v>564841.24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9.5" customHeight="1">
      <c r="A356" s="9">
        <v>45938.0</v>
      </c>
      <c r="B356" s="13"/>
      <c r="C356" s="8"/>
      <c r="D356" s="14"/>
      <c r="E356" s="3">
        <f t="shared" si="13"/>
        <v>0</v>
      </c>
      <c r="F356" s="10"/>
      <c r="G356" s="5">
        <v>100000.0</v>
      </c>
      <c r="H356" s="6">
        <f t="shared" si="2"/>
        <v>464841.24</v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9.5" customHeight="1">
      <c r="A357" s="9">
        <v>45939.0</v>
      </c>
      <c r="B357" s="2">
        <v>12800.0</v>
      </c>
      <c r="C357" s="1">
        <v>4.36</v>
      </c>
      <c r="D357" s="14"/>
      <c r="E357" s="3">
        <f t="shared" si="13"/>
        <v>55808</v>
      </c>
      <c r="F357" s="10"/>
      <c r="G357" s="11"/>
      <c r="H357" s="6">
        <f t="shared" si="2"/>
        <v>520649.24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9.5" customHeight="1">
      <c r="A358" s="9">
        <v>45939.0</v>
      </c>
      <c r="B358" s="2">
        <v>12700.0</v>
      </c>
      <c r="C358" s="1">
        <v>4.36</v>
      </c>
      <c r="D358" s="14"/>
      <c r="E358" s="3">
        <f t="shared" si="13"/>
        <v>55372</v>
      </c>
      <c r="F358" s="10"/>
      <c r="G358" s="11"/>
      <c r="H358" s="6">
        <f t="shared" si="2"/>
        <v>576021.24</v>
      </c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9.5" customHeight="1">
      <c r="A359" s="9">
        <v>45939.0</v>
      </c>
      <c r="B359" s="2">
        <v>3980.0</v>
      </c>
      <c r="C359" s="1">
        <v>4.36</v>
      </c>
      <c r="D359" s="14"/>
      <c r="E359" s="3">
        <v>17353.0</v>
      </c>
      <c r="F359" s="10"/>
      <c r="G359" s="11"/>
      <c r="H359" s="6">
        <f t="shared" si="2"/>
        <v>593374.24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9.5" customHeight="1">
      <c r="A360" s="9">
        <v>45939.0</v>
      </c>
      <c r="B360" s="2">
        <v>11600.0</v>
      </c>
      <c r="C360" s="1">
        <v>4.36</v>
      </c>
      <c r="D360" s="14"/>
      <c r="E360" s="3">
        <f>B360*C360</f>
        <v>50576</v>
      </c>
      <c r="F360" s="10"/>
      <c r="G360" s="11"/>
      <c r="H360" s="6">
        <f t="shared" si="2"/>
        <v>643950.24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9.5" customHeight="1">
      <c r="A361" s="9">
        <v>45939.0</v>
      </c>
      <c r="B361" s="2">
        <v>5580.0</v>
      </c>
      <c r="C361" s="1">
        <v>4.36</v>
      </c>
      <c r="D361" s="14"/>
      <c r="E361" s="3">
        <v>24329.0</v>
      </c>
      <c r="F361" s="10"/>
      <c r="G361" s="11"/>
      <c r="H361" s="6">
        <f t="shared" si="2"/>
        <v>668279.24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9.5" customHeight="1">
      <c r="A362" s="9">
        <v>45939.0</v>
      </c>
      <c r="B362" s="2">
        <v>6500.0</v>
      </c>
      <c r="C362" s="1">
        <v>4.36</v>
      </c>
      <c r="D362" s="14"/>
      <c r="E362" s="3">
        <f t="shared" ref="E362:E365" si="14">B362*C362</f>
        <v>28340</v>
      </c>
      <c r="F362" s="10"/>
      <c r="G362" s="11"/>
      <c r="H362" s="6">
        <f t="shared" si="2"/>
        <v>696619.24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9.5" customHeight="1">
      <c r="A363" s="9">
        <v>45939.0</v>
      </c>
      <c r="B363" s="13"/>
      <c r="C363" s="8"/>
      <c r="D363" s="14"/>
      <c r="E363" s="3">
        <f t="shared" si="14"/>
        <v>0</v>
      </c>
      <c r="F363" s="10"/>
      <c r="G363" s="5">
        <v>80000.0</v>
      </c>
      <c r="H363" s="6">
        <f t="shared" si="2"/>
        <v>616619.24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9.5" customHeight="1">
      <c r="A364" s="9">
        <v>45940.0</v>
      </c>
      <c r="B364" s="2">
        <v>9500.0</v>
      </c>
      <c r="C364" s="1">
        <v>4.38</v>
      </c>
      <c r="D364" s="14"/>
      <c r="E364" s="3">
        <f t="shared" si="14"/>
        <v>41610</v>
      </c>
      <c r="F364" s="10"/>
      <c r="G364" s="11"/>
      <c r="H364" s="6">
        <f t="shared" si="2"/>
        <v>658229.24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9.5" customHeight="1">
      <c r="A365" s="9">
        <v>45941.0</v>
      </c>
      <c r="B365" s="2">
        <v>200.0</v>
      </c>
      <c r="C365" s="1">
        <v>4.38</v>
      </c>
      <c r="D365" s="14"/>
      <c r="E365" s="3">
        <f t="shared" si="14"/>
        <v>876</v>
      </c>
      <c r="F365" s="10"/>
      <c r="G365" s="11"/>
      <c r="H365" s="6">
        <f t="shared" si="2"/>
        <v>659105.24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9.5" customHeight="1">
      <c r="A366" s="9">
        <v>45942.0</v>
      </c>
      <c r="B366" s="2">
        <v>1680.0</v>
      </c>
      <c r="C366" s="1">
        <v>4.38</v>
      </c>
      <c r="D366" s="14"/>
      <c r="E366" s="3">
        <v>7359.0</v>
      </c>
      <c r="F366" s="10"/>
      <c r="G366" s="11"/>
      <c r="H366" s="6">
        <f t="shared" si="2"/>
        <v>666464.24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9.5" customHeight="1">
      <c r="A367" s="9">
        <v>45942.0</v>
      </c>
      <c r="B367" s="2">
        <v>200.0</v>
      </c>
      <c r="C367" s="1">
        <v>4.38</v>
      </c>
      <c r="D367" s="14"/>
      <c r="E367" s="3">
        <f t="shared" ref="E367:E394" si="15">B367*C367</f>
        <v>876</v>
      </c>
      <c r="F367" s="10"/>
      <c r="G367" s="11"/>
      <c r="H367" s="6">
        <f t="shared" si="2"/>
        <v>667340.24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9.5" customHeight="1">
      <c r="A368" s="9">
        <v>45942.0</v>
      </c>
      <c r="B368" s="13"/>
      <c r="C368" s="8"/>
      <c r="D368" s="14"/>
      <c r="E368" s="3">
        <f t="shared" si="15"/>
        <v>0</v>
      </c>
      <c r="F368" s="10"/>
      <c r="G368" s="5">
        <v>350000.0</v>
      </c>
      <c r="H368" s="6">
        <f t="shared" si="2"/>
        <v>317340.24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9.5" customHeight="1">
      <c r="A369" s="9">
        <v>45943.0</v>
      </c>
      <c r="B369" s="2">
        <v>28300.0</v>
      </c>
      <c r="C369" s="1">
        <v>4.39</v>
      </c>
      <c r="D369" s="14"/>
      <c r="E369" s="3">
        <f t="shared" si="15"/>
        <v>124237</v>
      </c>
      <c r="F369" s="10"/>
      <c r="G369" s="11"/>
      <c r="H369" s="6">
        <f t="shared" si="2"/>
        <v>441577.24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9.5" customHeight="1">
      <c r="A370" s="9">
        <v>45943.0</v>
      </c>
      <c r="B370" s="2">
        <v>12100.0</v>
      </c>
      <c r="C370" s="1">
        <v>4.39</v>
      </c>
      <c r="D370" s="14"/>
      <c r="E370" s="3">
        <f t="shared" si="15"/>
        <v>53119</v>
      </c>
      <c r="F370" s="10"/>
      <c r="G370" s="11"/>
      <c r="H370" s="6">
        <f t="shared" si="2"/>
        <v>494696.24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9.5" customHeight="1">
      <c r="A371" s="9">
        <v>45944.0</v>
      </c>
      <c r="B371" s="2">
        <v>100.0</v>
      </c>
      <c r="C371" s="1">
        <v>4.39</v>
      </c>
      <c r="D371" s="14"/>
      <c r="E371" s="3">
        <f t="shared" si="15"/>
        <v>439</v>
      </c>
      <c r="F371" s="10"/>
      <c r="G371" s="11"/>
      <c r="H371" s="6">
        <f t="shared" si="2"/>
        <v>495135.24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9.5" customHeight="1">
      <c r="A372" s="9">
        <v>45944.0</v>
      </c>
      <c r="B372" s="2">
        <v>30300.0</v>
      </c>
      <c r="C372" s="1">
        <v>4.39</v>
      </c>
      <c r="D372" s="14"/>
      <c r="E372" s="3">
        <f t="shared" si="15"/>
        <v>133017</v>
      </c>
      <c r="F372" s="10"/>
      <c r="G372" s="11"/>
      <c r="H372" s="6">
        <f t="shared" si="2"/>
        <v>628152.24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9.5" customHeight="1">
      <c r="A373" s="9">
        <v>45944.0</v>
      </c>
      <c r="B373" s="13"/>
      <c r="C373" s="8"/>
      <c r="D373" s="14"/>
      <c r="E373" s="3">
        <f t="shared" si="15"/>
        <v>0</v>
      </c>
      <c r="F373" s="10"/>
      <c r="G373" s="5">
        <v>150000.0</v>
      </c>
      <c r="H373" s="6">
        <f t="shared" si="2"/>
        <v>478152.24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9.5" customHeight="1">
      <c r="A374" s="9">
        <v>45945.0</v>
      </c>
      <c r="B374" s="2">
        <v>4800.0</v>
      </c>
      <c r="C374" s="1">
        <v>4.4</v>
      </c>
      <c r="D374" s="14"/>
      <c r="E374" s="3">
        <f t="shared" si="15"/>
        <v>21120</v>
      </c>
      <c r="F374" s="10"/>
      <c r="G374" s="11"/>
      <c r="H374" s="6">
        <f t="shared" si="2"/>
        <v>499272.24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9.5" customHeight="1">
      <c r="A375" s="9">
        <v>45945.0</v>
      </c>
      <c r="B375" s="2">
        <v>4800.0</v>
      </c>
      <c r="C375" s="1">
        <v>4.4</v>
      </c>
      <c r="D375" s="14"/>
      <c r="E375" s="3">
        <f t="shared" si="15"/>
        <v>21120</v>
      </c>
      <c r="F375" s="10"/>
      <c r="G375" s="11"/>
      <c r="H375" s="6">
        <f t="shared" si="2"/>
        <v>520392.24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9.5" customHeight="1">
      <c r="A376" s="9">
        <v>45945.0</v>
      </c>
      <c r="B376" s="2">
        <v>8000.0</v>
      </c>
      <c r="C376" s="1">
        <v>4.4</v>
      </c>
      <c r="D376" s="14"/>
      <c r="E376" s="3">
        <f t="shared" si="15"/>
        <v>35200</v>
      </c>
      <c r="F376" s="10"/>
      <c r="G376" s="11"/>
      <c r="H376" s="6">
        <f t="shared" si="2"/>
        <v>555592.24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9.5" customHeight="1">
      <c r="A377" s="9">
        <v>45945.0</v>
      </c>
      <c r="B377" s="2">
        <v>4500.0</v>
      </c>
      <c r="C377" s="1">
        <v>4.4</v>
      </c>
      <c r="D377" s="14"/>
      <c r="E377" s="3">
        <f t="shared" si="15"/>
        <v>19800</v>
      </c>
      <c r="F377" s="10"/>
      <c r="G377" s="11"/>
      <c r="H377" s="6">
        <f t="shared" si="2"/>
        <v>575392.24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9.5" customHeight="1">
      <c r="A378" s="9">
        <v>45945.0</v>
      </c>
      <c r="B378" s="2">
        <v>4800.0</v>
      </c>
      <c r="C378" s="1">
        <v>4.4</v>
      </c>
      <c r="D378" s="14"/>
      <c r="E378" s="3">
        <f t="shared" si="15"/>
        <v>21120</v>
      </c>
      <c r="F378" s="10"/>
      <c r="G378" s="11"/>
      <c r="H378" s="6">
        <f t="shared" si="2"/>
        <v>596512.24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9.5" customHeight="1">
      <c r="A379" s="9">
        <v>45945.0</v>
      </c>
      <c r="B379" s="13"/>
      <c r="C379" s="8"/>
      <c r="D379" s="14"/>
      <c r="E379" s="3">
        <f t="shared" si="15"/>
        <v>0</v>
      </c>
      <c r="F379" s="10"/>
      <c r="G379" s="5">
        <v>200000.0</v>
      </c>
      <c r="H379" s="6">
        <f t="shared" si="2"/>
        <v>396512.24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9.5" customHeight="1">
      <c r="A380" s="9">
        <v>45946.0</v>
      </c>
      <c r="B380" s="2">
        <v>12900.0</v>
      </c>
      <c r="C380" s="1">
        <v>4.4</v>
      </c>
      <c r="D380" s="14"/>
      <c r="E380" s="3">
        <f t="shared" si="15"/>
        <v>56760</v>
      </c>
      <c r="F380" s="10"/>
      <c r="G380" s="11"/>
      <c r="H380" s="6">
        <f t="shared" si="2"/>
        <v>453272.24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9.5" customHeight="1">
      <c r="A381" s="9">
        <v>45947.0</v>
      </c>
      <c r="B381" s="2">
        <v>3000.0</v>
      </c>
      <c r="C381" s="1">
        <v>4.4</v>
      </c>
      <c r="D381" s="14"/>
      <c r="E381" s="3">
        <f t="shared" si="15"/>
        <v>13200</v>
      </c>
      <c r="F381" s="10"/>
      <c r="G381" s="11"/>
      <c r="H381" s="6">
        <f t="shared" si="2"/>
        <v>466472.24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9.5" customHeight="1">
      <c r="A382" s="9">
        <v>45947.0</v>
      </c>
      <c r="B382" s="2">
        <v>10000.0</v>
      </c>
      <c r="C382" s="1">
        <v>4.4</v>
      </c>
      <c r="D382" s="14"/>
      <c r="E382" s="3">
        <f t="shared" si="15"/>
        <v>44000</v>
      </c>
      <c r="F382" s="10"/>
      <c r="G382" s="11"/>
      <c r="H382" s="6">
        <f t="shared" si="2"/>
        <v>510472.24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9.5" customHeight="1">
      <c r="A383" s="9">
        <v>45948.0</v>
      </c>
      <c r="B383" s="2">
        <v>7650.0</v>
      </c>
      <c r="C383" s="1">
        <v>4.4</v>
      </c>
      <c r="D383" s="14"/>
      <c r="E383" s="3">
        <f t="shared" si="15"/>
        <v>33660</v>
      </c>
      <c r="F383" s="10"/>
      <c r="G383" s="11"/>
      <c r="H383" s="6">
        <f t="shared" si="2"/>
        <v>544132.24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9.5" customHeight="1">
      <c r="A384" s="9">
        <v>45948.0</v>
      </c>
      <c r="B384" s="2">
        <v>13400.0</v>
      </c>
      <c r="C384" s="1">
        <v>4.4</v>
      </c>
      <c r="D384" s="14"/>
      <c r="E384" s="3">
        <f t="shared" si="15"/>
        <v>58960</v>
      </c>
      <c r="F384" s="10"/>
      <c r="G384" s="11"/>
      <c r="H384" s="6">
        <f t="shared" si="2"/>
        <v>603092.24</v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9.5" customHeight="1">
      <c r="A385" s="9">
        <v>45948.0</v>
      </c>
      <c r="B385" s="2">
        <v>7500.0</v>
      </c>
      <c r="C385" s="1">
        <v>4.4</v>
      </c>
      <c r="D385" s="14"/>
      <c r="E385" s="3">
        <f t="shared" si="15"/>
        <v>33000</v>
      </c>
      <c r="F385" s="10"/>
      <c r="G385" s="11"/>
      <c r="H385" s="6">
        <f t="shared" si="2"/>
        <v>636092.24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9.5" customHeight="1">
      <c r="A386" s="9">
        <v>45948.0</v>
      </c>
      <c r="B386" s="2">
        <v>13000.0</v>
      </c>
      <c r="C386" s="1">
        <v>4.4</v>
      </c>
      <c r="D386" s="14"/>
      <c r="E386" s="3">
        <f t="shared" si="15"/>
        <v>57200</v>
      </c>
      <c r="F386" s="10"/>
      <c r="G386" s="11"/>
      <c r="H386" s="6">
        <f t="shared" si="2"/>
        <v>693292.24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9.5" customHeight="1">
      <c r="A387" s="9">
        <v>45948.0</v>
      </c>
      <c r="B387" s="13"/>
      <c r="C387" s="8"/>
      <c r="D387" s="14"/>
      <c r="E387" s="3">
        <f t="shared" si="15"/>
        <v>0</v>
      </c>
      <c r="F387" s="10"/>
      <c r="G387" s="5">
        <v>200000.0</v>
      </c>
      <c r="H387" s="6">
        <f t="shared" si="2"/>
        <v>493292.24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9.5" customHeight="1">
      <c r="A388" s="9">
        <v>45950.0</v>
      </c>
      <c r="B388" s="2">
        <v>4600.0</v>
      </c>
      <c r="C388" s="1">
        <v>4.4</v>
      </c>
      <c r="D388" s="14"/>
      <c r="E388" s="3">
        <f t="shared" si="15"/>
        <v>20240</v>
      </c>
      <c r="F388" s="10"/>
      <c r="G388" s="11"/>
      <c r="H388" s="6">
        <f t="shared" si="2"/>
        <v>513532.24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9.5" customHeight="1">
      <c r="A389" s="9">
        <v>45950.0</v>
      </c>
      <c r="B389" s="2">
        <v>36400.0</v>
      </c>
      <c r="C389" s="1">
        <v>4.4</v>
      </c>
      <c r="D389" s="14"/>
      <c r="E389" s="3">
        <f t="shared" si="15"/>
        <v>160160</v>
      </c>
      <c r="F389" s="10"/>
      <c r="G389" s="11"/>
      <c r="H389" s="6">
        <f t="shared" si="2"/>
        <v>673692.24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9.5" customHeight="1">
      <c r="A390" s="9">
        <v>45950.0</v>
      </c>
      <c r="B390" s="13"/>
      <c r="C390" s="8"/>
      <c r="D390" s="14"/>
      <c r="E390" s="3">
        <f t="shared" si="15"/>
        <v>0</v>
      </c>
      <c r="F390" s="10"/>
      <c r="G390" s="5">
        <v>25000.0</v>
      </c>
      <c r="H390" s="6">
        <f t="shared" si="2"/>
        <v>648692.24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9.5" customHeight="1">
      <c r="A391" s="9">
        <v>45950.0</v>
      </c>
      <c r="B391" s="13"/>
      <c r="C391" s="8"/>
      <c r="D391" s="14"/>
      <c r="E391" s="3">
        <f t="shared" si="15"/>
        <v>0</v>
      </c>
      <c r="F391" s="10"/>
      <c r="G391" s="5">
        <v>22554.0</v>
      </c>
      <c r="H391" s="6">
        <f t="shared" si="2"/>
        <v>626138.24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9.5" customHeight="1">
      <c r="A392" s="9">
        <v>45950.0</v>
      </c>
      <c r="B392" s="13"/>
      <c r="C392" s="8"/>
      <c r="D392" s="14"/>
      <c r="E392" s="3">
        <f t="shared" si="15"/>
        <v>0</v>
      </c>
      <c r="F392" s="10"/>
      <c r="G392" s="5">
        <v>100000.0</v>
      </c>
      <c r="H392" s="6">
        <f t="shared" si="2"/>
        <v>526138.24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9.5" customHeight="1">
      <c r="A393" s="9">
        <v>45952.0</v>
      </c>
      <c r="B393" s="2">
        <v>2800.0</v>
      </c>
      <c r="C393" s="1">
        <v>4.405</v>
      </c>
      <c r="D393" s="14"/>
      <c r="E393" s="3">
        <f t="shared" si="15"/>
        <v>12334</v>
      </c>
      <c r="F393" s="10"/>
      <c r="G393" s="11"/>
      <c r="H393" s="6">
        <f t="shared" si="2"/>
        <v>538472.24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9.5" customHeight="1">
      <c r="A394" s="9">
        <v>45952.0</v>
      </c>
      <c r="B394" s="2">
        <v>12000.0</v>
      </c>
      <c r="C394" s="1">
        <v>4.405</v>
      </c>
      <c r="D394" s="14"/>
      <c r="E394" s="3">
        <f t="shared" si="15"/>
        <v>52860</v>
      </c>
      <c r="F394" s="10"/>
      <c r="G394" s="11"/>
      <c r="H394" s="6">
        <f t="shared" si="2"/>
        <v>591332.24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9.5" customHeight="1">
      <c r="A395" s="9">
        <v>45952.0</v>
      </c>
      <c r="B395" s="2">
        <v>3999.0</v>
      </c>
      <c r="C395" s="1">
        <v>4.405</v>
      </c>
      <c r="D395" s="14"/>
      <c r="E395" s="3">
        <v>17616.0</v>
      </c>
      <c r="F395" s="10"/>
      <c r="G395" s="11"/>
      <c r="H395" s="6">
        <f t="shared" si="2"/>
        <v>608948.24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9.5" customHeight="1">
      <c r="A396" s="9">
        <v>45952.0</v>
      </c>
      <c r="B396" s="2">
        <v>2999.0</v>
      </c>
      <c r="C396" s="1">
        <v>4.405</v>
      </c>
      <c r="D396" s="14"/>
      <c r="E396" s="3">
        <v>13211.0</v>
      </c>
      <c r="F396" s="10"/>
      <c r="G396" s="11"/>
      <c r="H396" s="6">
        <f t="shared" si="2"/>
        <v>622159.24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9.5" customHeight="1">
      <c r="A397" s="9">
        <v>45952.0</v>
      </c>
      <c r="B397" s="2">
        <v>20800.0</v>
      </c>
      <c r="C397" s="1">
        <v>4.405</v>
      </c>
      <c r="D397" s="14"/>
      <c r="E397" s="3">
        <f t="shared" ref="E397:E399" si="16">B397*C397</f>
        <v>91624</v>
      </c>
      <c r="F397" s="10"/>
      <c r="G397" s="11"/>
      <c r="H397" s="6">
        <f t="shared" si="2"/>
        <v>713783.24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9.5" customHeight="1">
      <c r="A398" s="9">
        <v>45952.0</v>
      </c>
      <c r="B398" s="13"/>
      <c r="C398" s="8"/>
      <c r="D398" s="14"/>
      <c r="E398" s="3">
        <f t="shared" si="16"/>
        <v>0</v>
      </c>
      <c r="F398" s="10"/>
      <c r="G398" s="5">
        <v>100000.0</v>
      </c>
      <c r="H398" s="6">
        <f t="shared" si="2"/>
        <v>613783.24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9.5" customHeight="1">
      <c r="A399" s="9">
        <v>45953.0</v>
      </c>
      <c r="B399" s="2">
        <v>12800.0</v>
      </c>
      <c r="C399" s="1">
        <v>4.405</v>
      </c>
      <c r="D399" s="14"/>
      <c r="E399" s="3">
        <f t="shared" si="16"/>
        <v>56384</v>
      </c>
      <c r="F399" s="10"/>
      <c r="G399" s="11"/>
      <c r="H399" s="6">
        <f t="shared" si="2"/>
        <v>670167.24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9.5" customHeight="1">
      <c r="A400" s="9">
        <v>45953.0</v>
      </c>
      <c r="B400" s="2">
        <v>12300.0</v>
      </c>
      <c r="C400" s="1">
        <v>4.405</v>
      </c>
      <c r="D400" s="14"/>
      <c r="E400" s="3">
        <v>54182.0</v>
      </c>
      <c r="F400" s="10"/>
      <c r="G400" s="11"/>
      <c r="H400" s="6">
        <f t="shared" si="2"/>
        <v>724349.24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9.5" customHeight="1">
      <c r="A401" s="9">
        <v>45953.0</v>
      </c>
      <c r="B401" s="13"/>
      <c r="C401" s="8"/>
      <c r="D401" s="14"/>
      <c r="E401" s="3">
        <f t="shared" ref="E401:E404" si="17">B401*C401</f>
        <v>0</v>
      </c>
      <c r="F401" s="10"/>
      <c r="G401" s="5">
        <v>54500.0</v>
      </c>
      <c r="H401" s="6">
        <f t="shared" si="2"/>
        <v>669849.24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9.5" customHeight="1">
      <c r="A402" s="9">
        <v>45954.0</v>
      </c>
      <c r="B402" s="2">
        <v>1200.0</v>
      </c>
      <c r="C402" s="1">
        <v>4.405</v>
      </c>
      <c r="D402" s="14"/>
      <c r="E402" s="3">
        <f t="shared" si="17"/>
        <v>5286</v>
      </c>
      <c r="F402" s="10"/>
      <c r="G402" s="11"/>
      <c r="H402" s="6">
        <f t="shared" si="2"/>
        <v>675135.24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9.5" customHeight="1">
      <c r="A403" s="9">
        <v>45954.0</v>
      </c>
      <c r="B403" s="2">
        <v>200.0</v>
      </c>
      <c r="C403" s="1">
        <v>4.405</v>
      </c>
      <c r="D403" s="14"/>
      <c r="E403" s="3">
        <f t="shared" si="17"/>
        <v>881</v>
      </c>
      <c r="F403" s="10"/>
      <c r="G403" s="11"/>
      <c r="H403" s="6">
        <f t="shared" si="2"/>
        <v>676016.24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9.5" customHeight="1">
      <c r="A404" s="9">
        <v>45954.0</v>
      </c>
      <c r="B404" s="2">
        <v>200.0</v>
      </c>
      <c r="C404" s="1">
        <v>4.405</v>
      </c>
      <c r="D404" s="14"/>
      <c r="E404" s="3">
        <f t="shared" si="17"/>
        <v>881</v>
      </c>
      <c r="F404" s="10"/>
      <c r="G404" s="11"/>
      <c r="H404" s="6">
        <f t="shared" si="2"/>
        <v>676897.24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9.5" customHeight="1">
      <c r="A405" s="9">
        <v>45954.0</v>
      </c>
      <c r="B405" s="2">
        <v>25700.0</v>
      </c>
      <c r="C405" s="1">
        <v>4.405</v>
      </c>
      <c r="D405" s="14"/>
      <c r="E405" s="3">
        <v>113209.0</v>
      </c>
      <c r="F405" s="10"/>
      <c r="G405" s="11"/>
      <c r="H405" s="6">
        <f t="shared" si="2"/>
        <v>790106.24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9.5" customHeight="1">
      <c r="A406" s="9">
        <v>45954.0</v>
      </c>
      <c r="B406" s="2">
        <v>5500.0</v>
      </c>
      <c r="C406" s="1">
        <v>4.405</v>
      </c>
      <c r="D406" s="14"/>
      <c r="E406" s="3">
        <v>24228.0</v>
      </c>
      <c r="F406" s="10"/>
      <c r="G406" s="5"/>
      <c r="H406" s="6">
        <f t="shared" si="2"/>
        <v>814334.24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9.5" customHeight="1">
      <c r="A407" s="9">
        <v>45954.0</v>
      </c>
      <c r="B407" s="13"/>
      <c r="C407" s="8"/>
      <c r="D407" s="14"/>
      <c r="E407" s="3">
        <f>B407*C407</f>
        <v>0</v>
      </c>
      <c r="F407" s="10"/>
      <c r="G407" s="5">
        <v>200000.0</v>
      </c>
      <c r="H407" s="6">
        <f t="shared" si="2"/>
        <v>614334.24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9.5" customHeight="1">
      <c r="A408" s="9">
        <v>45956.0</v>
      </c>
      <c r="B408" s="2">
        <v>100.0</v>
      </c>
      <c r="C408" s="1">
        <v>4.405</v>
      </c>
      <c r="D408" s="14"/>
      <c r="E408" s="3">
        <v>441.0</v>
      </c>
      <c r="F408" s="10"/>
      <c r="G408" s="11"/>
      <c r="H408" s="6">
        <f t="shared" si="2"/>
        <v>614775.24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9.5" customHeight="1">
      <c r="A409" s="9">
        <v>45956.0</v>
      </c>
      <c r="B409" s="2">
        <v>200.0</v>
      </c>
      <c r="C409" s="1">
        <v>4.405</v>
      </c>
      <c r="D409" s="14"/>
      <c r="E409" s="3">
        <f t="shared" ref="E409:E410" si="18">B409*C409</f>
        <v>881</v>
      </c>
      <c r="F409" s="10"/>
      <c r="G409" s="11"/>
      <c r="H409" s="6">
        <f t="shared" si="2"/>
        <v>615656.24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9.5" customHeight="1">
      <c r="A410" s="9">
        <v>45956.0</v>
      </c>
      <c r="B410" s="13"/>
      <c r="C410" s="8"/>
      <c r="D410" s="14"/>
      <c r="E410" s="3">
        <f t="shared" si="18"/>
        <v>0</v>
      </c>
      <c r="F410" s="10"/>
      <c r="G410" s="5">
        <v>329000.0</v>
      </c>
      <c r="H410" s="6">
        <f t="shared" si="2"/>
        <v>286656.24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9.5" customHeight="1">
      <c r="A411" s="9">
        <v>45957.0</v>
      </c>
      <c r="B411" s="2">
        <v>4888.0</v>
      </c>
      <c r="C411" s="1">
        <v>4.415</v>
      </c>
      <c r="D411" s="14"/>
      <c r="E411" s="3">
        <v>21581.0</v>
      </c>
      <c r="F411" s="10"/>
      <c r="G411" s="11"/>
      <c r="H411" s="6">
        <f t="shared" si="2"/>
        <v>308237.24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9.5" customHeight="1">
      <c r="A412" s="9">
        <v>45957.0</v>
      </c>
      <c r="B412" s="2">
        <v>15400.0</v>
      </c>
      <c r="C412" s="1">
        <v>4.415</v>
      </c>
      <c r="D412" s="14"/>
      <c r="E412" s="3">
        <f t="shared" ref="E412:E416" si="19">B412*C412</f>
        <v>67991</v>
      </c>
      <c r="F412" s="10"/>
      <c r="G412" s="11"/>
      <c r="H412" s="6">
        <f t="shared" si="2"/>
        <v>376228.24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9.5" customHeight="1">
      <c r="A413" s="9">
        <v>45957.0</v>
      </c>
      <c r="B413" s="2">
        <v>19800.0</v>
      </c>
      <c r="C413" s="1">
        <v>4.415</v>
      </c>
      <c r="D413" s="14"/>
      <c r="E413" s="3">
        <f t="shared" si="19"/>
        <v>87417</v>
      </c>
      <c r="F413" s="10"/>
      <c r="G413" s="11"/>
      <c r="H413" s="6">
        <f t="shared" si="2"/>
        <v>463645.24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9.5" customHeight="1">
      <c r="A414" s="9">
        <v>45957.0</v>
      </c>
      <c r="B414" s="2">
        <v>34800.0</v>
      </c>
      <c r="C414" s="1">
        <v>4.415</v>
      </c>
      <c r="D414" s="14"/>
      <c r="E414" s="3">
        <f t="shared" si="19"/>
        <v>153642</v>
      </c>
      <c r="F414" s="10"/>
      <c r="G414" s="11"/>
      <c r="H414" s="6">
        <f t="shared" si="2"/>
        <v>617287.24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9.5" customHeight="1">
      <c r="A415" s="9">
        <v>45957.0</v>
      </c>
      <c r="B415" s="13"/>
      <c r="C415" s="8"/>
      <c r="D415" s="14"/>
      <c r="E415" s="3">
        <f t="shared" si="19"/>
        <v>0</v>
      </c>
      <c r="F415" s="10"/>
      <c r="G415" s="5">
        <v>13300.0</v>
      </c>
      <c r="H415" s="6">
        <f t="shared" si="2"/>
        <v>603987.24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9.5" customHeight="1">
      <c r="A416" s="9">
        <v>45958.0</v>
      </c>
      <c r="B416" s="13"/>
      <c r="C416" s="8"/>
      <c r="D416" s="14"/>
      <c r="E416" s="3">
        <f t="shared" si="19"/>
        <v>0</v>
      </c>
      <c r="F416" s="10"/>
      <c r="G416" s="5">
        <v>90000.0</v>
      </c>
      <c r="H416" s="6">
        <f t="shared" si="2"/>
        <v>513987.24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9.5" customHeight="1">
      <c r="A417" s="9">
        <v>45958.0</v>
      </c>
      <c r="B417" s="2">
        <v>5888.0</v>
      </c>
      <c r="C417" s="1">
        <v>4.415</v>
      </c>
      <c r="D417" s="14"/>
      <c r="E417" s="3">
        <v>25996.0</v>
      </c>
      <c r="F417" s="10"/>
      <c r="G417" s="11"/>
      <c r="H417" s="6">
        <f t="shared" si="2"/>
        <v>539983.24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9.5" customHeight="1">
      <c r="A418" s="9">
        <v>45958.0</v>
      </c>
      <c r="B418" s="2">
        <v>2800.0</v>
      </c>
      <c r="C418" s="1">
        <v>4.415</v>
      </c>
      <c r="D418" s="14"/>
      <c r="E418" s="3">
        <f t="shared" ref="E418:E420" si="20">B418*C418</f>
        <v>12362</v>
      </c>
      <c r="F418" s="10"/>
      <c r="G418" s="11"/>
      <c r="H418" s="6">
        <f t="shared" si="2"/>
        <v>552345.24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9.5" customHeight="1">
      <c r="A419" s="9">
        <v>45958.0</v>
      </c>
      <c r="B419" s="2">
        <v>3000.0</v>
      </c>
      <c r="C419" s="1">
        <v>4.415</v>
      </c>
      <c r="D419" s="14"/>
      <c r="E419" s="3">
        <f t="shared" si="20"/>
        <v>13245</v>
      </c>
      <c r="F419" s="10"/>
      <c r="G419" s="11"/>
      <c r="H419" s="6">
        <f t="shared" si="2"/>
        <v>565590.24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9.5" customHeight="1">
      <c r="A420" s="9">
        <v>45959.0</v>
      </c>
      <c r="B420" s="2">
        <v>9000.0</v>
      </c>
      <c r="C420" s="1">
        <v>4.415</v>
      </c>
      <c r="D420" s="14"/>
      <c r="E420" s="3">
        <f t="shared" si="20"/>
        <v>39735</v>
      </c>
      <c r="F420" s="10"/>
      <c r="G420" s="11"/>
      <c r="H420" s="6">
        <f t="shared" si="2"/>
        <v>605325.24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9.5" customHeight="1">
      <c r="A421" s="9">
        <v>45959.0</v>
      </c>
      <c r="B421" s="2">
        <v>5500.0</v>
      </c>
      <c r="C421" s="1">
        <v>4.415</v>
      </c>
      <c r="D421" s="14"/>
      <c r="E421" s="3">
        <v>24283.0</v>
      </c>
      <c r="F421" s="10"/>
      <c r="G421" s="11"/>
      <c r="H421" s="6">
        <f t="shared" si="2"/>
        <v>629608.24</v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9.5" customHeight="1">
      <c r="A422" s="9">
        <v>45960.0</v>
      </c>
      <c r="B422" s="2">
        <v>5400.0</v>
      </c>
      <c r="C422" s="1">
        <v>4.415</v>
      </c>
      <c r="D422" s="1"/>
      <c r="E422" s="3">
        <f>B422*C422</f>
        <v>23841</v>
      </c>
      <c r="F422" s="4"/>
      <c r="G422" s="11"/>
      <c r="H422" s="6">
        <f t="shared" si="2"/>
        <v>653449.24</v>
      </c>
      <c r="I422" s="1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9.5" customHeight="1">
      <c r="A423" s="9">
        <v>45960.0</v>
      </c>
      <c r="B423" s="2">
        <v>14300.0</v>
      </c>
      <c r="C423" s="1">
        <v>4.415</v>
      </c>
      <c r="D423" s="1"/>
      <c r="E423" s="3">
        <v>63135.0</v>
      </c>
      <c r="F423" s="4"/>
      <c r="G423" s="11"/>
      <c r="H423" s="6">
        <f t="shared" si="2"/>
        <v>716584.24</v>
      </c>
      <c r="I423" s="1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9.5" customHeight="1">
      <c r="A424" s="9">
        <v>45960.0</v>
      </c>
      <c r="B424" s="2">
        <v>5000.0</v>
      </c>
      <c r="C424" s="1">
        <v>4.415</v>
      </c>
      <c r="D424" s="1"/>
      <c r="E424" s="3">
        <f t="shared" ref="E424:E763" si="21">B424*C424</f>
        <v>22075</v>
      </c>
      <c r="F424" s="4"/>
      <c r="G424" s="11"/>
      <c r="H424" s="6">
        <f t="shared" si="2"/>
        <v>738659.24</v>
      </c>
      <c r="I424" s="1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9.5" customHeight="1">
      <c r="A425" s="9">
        <v>45961.0</v>
      </c>
      <c r="B425" s="2">
        <v>6300.0</v>
      </c>
      <c r="C425" s="1">
        <v>4.415</v>
      </c>
      <c r="D425" s="14"/>
      <c r="E425" s="3">
        <f t="shared" si="21"/>
        <v>27814.5</v>
      </c>
      <c r="F425" s="10"/>
      <c r="G425" s="11"/>
      <c r="H425" s="6">
        <f t="shared" si="2"/>
        <v>766473.74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9.5" customHeight="1">
      <c r="A426" s="9">
        <v>45961.0</v>
      </c>
      <c r="B426" s="2">
        <v>8000.0</v>
      </c>
      <c r="C426" s="1">
        <v>4.415</v>
      </c>
      <c r="D426" s="14"/>
      <c r="E426" s="3">
        <f t="shared" si="21"/>
        <v>35320</v>
      </c>
      <c r="F426" s="10"/>
      <c r="G426" s="11"/>
      <c r="H426" s="6">
        <f t="shared" si="2"/>
        <v>801793.74</v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9.5" customHeight="1">
      <c r="A427" s="9">
        <v>45961.0</v>
      </c>
      <c r="B427" s="13"/>
      <c r="C427" s="8"/>
      <c r="D427" s="14"/>
      <c r="E427" s="3">
        <f t="shared" si="21"/>
        <v>0</v>
      </c>
      <c r="F427" s="10"/>
      <c r="G427" s="5">
        <v>61800.0</v>
      </c>
      <c r="H427" s="6">
        <f t="shared" si="2"/>
        <v>739993.74</v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9.5" customHeight="1">
      <c r="A428" s="9">
        <v>45962.0</v>
      </c>
      <c r="B428" s="2">
        <v>4290.0</v>
      </c>
      <c r="C428" s="1">
        <v>4.415</v>
      </c>
      <c r="D428" s="14"/>
      <c r="E428" s="3">
        <f t="shared" si="21"/>
        <v>18940.35</v>
      </c>
      <c r="F428" s="10"/>
      <c r="G428" s="11"/>
      <c r="H428" s="6">
        <f t="shared" si="2"/>
        <v>758934.09</v>
      </c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9.5" customHeight="1">
      <c r="A429" s="9">
        <v>45962.0</v>
      </c>
      <c r="B429" s="2">
        <v>1999.0</v>
      </c>
      <c r="C429" s="1">
        <v>4.415</v>
      </c>
      <c r="D429" s="14"/>
      <c r="E429" s="3">
        <f t="shared" si="21"/>
        <v>8825.585</v>
      </c>
      <c r="F429" s="10"/>
      <c r="G429" s="11"/>
      <c r="H429" s="6">
        <f t="shared" si="2"/>
        <v>767759.675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9.5" customHeight="1">
      <c r="A430" s="9">
        <v>45962.0</v>
      </c>
      <c r="B430" s="2">
        <v>400.0</v>
      </c>
      <c r="C430" s="1">
        <v>4.415</v>
      </c>
      <c r="D430" s="14"/>
      <c r="E430" s="3">
        <f t="shared" si="21"/>
        <v>1766</v>
      </c>
      <c r="F430" s="10"/>
      <c r="G430" s="11"/>
      <c r="H430" s="6">
        <f t="shared" si="2"/>
        <v>769525.675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9.5" customHeight="1">
      <c r="A431" s="9">
        <v>45962.0</v>
      </c>
      <c r="B431" s="2">
        <v>12200.0</v>
      </c>
      <c r="C431" s="1">
        <v>4.415</v>
      </c>
      <c r="D431" s="14"/>
      <c r="E431" s="3">
        <f t="shared" si="21"/>
        <v>53863</v>
      </c>
      <c r="F431" s="10"/>
      <c r="G431" s="11"/>
      <c r="H431" s="6">
        <f t="shared" si="2"/>
        <v>823388.675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9.5" customHeight="1">
      <c r="A432" s="9">
        <v>45962.0</v>
      </c>
      <c r="B432" s="2">
        <v>9800.0</v>
      </c>
      <c r="C432" s="1">
        <v>4.415</v>
      </c>
      <c r="D432" s="14"/>
      <c r="E432" s="3">
        <f t="shared" si="21"/>
        <v>43267</v>
      </c>
      <c r="F432" s="10"/>
      <c r="G432" s="11"/>
      <c r="H432" s="6">
        <f t="shared" si="2"/>
        <v>866655.675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9.5" customHeight="1">
      <c r="A433" s="9">
        <v>45962.0</v>
      </c>
      <c r="B433" s="2">
        <v>19300.0</v>
      </c>
      <c r="C433" s="1">
        <v>4.415</v>
      </c>
      <c r="D433" s="14"/>
      <c r="E433" s="3">
        <f t="shared" si="21"/>
        <v>85209.5</v>
      </c>
      <c r="F433" s="10"/>
      <c r="G433" s="11"/>
      <c r="H433" s="6">
        <f t="shared" si="2"/>
        <v>951865.175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9.5" customHeight="1">
      <c r="A434" s="9">
        <v>45962.0</v>
      </c>
      <c r="B434" s="2">
        <v>3000.0</v>
      </c>
      <c r="C434" s="1">
        <v>4.415</v>
      </c>
      <c r="D434" s="14"/>
      <c r="E434" s="3">
        <f t="shared" si="21"/>
        <v>13245</v>
      </c>
      <c r="F434" s="10"/>
      <c r="G434" s="11"/>
      <c r="H434" s="6">
        <f t="shared" si="2"/>
        <v>965110.175</v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9.5" customHeight="1">
      <c r="A435" s="9">
        <v>45962.0</v>
      </c>
      <c r="B435" s="2">
        <v>12000.0</v>
      </c>
      <c r="C435" s="1">
        <v>4.415</v>
      </c>
      <c r="D435" s="14"/>
      <c r="E435" s="3">
        <f t="shared" si="21"/>
        <v>52980</v>
      </c>
      <c r="F435" s="10"/>
      <c r="G435" s="11"/>
      <c r="H435" s="6">
        <f t="shared" si="2"/>
        <v>1018090.175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9.5" customHeight="1">
      <c r="A436" s="9">
        <v>45962.0</v>
      </c>
      <c r="B436" s="13"/>
      <c r="C436" s="8"/>
      <c r="D436" s="14"/>
      <c r="E436" s="3">
        <f t="shared" si="21"/>
        <v>0</v>
      </c>
      <c r="F436" s="10"/>
      <c r="G436" s="5">
        <v>150000.0</v>
      </c>
      <c r="H436" s="6">
        <f t="shared" si="2"/>
        <v>868090.175</v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9.5" customHeight="1">
      <c r="A437" s="9">
        <v>45962.0</v>
      </c>
      <c r="B437" s="13"/>
      <c r="C437" s="8"/>
      <c r="D437" s="14"/>
      <c r="E437" s="3">
        <f t="shared" si="21"/>
        <v>0</v>
      </c>
      <c r="F437" s="10"/>
      <c r="G437" s="5">
        <v>70000.0</v>
      </c>
      <c r="H437" s="6">
        <f t="shared" si="2"/>
        <v>798090.175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9.5" customHeight="1">
      <c r="A438" s="9">
        <v>45962.0</v>
      </c>
      <c r="B438" s="13"/>
      <c r="C438" s="8"/>
      <c r="D438" s="14"/>
      <c r="E438" s="3">
        <f t="shared" si="21"/>
        <v>0</v>
      </c>
      <c r="F438" s="10"/>
      <c r="G438" s="5">
        <v>300000.0</v>
      </c>
      <c r="H438" s="6">
        <f t="shared" si="2"/>
        <v>498090.175</v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9.5" customHeight="1">
      <c r="A439" s="9">
        <v>45963.0</v>
      </c>
      <c r="B439" s="2">
        <v>4700.0</v>
      </c>
      <c r="C439" s="1">
        <v>4.415</v>
      </c>
      <c r="D439" s="14"/>
      <c r="E439" s="3">
        <f t="shared" si="21"/>
        <v>20750.5</v>
      </c>
      <c r="F439" s="10"/>
      <c r="G439" s="11"/>
      <c r="H439" s="6">
        <f t="shared" si="2"/>
        <v>518840.675</v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9.5" customHeight="1">
      <c r="A440" s="9">
        <v>45963.0</v>
      </c>
      <c r="B440" s="2">
        <v>7990.0</v>
      </c>
      <c r="C440" s="1">
        <v>4.415</v>
      </c>
      <c r="D440" s="14"/>
      <c r="E440" s="3">
        <f t="shared" si="21"/>
        <v>35275.85</v>
      </c>
      <c r="F440" s="10"/>
      <c r="G440" s="11"/>
      <c r="H440" s="6">
        <f t="shared" si="2"/>
        <v>554116.525</v>
      </c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9.5" customHeight="1">
      <c r="A441" s="9">
        <v>45963.0</v>
      </c>
      <c r="B441" s="13"/>
      <c r="C441" s="8"/>
      <c r="D441" s="14"/>
      <c r="E441" s="3">
        <f t="shared" si="21"/>
        <v>0</v>
      </c>
      <c r="F441" s="10"/>
      <c r="G441" s="5">
        <v>100000.0</v>
      </c>
      <c r="H441" s="6">
        <f t="shared" si="2"/>
        <v>454116.525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9.5" customHeight="1">
      <c r="A442" s="9">
        <v>45963.0</v>
      </c>
      <c r="B442" s="13"/>
      <c r="C442" s="8"/>
      <c r="D442" s="14"/>
      <c r="E442" s="3">
        <f t="shared" si="21"/>
        <v>0</v>
      </c>
      <c r="F442" s="10"/>
      <c r="G442" s="5">
        <v>30000.0</v>
      </c>
      <c r="H442" s="6">
        <f t="shared" si="2"/>
        <v>424116.525</v>
      </c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9.5" customHeight="1">
      <c r="A443" s="9">
        <v>45964.0</v>
      </c>
      <c r="B443" s="13"/>
      <c r="C443" s="8"/>
      <c r="D443" s="14"/>
      <c r="E443" s="3">
        <f t="shared" si="21"/>
        <v>0</v>
      </c>
      <c r="F443" s="10"/>
      <c r="G443" s="5">
        <v>27000.0</v>
      </c>
      <c r="H443" s="6">
        <f t="shared" si="2"/>
        <v>397116.525</v>
      </c>
      <c r="I443" s="8"/>
      <c r="J443" s="1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9.5" customHeight="1">
      <c r="A444" s="9">
        <v>45964.0</v>
      </c>
      <c r="B444" s="13"/>
      <c r="C444" s="8"/>
      <c r="D444" s="14"/>
      <c r="E444" s="3">
        <f t="shared" si="21"/>
        <v>0</v>
      </c>
      <c r="F444" s="10"/>
      <c r="G444" s="5">
        <v>30000.0</v>
      </c>
      <c r="H444" s="6">
        <f t="shared" si="2"/>
        <v>367116.525</v>
      </c>
      <c r="I444" s="8"/>
      <c r="J444" s="1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9.5" customHeight="1">
      <c r="A445" s="9">
        <v>45964.0</v>
      </c>
      <c r="B445" s="13"/>
      <c r="C445" s="8"/>
      <c r="D445" s="14"/>
      <c r="E445" s="3">
        <f t="shared" si="21"/>
        <v>0</v>
      </c>
      <c r="F445" s="10"/>
      <c r="G445" s="5">
        <v>25000.0</v>
      </c>
      <c r="H445" s="6">
        <f t="shared" si="2"/>
        <v>342116.525</v>
      </c>
      <c r="I445" s="8"/>
      <c r="J445" s="1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9.5" customHeight="1">
      <c r="A446" s="9">
        <v>45964.0</v>
      </c>
      <c r="B446" s="13"/>
      <c r="C446" s="8"/>
      <c r="D446" s="14"/>
      <c r="E446" s="3">
        <f t="shared" si="21"/>
        <v>0</v>
      </c>
      <c r="F446" s="10"/>
      <c r="G446" s="5">
        <v>100000.0</v>
      </c>
      <c r="H446" s="6">
        <f t="shared" si="2"/>
        <v>242116.525</v>
      </c>
      <c r="I446" s="8"/>
      <c r="J446" s="1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9.5" customHeight="1">
      <c r="A447" s="9">
        <v>45964.0</v>
      </c>
      <c r="B447" s="13"/>
      <c r="C447" s="8"/>
      <c r="D447" s="14"/>
      <c r="E447" s="3">
        <f t="shared" si="21"/>
        <v>0</v>
      </c>
      <c r="F447" s="10"/>
      <c r="G447" s="5">
        <v>200000.0</v>
      </c>
      <c r="H447" s="6">
        <f t="shared" si="2"/>
        <v>42116.525</v>
      </c>
      <c r="I447" s="8"/>
      <c r="J447" s="1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9.5" customHeight="1">
      <c r="A448" s="9">
        <v>45965.0</v>
      </c>
      <c r="B448" s="2">
        <v>22400.0</v>
      </c>
      <c r="C448" s="1">
        <v>4.425</v>
      </c>
      <c r="D448" s="14"/>
      <c r="E448" s="3">
        <f t="shared" si="21"/>
        <v>99120</v>
      </c>
      <c r="F448" s="10"/>
      <c r="G448" s="11"/>
      <c r="H448" s="6">
        <f t="shared" si="2"/>
        <v>141236.525</v>
      </c>
      <c r="I448" s="8"/>
      <c r="J448" s="1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9.5" customHeight="1">
      <c r="A449" s="9">
        <v>45965.0</v>
      </c>
      <c r="B449" s="2">
        <v>21700.0</v>
      </c>
      <c r="C449" s="1">
        <v>4.425</v>
      </c>
      <c r="D449" s="14"/>
      <c r="E449" s="3">
        <f t="shared" si="21"/>
        <v>96022.5</v>
      </c>
      <c r="F449" s="10"/>
      <c r="G449" s="11"/>
      <c r="H449" s="6">
        <f t="shared" si="2"/>
        <v>237259.025</v>
      </c>
      <c r="I449" s="8"/>
      <c r="J449" s="1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9.5" customHeight="1">
      <c r="A450" s="9">
        <v>45965.0</v>
      </c>
      <c r="B450" s="2">
        <v>4500.0</v>
      </c>
      <c r="C450" s="1">
        <v>4.425</v>
      </c>
      <c r="D450" s="14"/>
      <c r="E450" s="3">
        <f t="shared" si="21"/>
        <v>19912.5</v>
      </c>
      <c r="F450" s="10"/>
      <c r="G450" s="11"/>
      <c r="H450" s="6">
        <f t="shared" si="2"/>
        <v>257171.525</v>
      </c>
      <c r="I450" s="8"/>
      <c r="J450" s="1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9.5" customHeight="1">
      <c r="A451" s="9">
        <v>45965.0</v>
      </c>
      <c r="B451" s="2">
        <v>14500.0</v>
      </c>
      <c r="C451" s="1">
        <v>4.425</v>
      </c>
      <c r="D451" s="14"/>
      <c r="E451" s="3">
        <f t="shared" si="21"/>
        <v>64162.5</v>
      </c>
      <c r="F451" s="10"/>
      <c r="G451" s="11"/>
      <c r="H451" s="6">
        <f t="shared" si="2"/>
        <v>321334.025</v>
      </c>
      <c r="I451" s="8"/>
      <c r="J451" s="1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9.5" customHeight="1">
      <c r="A452" s="9">
        <v>45965.0</v>
      </c>
      <c r="B452" s="2">
        <v>100.0</v>
      </c>
      <c r="C452" s="1">
        <v>4.425</v>
      </c>
      <c r="D452" s="14"/>
      <c r="E452" s="3">
        <f t="shared" si="21"/>
        <v>442.5</v>
      </c>
      <c r="F452" s="10"/>
      <c r="G452" s="11"/>
      <c r="H452" s="6">
        <f t="shared" si="2"/>
        <v>321776.525</v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9.5" customHeight="1">
      <c r="A453" s="9">
        <v>45965.0</v>
      </c>
      <c r="B453" s="2">
        <v>300.0</v>
      </c>
      <c r="C453" s="1">
        <v>4.425</v>
      </c>
      <c r="D453" s="1"/>
      <c r="E453" s="3">
        <f t="shared" si="21"/>
        <v>1327.5</v>
      </c>
      <c r="F453" s="4"/>
      <c r="G453" s="11"/>
      <c r="H453" s="6">
        <f t="shared" si="2"/>
        <v>323104.025</v>
      </c>
      <c r="I453" s="1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9.5" customHeight="1">
      <c r="A454" s="9">
        <v>45966.0</v>
      </c>
      <c r="B454" s="2">
        <v>12800.0</v>
      </c>
      <c r="C454" s="1">
        <v>4.445</v>
      </c>
      <c r="D454" s="14"/>
      <c r="E454" s="3">
        <f t="shared" si="21"/>
        <v>56896</v>
      </c>
      <c r="F454" s="10"/>
      <c r="G454" s="11"/>
      <c r="H454" s="6">
        <f t="shared" si="2"/>
        <v>380000.025</v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9.5" customHeight="1">
      <c r="A455" s="9">
        <v>45966.0</v>
      </c>
      <c r="B455" s="2">
        <v>4200.0</v>
      </c>
      <c r="C455" s="1">
        <v>4.445</v>
      </c>
      <c r="D455" s="14"/>
      <c r="E455" s="3">
        <f t="shared" si="21"/>
        <v>18669</v>
      </c>
      <c r="F455" s="10"/>
      <c r="G455" s="11"/>
      <c r="H455" s="6">
        <f t="shared" si="2"/>
        <v>398669.025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9.5" customHeight="1">
      <c r="A456" s="9">
        <v>45966.0</v>
      </c>
      <c r="B456" s="2">
        <v>10800.0</v>
      </c>
      <c r="C456" s="1">
        <v>4.445</v>
      </c>
      <c r="D456" s="14"/>
      <c r="E456" s="3">
        <f t="shared" si="21"/>
        <v>48006</v>
      </c>
      <c r="F456" s="10"/>
      <c r="G456" s="11"/>
      <c r="H456" s="6">
        <f t="shared" si="2"/>
        <v>446675.025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9.5" customHeight="1">
      <c r="A457" s="9">
        <v>45966.0</v>
      </c>
      <c r="B457" s="2">
        <v>3380.0</v>
      </c>
      <c r="C457" s="1">
        <v>4.445</v>
      </c>
      <c r="D457" s="14"/>
      <c r="E457" s="3">
        <f t="shared" si="21"/>
        <v>15024.1</v>
      </c>
      <c r="F457" s="10"/>
      <c r="G457" s="11"/>
      <c r="H457" s="6">
        <f t="shared" si="2"/>
        <v>461699.125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9.5" customHeight="1">
      <c r="A458" s="9">
        <v>45966.0</v>
      </c>
      <c r="B458" s="2">
        <v>21300.0</v>
      </c>
      <c r="C458" s="1">
        <v>4.445</v>
      </c>
      <c r="D458" s="14"/>
      <c r="E458" s="3">
        <f t="shared" si="21"/>
        <v>94678.5</v>
      </c>
      <c r="F458" s="10"/>
      <c r="G458" s="11"/>
      <c r="H458" s="6">
        <f t="shared" si="2"/>
        <v>556377.625</v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9.5" customHeight="1">
      <c r="A459" s="9">
        <v>45966.0</v>
      </c>
      <c r="B459" s="2">
        <v>5300.0</v>
      </c>
      <c r="C459" s="1">
        <v>4.445</v>
      </c>
      <c r="D459" s="14"/>
      <c r="E459" s="3">
        <f t="shared" si="21"/>
        <v>23558.5</v>
      </c>
      <c r="F459" s="10"/>
      <c r="G459" s="11"/>
      <c r="H459" s="6">
        <f t="shared" si="2"/>
        <v>579936.125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9.5" customHeight="1">
      <c r="A460" s="9">
        <v>45967.0</v>
      </c>
      <c r="B460" s="2">
        <v>14600.0</v>
      </c>
      <c r="C460" s="1">
        <v>4.445</v>
      </c>
      <c r="D460" s="14"/>
      <c r="E460" s="3">
        <f t="shared" si="21"/>
        <v>64897</v>
      </c>
      <c r="F460" s="10"/>
      <c r="G460" s="11"/>
      <c r="H460" s="6">
        <f t="shared" si="2"/>
        <v>644833.125</v>
      </c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9.5" customHeight="1">
      <c r="A461" s="9">
        <v>45967.0</v>
      </c>
      <c r="B461" s="2">
        <v>11000.0</v>
      </c>
      <c r="C461" s="1">
        <v>4.445</v>
      </c>
      <c r="D461" s="14"/>
      <c r="E461" s="3">
        <f t="shared" si="21"/>
        <v>48895</v>
      </c>
      <c r="F461" s="10"/>
      <c r="G461" s="11"/>
      <c r="H461" s="6">
        <f t="shared" si="2"/>
        <v>693728.125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9.5" customHeight="1">
      <c r="A462" s="9">
        <v>45967.0</v>
      </c>
      <c r="B462" s="2">
        <v>9500.0</v>
      </c>
      <c r="C462" s="1">
        <v>4.445</v>
      </c>
      <c r="D462" s="14"/>
      <c r="E462" s="3">
        <f t="shared" si="21"/>
        <v>42227.5</v>
      </c>
      <c r="F462" s="10"/>
      <c r="G462" s="11"/>
      <c r="H462" s="6">
        <f t="shared" si="2"/>
        <v>735955.625</v>
      </c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9.5" customHeight="1">
      <c r="A463" s="9">
        <v>45967.0</v>
      </c>
      <c r="B463" s="13"/>
      <c r="C463" s="8"/>
      <c r="D463" s="14"/>
      <c r="E463" s="3">
        <f t="shared" si="21"/>
        <v>0</v>
      </c>
      <c r="F463" s="10"/>
      <c r="G463" s="5">
        <v>100000.0</v>
      </c>
      <c r="H463" s="6">
        <f t="shared" si="2"/>
        <v>635955.625</v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9.5" customHeight="1">
      <c r="A464" s="9">
        <v>45968.0</v>
      </c>
      <c r="B464" s="13"/>
      <c r="C464" s="8"/>
      <c r="D464" s="14"/>
      <c r="E464" s="3">
        <f t="shared" si="21"/>
        <v>0</v>
      </c>
      <c r="F464" s="10"/>
      <c r="G464" s="5">
        <v>13000.0</v>
      </c>
      <c r="H464" s="6">
        <f t="shared" si="2"/>
        <v>622955.625</v>
      </c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9.5" customHeight="1">
      <c r="A465" s="9">
        <v>45968.0</v>
      </c>
      <c r="B465" s="2">
        <v>32200.0</v>
      </c>
      <c r="C465" s="1">
        <v>4.445</v>
      </c>
      <c r="D465" s="14"/>
      <c r="E465" s="3">
        <f t="shared" si="21"/>
        <v>143129</v>
      </c>
      <c r="F465" s="10"/>
      <c r="G465" s="11"/>
      <c r="H465" s="6">
        <f t="shared" si="2"/>
        <v>766084.625</v>
      </c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9.5" customHeight="1">
      <c r="A466" s="9">
        <v>45968.0</v>
      </c>
      <c r="B466" s="13"/>
      <c r="C466" s="8"/>
      <c r="D466" s="14"/>
      <c r="E466" s="3">
        <f t="shared" si="21"/>
        <v>0</v>
      </c>
      <c r="F466" s="10"/>
      <c r="G466" s="5">
        <v>130000.0</v>
      </c>
      <c r="H466" s="6">
        <f t="shared" si="2"/>
        <v>636084.625</v>
      </c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9.5" customHeight="1">
      <c r="A467" s="9">
        <v>45968.0</v>
      </c>
      <c r="B467" s="2">
        <v>37700.0</v>
      </c>
      <c r="C467" s="1">
        <v>4.445</v>
      </c>
      <c r="D467" s="14"/>
      <c r="E467" s="3">
        <f t="shared" si="21"/>
        <v>167576.5</v>
      </c>
      <c r="F467" s="10"/>
      <c r="G467" s="11"/>
      <c r="H467" s="6">
        <f t="shared" si="2"/>
        <v>803661.125</v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9.5" customHeight="1">
      <c r="A468" s="9">
        <v>45968.0</v>
      </c>
      <c r="B468" s="2">
        <v>4680.0</v>
      </c>
      <c r="C468" s="1">
        <v>4.445</v>
      </c>
      <c r="D468" s="14"/>
      <c r="E468" s="3">
        <f t="shared" si="21"/>
        <v>20802.6</v>
      </c>
      <c r="F468" s="10"/>
      <c r="G468" s="11"/>
      <c r="H468" s="6">
        <f t="shared" si="2"/>
        <v>824463.725</v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9.5" customHeight="1">
      <c r="A469" s="9">
        <v>45968.0</v>
      </c>
      <c r="B469" s="2">
        <v>10800.0</v>
      </c>
      <c r="C469" s="1">
        <v>4.445</v>
      </c>
      <c r="D469" s="14"/>
      <c r="E469" s="3">
        <f t="shared" si="21"/>
        <v>48006</v>
      </c>
      <c r="F469" s="10"/>
      <c r="G469" s="11"/>
      <c r="H469" s="6">
        <f t="shared" si="2"/>
        <v>872469.725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9.5" customHeight="1">
      <c r="A470" s="9">
        <v>45970.0</v>
      </c>
      <c r="B470" s="13"/>
      <c r="C470" s="8"/>
      <c r="D470" s="14"/>
      <c r="E470" s="3">
        <f t="shared" si="21"/>
        <v>0</v>
      </c>
      <c r="F470" s="10"/>
      <c r="G470" s="5">
        <v>100000.0</v>
      </c>
      <c r="H470" s="6">
        <f t="shared" si="2"/>
        <v>772469.725</v>
      </c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9.5" customHeight="1">
      <c r="A471" s="9">
        <v>45970.0</v>
      </c>
      <c r="B471" s="13"/>
      <c r="C471" s="8"/>
      <c r="D471" s="14"/>
      <c r="E471" s="3">
        <f t="shared" si="21"/>
        <v>0</v>
      </c>
      <c r="F471" s="10"/>
      <c r="G471" s="5">
        <v>145000.0</v>
      </c>
      <c r="H471" s="6">
        <f t="shared" si="2"/>
        <v>627469.725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9.5" customHeight="1">
      <c r="A472" s="9">
        <v>45971.0</v>
      </c>
      <c r="B472" s="13"/>
      <c r="C472" s="8"/>
      <c r="D472" s="14"/>
      <c r="E472" s="3">
        <f t="shared" si="21"/>
        <v>0</v>
      </c>
      <c r="F472" s="10"/>
      <c r="G472" s="5">
        <v>300000.0</v>
      </c>
      <c r="H472" s="6">
        <f t="shared" si="2"/>
        <v>327469.725</v>
      </c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9.5" customHeight="1">
      <c r="A473" s="9">
        <v>45971.0</v>
      </c>
      <c r="B473" s="2">
        <v>27500.0</v>
      </c>
      <c r="C473" s="1">
        <v>4.465</v>
      </c>
      <c r="D473" s="14"/>
      <c r="E473" s="3">
        <f t="shared" si="21"/>
        <v>122787.5</v>
      </c>
      <c r="F473" s="10"/>
      <c r="G473" s="11"/>
      <c r="H473" s="6">
        <f t="shared" si="2"/>
        <v>450257.225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9.5" customHeight="1">
      <c r="A474" s="9">
        <v>45971.0</v>
      </c>
      <c r="B474" s="2">
        <v>23700.0</v>
      </c>
      <c r="C474" s="1">
        <v>4.465</v>
      </c>
      <c r="D474" s="14"/>
      <c r="E474" s="3">
        <f t="shared" si="21"/>
        <v>105820.5</v>
      </c>
      <c r="F474" s="10"/>
      <c r="G474" s="11"/>
      <c r="H474" s="6">
        <f t="shared" si="2"/>
        <v>556077.725</v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9.5" customHeight="1">
      <c r="A475" s="9">
        <v>45971.0</v>
      </c>
      <c r="B475" s="13"/>
      <c r="C475" s="8"/>
      <c r="D475" s="14"/>
      <c r="E475" s="3">
        <f t="shared" si="21"/>
        <v>0</v>
      </c>
      <c r="F475" s="10"/>
      <c r="G475" s="5">
        <v>100000.0</v>
      </c>
      <c r="H475" s="6">
        <f t="shared" si="2"/>
        <v>456077.725</v>
      </c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9.5" customHeight="1">
      <c r="A476" s="9">
        <v>45971.0</v>
      </c>
      <c r="B476" s="2">
        <v>3500.0</v>
      </c>
      <c r="C476" s="1">
        <v>4.465</v>
      </c>
      <c r="D476" s="14"/>
      <c r="E476" s="3">
        <f t="shared" si="21"/>
        <v>15627.5</v>
      </c>
      <c r="F476" s="10"/>
      <c r="G476" s="11"/>
      <c r="H476" s="6">
        <f t="shared" si="2"/>
        <v>471705.225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9.5" customHeight="1">
      <c r="A477" s="9">
        <v>45971.0</v>
      </c>
      <c r="B477" s="2">
        <v>5700.0</v>
      </c>
      <c r="C477" s="1">
        <v>4.465</v>
      </c>
      <c r="D477" s="14"/>
      <c r="E477" s="3">
        <f t="shared" si="21"/>
        <v>25450.5</v>
      </c>
      <c r="F477" s="10"/>
      <c r="G477" s="11"/>
      <c r="H477" s="6">
        <f t="shared" si="2"/>
        <v>497155.725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9.5" customHeight="1">
      <c r="A478" s="9">
        <v>45971.0</v>
      </c>
      <c r="B478" s="13"/>
      <c r="C478" s="8"/>
      <c r="D478" s="14"/>
      <c r="E478" s="3">
        <f t="shared" si="21"/>
        <v>0</v>
      </c>
      <c r="F478" s="10"/>
      <c r="G478" s="5">
        <v>100000.0</v>
      </c>
      <c r="H478" s="6">
        <f t="shared" si="2"/>
        <v>397155.725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9.5" customHeight="1">
      <c r="A479" s="9">
        <v>45971.0</v>
      </c>
      <c r="B479" s="13"/>
      <c r="C479" s="8"/>
      <c r="D479" s="14"/>
      <c r="E479" s="3">
        <f t="shared" si="21"/>
        <v>0</v>
      </c>
      <c r="F479" s="10"/>
      <c r="G479" s="5">
        <v>45000.0</v>
      </c>
      <c r="H479" s="6">
        <f t="shared" si="2"/>
        <v>352155.725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9.5" customHeight="1">
      <c r="A480" s="9">
        <v>45971.0</v>
      </c>
      <c r="B480" s="2">
        <v>13000.0</v>
      </c>
      <c r="C480" s="1">
        <v>4.465</v>
      </c>
      <c r="D480" s="14"/>
      <c r="E480" s="3">
        <f t="shared" si="21"/>
        <v>58045</v>
      </c>
      <c r="F480" s="10"/>
      <c r="G480" s="11"/>
      <c r="H480" s="6">
        <f t="shared" si="2"/>
        <v>410200.725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9.5" customHeight="1">
      <c r="A481" s="9">
        <v>45972.0</v>
      </c>
      <c r="B481" s="2">
        <v>11000.0</v>
      </c>
      <c r="C481" s="1">
        <v>4.455</v>
      </c>
      <c r="D481" s="14"/>
      <c r="E481" s="3">
        <f t="shared" si="21"/>
        <v>49005</v>
      </c>
      <c r="F481" s="10"/>
      <c r="G481" s="11"/>
      <c r="H481" s="6">
        <f t="shared" si="2"/>
        <v>459205.725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9.5" customHeight="1">
      <c r="A482" s="9">
        <v>45972.0</v>
      </c>
      <c r="B482" s="2">
        <v>20000.0</v>
      </c>
      <c r="C482" s="1">
        <v>4.455</v>
      </c>
      <c r="D482" s="14"/>
      <c r="E482" s="3">
        <f t="shared" si="21"/>
        <v>89100</v>
      </c>
      <c r="F482" s="10"/>
      <c r="G482" s="11"/>
      <c r="H482" s="6">
        <f t="shared" si="2"/>
        <v>548305.725</v>
      </c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9.5" customHeight="1">
      <c r="A483" s="9">
        <v>45974.0</v>
      </c>
      <c r="B483" s="2">
        <v>4000.0</v>
      </c>
      <c r="C483" s="1">
        <v>4.475</v>
      </c>
      <c r="D483" s="14"/>
      <c r="E483" s="3">
        <f t="shared" si="21"/>
        <v>17900</v>
      </c>
      <c r="F483" s="10"/>
      <c r="G483" s="11"/>
      <c r="H483" s="6">
        <f t="shared" si="2"/>
        <v>566205.725</v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9.5" customHeight="1">
      <c r="A484" s="9">
        <v>45974.0</v>
      </c>
      <c r="B484" s="2">
        <v>7500.0</v>
      </c>
      <c r="C484" s="1">
        <v>4.475</v>
      </c>
      <c r="D484" s="14"/>
      <c r="E484" s="3">
        <f t="shared" si="21"/>
        <v>33562.5</v>
      </c>
      <c r="F484" s="10"/>
      <c r="G484" s="11"/>
      <c r="H484" s="6">
        <f t="shared" si="2"/>
        <v>599768.225</v>
      </c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9.5" customHeight="1">
      <c r="A485" s="9">
        <v>45974.0</v>
      </c>
      <c r="B485" s="2">
        <v>13999.0</v>
      </c>
      <c r="C485" s="1">
        <v>4.475</v>
      </c>
      <c r="D485" s="14"/>
      <c r="E485" s="3">
        <f t="shared" si="21"/>
        <v>62645.525</v>
      </c>
      <c r="F485" s="10"/>
      <c r="G485" s="11"/>
      <c r="H485" s="6">
        <f t="shared" si="2"/>
        <v>662413.75</v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9.5" customHeight="1">
      <c r="A486" s="9">
        <v>45975.0</v>
      </c>
      <c r="B486" s="2">
        <v>200.0</v>
      </c>
      <c r="C486" s="1">
        <v>4.475</v>
      </c>
      <c r="D486" s="14"/>
      <c r="E486" s="3">
        <f t="shared" si="21"/>
        <v>895</v>
      </c>
      <c r="F486" s="10"/>
      <c r="G486" s="11"/>
      <c r="H486" s="6">
        <f t="shared" si="2"/>
        <v>663308.75</v>
      </c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9.5" customHeight="1">
      <c r="A487" s="9">
        <v>45976.0</v>
      </c>
      <c r="B487" s="2">
        <v>100.0</v>
      </c>
      <c r="C487" s="1">
        <v>4.475</v>
      </c>
      <c r="D487" s="14"/>
      <c r="E487" s="3">
        <f t="shared" si="21"/>
        <v>447.5</v>
      </c>
      <c r="F487" s="10"/>
      <c r="G487" s="11"/>
      <c r="H487" s="6">
        <f t="shared" si="2"/>
        <v>663756.25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9.5" customHeight="1">
      <c r="A488" s="9">
        <v>45978.0</v>
      </c>
      <c r="B488" s="13"/>
      <c r="C488" s="8"/>
      <c r="D488" s="14"/>
      <c r="E488" s="3">
        <f t="shared" si="21"/>
        <v>0</v>
      </c>
      <c r="F488" s="10"/>
      <c r="G488" s="5">
        <v>130000.0</v>
      </c>
      <c r="H488" s="6">
        <f t="shared" si="2"/>
        <v>533756.25</v>
      </c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9.5" customHeight="1">
      <c r="A489" s="9">
        <v>45978.0</v>
      </c>
      <c r="B489" s="2">
        <v>5700.0</v>
      </c>
      <c r="C489" s="1">
        <v>4.49</v>
      </c>
      <c r="D489" s="14"/>
      <c r="E489" s="3">
        <f t="shared" si="21"/>
        <v>25593</v>
      </c>
      <c r="F489" s="10"/>
      <c r="G489" s="11"/>
      <c r="H489" s="6">
        <f t="shared" si="2"/>
        <v>559349.25</v>
      </c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9.5" customHeight="1">
      <c r="A490" s="9">
        <v>45978.0</v>
      </c>
      <c r="B490" s="2">
        <v>15200.0</v>
      </c>
      <c r="C490" s="1">
        <v>4.49</v>
      </c>
      <c r="D490" s="14"/>
      <c r="E490" s="3">
        <f t="shared" si="21"/>
        <v>68248</v>
      </c>
      <c r="F490" s="10"/>
      <c r="G490" s="11"/>
      <c r="H490" s="6">
        <f t="shared" si="2"/>
        <v>627597.25</v>
      </c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9.5" customHeight="1">
      <c r="A491" s="9">
        <v>45978.0</v>
      </c>
      <c r="B491" s="2">
        <v>5500.0</v>
      </c>
      <c r="C491" s="1">
        <v>4.49</v>
      </c>
      <c r="D491" s="14"/>
      <c r="E491" s="3">
        <f t="shared" si="21"/>
        <v>24695</v>
      </c>
      <c r="F491" s="10"/>
      <c r="G491" s="11"/>
      <c r="H491" s="6">
        <f t="shared" si="2"/>
        <v>652292.25</v>
      </c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9.5" customHeight="1">
      <c r="A492" s="9">
        <v>45978.0</v>
      </c>
      <c r="B492" s="2">
        <v>11300.0</v>
      </c>
      <c r="C492" s="1">
        <v>4.49</v>
      </c>
      <c r="D492" s="14"/>
      <c r="E492" s="3">
        <f t="shared" si="21"/>
        <v>50737</v>
      </c>
      <c r="F492" s="10"/>
      <c r="G492" s="11"/>
      <c r="H492" s="6">
        <f t="shared" si="2"/>
        <v>703029.25</v>
      </c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9.5" customHeight="1">
      <c r="A493" s="9">
        <v>45978.0</v>
      </c>
      <c r="B493" s="2">
        <v>10700.0</v>
      </c>
      <c r="C493" s="1">
        <v>4.49</v>
      </c>
      <c r="D493" s="14"/>
      <c r="E493" s="3">
        <f t="shared" si="21"/>
        <v>48043</v>
      </c>
      <c r="F493" s="10"/>
      <c r="G493" s="11"/>
      <c r="H493" s="6">
        <f t="shared" si="2"/>
        <v>751072.25</v>
      </c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9.5" customHeight="1">
      <c r="A494" s="9">
        <v>45978.0</v>
      </c>
      <c r="B494" s="2">
        <v>16400.0</v>
      </c>
      <c r="C494" s="1">
        <v>4.49</v>
      </c>
      <c r="D494" s="14"/>
      <c r="E494" s="3">
        <f t="shared" si="21"/>
        <v>73636</v>
      </c>
      <c r="F494" s="10"/>
      <c r="G494" s="11"/>
      <c r="H494" s="6">
        <f t="shared" si="2"/>
        <v>824708.25</v>
      </c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9.5" customHeight="1">
      <c r="A495" s="9">
        <v>45978.0</v>
      </c>
      <c r="B495" s="2">
        <v>9800.0</v>
      </c>
      <c r="C495" s="1">
        <v>4.49</v>
      </c>
      <c r="D495" s="14"/>
      <c r="E495" s="3">
        <f t="shared" si="21"/>
        <v>44002</v>
      </c>
      <c r="F495" s="10"/>
      <c r="G495" s="11"/>
      <c r="H495" s="6">
        <f t="shared" si="2"/>
        <v>868710.25</v>
      </c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9.5" customHeight="1">
      <c r="A496" s="9">
        <v>45978.0</v>
      </c>
      <c r="B496" s="13"/>
      <c r="C496" s="8"/>
      <c r="D496" s="14"/>
      <c r="E496" s="3">
        <f t="shared" si="21"/>
        <v>0</v>
      </c>
      <c r="F496" s="10"/>
      <c r="G496" s="5">
        <v>286738.0</v>
      </c>
      <c r="H496" s="6">
        <f t="shared" si="2"/>
        <v>581972.25</v>
      </c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9.5" customHeight="1">
      <c r="A497" s="9">
        <v>45979.0</v>
      </c>
      <c r="B497" s="13"/>
      <c r="C497" s="8"/>
      <c r="D497" s="14"/>
      <c r="E497" s="3">
        <f t="shared" si="21"/>
        <v>0</v>
      </c>
      <c r="F497" s="10"/>
      <c r="G497" s="5">
        <v>100000.0</v>
      </c>
      <c r="H497" s="6">
        <f t="shared" si="2"/>
        <v>481972.25</v>
      </c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9.5" customHeight="1">
      <c r="A498" s="9">
        <v>45979.0</v>
      </c>
      <c r="B498" s="13"/>
      <c r="C498" s="8"/>
      <c r="D498" s="14"/>
      <c r="E498" s="3">
        <f t="shared" si="21"/>
        <v>0</v>
      </c>
      <c r="F498" s="10"/>
      <c r="G498" s="5">
        <v>150000.0</v>
      </c>
      <c r="H498" s="6">
        <f t="shared" si="2"/>
        <v>331972.25</v>
      </c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9.5" customHeight="1">
      <c r="A499" s="9">
        <v>45979.0</v>
      </c>
      <c r="B499" s="2">
        <v>500.0</v>
      </c>
      <c r="C499" s="1">
        <v>4.49</v>
      </c>
      <c r="D499" s="14"/>
      <c r="E499" s="3">
        <f t="shared" si="21"/>
        <v>2245</v>
      </c>
      <c r="F499" s="10"/>
      <c r="G499" s="11"/>
      <c r="H499" s="6">
        <f t="shared" si="2"/>
        <v>334217.25</v>
      </c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9.5" customHeight="1">
      <c r="A500" s="9">
        <v>45979.0</v>
      </c>
      <c r="B500" s="2">
        <v>4456.0</v>
      </c>
      <c r="C500" s="1">
        <v>4.49</v>
      </c>
      <c r="D500" s="14"/>
      <c r="E500" s="3">
        <f t="shared" si="21"/>
        <v>20007.44</v>
      </c>
      <c r="F500" s="10"/>
      <c r="G500" s="11"/>
      <c r="H500" s="6">
        <f t="shared" si="2"/>
        <v>354224.69</v>
      </c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9.5" customHeight="1">
      <c r="A501" s="9">
        <v>45979.0</v>
      </c>
      <c r="B501" s="2">
        <v>19000.0</v>
      </c>
      <c r="C501" s="1">
        <v>4.49</v>
      </c>
      <c r="D501" s="14"/>
      <c r="E501" s="3">
        <f t="shared" si="21"/>
        <v>85310</v>
      </c>
      <c r="F501" s="10"/>
      <c r="G501" s="11"/>
      <c r="H501" s="6">
        <f t="shared" si="2"/>
        <v>439534.69</v>
      </c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9.5" customHeight="1">
      <c r="A502" s="9">
        <v>45980.0</v>
      </c>
      <c r="B502" s="2">
        <v>13999.0</v>
      </c>
      <c r="C502" s="1">
        <v>4.495</v>
      </c>
      <c r="D502" s="14"/>
      <c r="E502" s="3">
        <f t="shared" si="21"/>
        <v>62925.505</v>
      </c>
      <c r="F502" s="10"/>
      <c r="G502" s="11"/>
      <c r="H502" s="6">
        <f t="shared" si="2"/>
        <v>502460.195</v>
      </c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9.5" customHeight="1">
      <c r="A503" s="9">
        <v>45980.0</v>
      </c>
      <c r="B503" s="2">
        <v>10000.0</v>
      </c>
      <c r="C503" s="1">
        <v>4.495</v>
      </c>
      <c r="D503" s="14"/>
      <c r="E503" s="3">
        <f t="shared" si="21"/>
        <v>44950</v>
      </c>
      <c r="F503" s="10"/>
      <c r="G503" s="11"/>
      <c r="H503" s="6">
        <f t="shared" si="2"/>
        <v>547410.195</v>
      </c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9.5" customHeight="1">
      <c r="A504" s="9">
        <v>45980.0</v>
      </c>
      <c r="B504" s="2">
        <v>15300.0</v>
      </c>
      <c r="C504" s="1">
        <v>4.495</v>
      </c>
      <c r="D504" s="14"/>
      <c r="E504" s="3">
        <f t="shared" si="21"/>
        <v>68773.5</v>
      </c>
      <c r="F504" s="10"/>
      <c r="G504" s="11"/>
      <c r="H504" s="6">
        <f t="shared" si="2"/>
        <v>616183.695</v>
      </c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9.5" customHeight="1">
      <c r="A505" s="9">
        <v>45981.0</v>
      </c>
      <c r="B505" s="2">
        <v>21000.0</v>
      </c>
      <c r="C505" s="1">
        <v>4.495</v>
      </c>
      <c r="D505" s="14"/>
      <c r="E505" s="3">
        <f t="shared" si="21"/>
        <v>94395</v>
      </c>
      <c r="F505" s="10"/>
      <c r="G505" s="11"/>
      <c r="H505" s="6">
        <f t="shared" si="2"/>
        <v>710578.695</v>
      </c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9.5" customHeight="1">
      <c r="A506" s="9">
        <v>45981.0</v>
      </c>
      <c r="B506" s="2">
        <v>12000.0</v>
      </c>
      <c r="C506" s="1">
        <v>4.495</v>
      </c>
      <c r="D506" s="14"/>
      <c r="E506" s="3">
        <f t="shared" si="21"/>
        <v>53940</v>
      </c>
      <c r="F506" s="10"/>
      <c r="G506" s="11"/>
      <c r="H506" s="6">
        <f t="shared" si="2"/>
        <v>764518.695</v>
      </c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9.5" customHeight="1">
      <c r="A507" s="9">
        <v>45981.0</v>
      </c>
      <c r="B507" s="2">
        <v>3300.0</v>
      </c>
      <c r="C507" s="1">
        <v>4.495</v>
      </c>
      <c r="D507" s="14"/>
      <c r="E507" s="3">
        <f t="shared" si="21"/>
        <v>14833.5</v>
      </c>
      <c r="F507" s="10"/>
      <c r="G507" s="11"/>
      <c r="H507" s="6">
        <f t="shared" si="2"/>
        <v>779352.195</v>
      </c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9.5" customHeight="1">
      <c r="A508" s="9">
        <v>45981.0</v>
      </c>
      <c r="B508" s="13"/>
      <c r="C508" s="8"/>
      <c r="D508" s="14"/>
      <c r="E508" s="3">
        <f t="shared" si="21"/>
        <v>0</v>
      </c>
      <c r="F508" s="10"/>
      <c r="G508" s="5">
        <v>13262.0</v>
      </c>
      <c r="H508" s="6">
        <f t="shared" si="2"/>
        <v>766090.195</v>
      </c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9.5" customHeight="1">
      <c r="A509" s="9">
        <v>45982.0</v>
      </c>
      <c r="B509" s="13"/>
      <c r="C509" s="8"/>
      <c r="D509" s="14"/>
      <c r="E509" s="3">
        <f t="shared" si="21"/>
        <v>0</v>
      </c>
      <c r="F509" s="10"/>
      <c r="G509" s="5">
        <v>80000.0</v>
      </c>
      <c r="H509" s="6">
        <f t="shared" si="2"/>
        <v>686090.195</v>
      </c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9.5" customHeight="1">
      <c r="A510" s="9">
        <v>45982.0</v>
      </c>
      <c r="B510" s="13"/>
      <c r="C510" s="8"/>
      <c r="D510" s="14"/>
      <c r="E510" s="3">
        <f t="shared" si="21"/>
        <v>0</v>
      </c>
      <c r="F510" s="10"/>
      <c r="G510" s="5">
        <v>25000.0</v>
      </c>
      <c r="H510" s="6">
        <f t="shared" si="2"/>
        <v>661090.195</v>
      </c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9.5" customHeight="1">
      <c r="A511" s="9">
        <v>45982.0</v>
      </c>
      <c r="B511" s="13"/>
      <c r="C511" s="8"/>
      <c r="D511" s="14"/>
      <c r="E511" s="3">
        <f t="shared" si="21"/>
        <v>0</v>
      </c>
      <c r="F511" s="10"/>
      <c r="G511" s="5">
        <v>22554.0</v>
      </c>
      <c r="H511" s="6">
        <f t="shared" si="2"/>
        <v>638536.195</v>
      </c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9.5" customHeight="1">
      <c r="A512" s="9">
        <v>45982.0</v>
      </c>
      <c r="B512" s="13"/>
      <c r="C512" s="8"/>
      <c r="D512" s="14"/>
      <c r="E512" s="3">
        <f t="shared" si="21"/>
        <v>0</v>
      </c>
      <c r="F512" s="10"/>
      <c r="G512" s="5">
        <v>25000.0</v>
      </c>
      <c r="H512" s="6">
        <f t="shared" si="2"/>
        <v>613536.195</v>
      </c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9.5" customHeight="1">
      <c r="A513" s="9">
        <v>45982.0</v>
      </c>
      <c r="B513" s="2">
        <v>28200.0</v>
      </c>
      <c r="C513" s="1">
        <v>4.505</v>
      </c>
      <c r="D513" s="14"/>
      <c r="E513" s="3">
        <f t="shared" si="21"/>
        <v>127041</v>
      </c>
      <c r="F513" s="10"/>
      <c r="G513" s="11"/>
      <c r="H513" s="6">
        <f t="shared" si="2"/>
        <v>740577.195</v>
      </c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9.5" customHeight="1">
      <c r="A514" s="9">
        <v>45982.0</v>
      </c>
      <c r="B514" s="2">
        <v>5300.0</v>
      </c>
      <c r="C514" s="1">
        <v>4.505</v>
      </c>
      <c r="D514" s="14"/>
      <c r="E514" s="3">
        <f t="shared" si="21"/>
        <v>23876.5</v>
      </c>
      <c r="F514" s="10"/>
      <c r="G514" s="11"/>
      <c r="H514" s="6">
        <f t="shared" si="2"/>
        <v>764453.695</v>
      </c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9.5" customHeight="1">
      <c r="A515" s="9">
        <v>45982.0</v>
      </c>
      <c r="B515" s="13"/>
      <c r="C515" s="8"/>
      <c r="D515" s="14"/>
      <c r="E515" s="3">
        <f t="shared" si="21"/>
        <v>0</v>
      </c>
      <c r="F515" s="10"/>
      <c r="G515" s="5">
        <v>150000.0</v>
      </c>
      <c r="H515" s="6">
        <f t="shared" si="2"/>
        <v>614453.695</v>
      </c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9.5" customHeight="1">
      <c r="A516" s="9">
        <v>45982.0</v>
      </c>
      <c r="B516" s="13"/>
      <c r="C516" s="8"/>
      <c r="D516" s="14"/>
      <c r="E516" s="3">
        <f t="shared" si="21"/>
        <v>0</v>
      </c>
      <c r="F516" s="10"/>
      <c r="G516" s="5">
        <v>100000.0</v>
      </c>
      <c r="H516" s="6">
        <f t="shared" si="2"/>
        <v>514453.695</v>
      </c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9.5" customHeight="1">
      <c r="A517" s="9">
        <v>45982.0</v>
      </c>
      <c r="B517" s="13"/>
      <c r="C517" s="8"/>
      <c r="D517" s="14"/>
      <c r="E517" s="3">
        <f t="shared" si="21"/>
        <v>0</v>
      </c>
      <c r="F517" s="10"/>
      <c r="G517" s="5">
        <v>100000.0</v>
      </c>
      <c r="H517" s="6">
        <f t="shared" si="2"/>
        <v>414453.695</v>
      </c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9.5" customHeight="1">
      <c r="A518" s="9">
        <v>45983.0</v>
      </c>
      <c r="B518" s="2">
        <v>1000.0</v>
      </c>
      <c r="C518" s="1">
        <v>4.505</v>
      </c>
      <c r="D518" s="14"/>
      <c r="E518" s="3">
        <f t="shared" si="21"/>
        <v>4505</v>
      </c>
      <c r="F518" s="10"/>
      <c r="G518" s="11"/>
      <c r="H518" s="6">
        <f t="shared" si="2"/>
        <v>418958.695</v>
      </c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9.5" customHeight="1">
      <c r="A519" s="9">
        <v>45983.0</v>
      </c>
      <c r="B519" s="2">
        <v>15300.0</v>
      </c>
      <c r="C519" s="1">
        <v>4.505</v>
      </c>
      <c r="D519" s="14"/>
      <c r="E519" s="3">
        <f t="shared" si="21"/>
        <v>68926.5</v>
      </c>
      <c r="F519" s="10"/>
      <c r="G519" s="11"/>
      <c r="H519" s="6">
        <f t="shared" si="2"/>
        <v>487885.195</v>
      </c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9.5" customHeight="1">
      <c r="A520" s="9">
        <v>45984.0</v>
      </c>
      <c r="B520" s="2">
        <v>16800.0</v>
      </c>
      <c r="C520" s="1">
        <v>4.505</v>
      </c>
      <c r="D520" s="14"/>
      <c r="E520" s="3">
        <f t="shared" si="21"/>
        <v>75684</v>
      </c>
      <c r="F520" s="10"/>
      <c r="G520" s="5"/>
      <c r="H520" s="6">
        <f t="shared" si="2"/>
        <v>563569.195</v>
      </c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9.5" customHeight="1">
      <c r="A521" s="9">
        <v>45984.0</v>
      </c>
      <c r="B521" s="2">
        <v>13500.0</v>
      </c>
      <c r="C521" s="1">
        <v>4.505</v>
      </c>
      <c r="D521" s="14"/>
      <c r="E521" s="3">
        <f t="shared" si="21"/>
        <v>60817.5</v>
      </c>
      <c r="F521" s="10"/>
      <c r="G521" s="11"/>
      <c r="H521" s="6">
        <f t="shared" si="2"/>
        <v>624386.695</v>
      </c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9.5" customHeight="1">
      <c r="A522" s="9">
        <v>45986.0</v>
      </c>
      <c r="B522" s="2">
        <v>1000.0</v>
      </c>
      <c r="C522" s="1">
        <v>4.525</v>
      </c>
      <c r="D522" s="14"/>
      <c r="E522" s="3">
        <f t="shared" si="21"/>
        <v>4525</v>
      </c>
      <c r="F522" s="10"/>
      <c r="G522" s="11"/>
      <c r="H522" s="6">
        <f t="shared" si="2"/>
        <v>628911.695</v>
      </c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9.5" customHeight="1">
      <c r="A523" s="9">
        <v>45987.0</v>
      </c>
      <c r="B523" s="2">
        <v>25050.0</v>
      </c>
      <c r="C523" s="1">
        <v>4.525</v>
      </c>
      <c r="D523" s="14"/>
      <c r="E523" s="3">
        <f t="shared" si="21"/>
        <v>113351.25</v>
      </c>
      <c r="F523" s="10"/>
      <c r="G523" s="11"/>
      <c r="H523" s="6">
        <f t="shared" si="2"/>
        <v>742262.945</v>
      </c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9.5" customHeight="1">
      <c r="A524" s="9">
        <v>45987.0</v>
      </c>
      <c r="B524" s="2">
        <v>4000.0</v>
      </c>
      <c r="C524" s="1">
        <v>4.525</v>
      </c>
      <c r="D524" s="14"/>
      <c r="E524" s="3">
        <f t="shared" si="21"/>
        <v>18100</v>
      </c>
      <c r="F524" s="10"/>
      <c r="G524" s="11"/>
      <c r="H524" s="6">
        <f t="shared" si="2"/>
        <v>760362.945</v>
      </c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9.5" customHeight="1">
      <c r="A525" s="9">
        <v>45987.0</v>
      </c>
      <c r="B525" s="2">
        <v>13000.0</v>
      </c>
      <c r="C525" s="1">
        <v>4.525</v>
      </c>
      <c r="D525" s="14"/>
      <c r="E525" s="3">
        <f t="shared" si="21"/>
        <v>58825</v>
      </c>
      <c r="F525" s="10"/>
      <c r="G525" s="11"/>
      <c r="H525" s="6">
        <f t="shared" si="2"/>
        <v>819187.945</v>
      </c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9.5" customHeight="1">
      <c r="A526" s="9">
        <v>45987.0</v>
      </c>
      <c r="B526" s="2">
        <v>9980.0</v>
      </c>
      <c r="C526" s="1">
        <v>4.525</v>
      </c>
      <c r="D526" s="14"/>
      <c r="E526" s="3">
        <f t="shared" si="21"/>
        <v>45159.5</v>
      </c>
      <c r="F526" s="10"/>
      <c r="G526" s="11"/>
      <c r="H526" s="6">
        <f t="shared" si="2"/>
        <v>864347.445</v>
      </c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9.5" customHeight="1">
      <c r="A527" s="9">
        <v>45987.0</v>
      </c>
      <c r="B527" s="13"/>
      <c r="C527" s="8"/>
      <c r="D527" s="1"/>
      <c r="E527" s="3">
        <f t="shared" si="21"/>
        <v>0</v>
      </c>
      <c r="F527" s="4"/>
      <c r="G527" s="5">
        <v>100000.0</v>
      </c>
      <c r="H527" s="6">
        <f t="shared" si="2"/>
        <v>764347.445</v>
      </c>
      <c r="I527" s="1" t="s">
        <v>9</v>
      </c>
      <c r="J527" s="1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9.5" customHeight="1">
      <c r="A528" s="9">
        <v>45988.0</v>
      </c>
      <c r="B528" s="2">
        <v>13300.0</v>
      </c>
      <c r="C528" s="1">
        <v>4.525</v>
      </c>
      <c r="D528" s="14"/>
      <c r="E528" s="3">
        <f t="shared" si="21"/>
        <v>60182.5</v>
      </c>
      <c r="F528" s="10"/>
      <c r="G528" s="5"/>
      <c r="H528" s="6">
        <f t="shared" si="2"/>
        <v>824529.945</v>
      </c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9.5" customHeight="1">
      <c r="A529" s="9">
        <v>45988.0</v>
      </c>
      <c r="B529" s="2">
        <v>13000.0</v>
      </c>
      <c r="C529" s="1">
        <v>4.525</v>
      </c>
      <c r="D529" s="14"/>
      <c r="E529" s="3">
        <f t="shared" si="21"/>
        <v>58825</v>
      </c>
      <c r="F529" s="10"/>
      <c r="G529" s="11"/>
      <c r="H529" s="6">
        <f t="shared" si="2"/>
        <v>883354.945</v>
      </c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9.5" customHeight="1">
      <c r="A530" s="9">
        <v>45988.0</v>
      </c>
      <c r="B530" s="2">
        <v>5800.0</v>
      </c>
      <c r="C530" s="1">
        <v>4.525</v>
      </c>
      <c r="D530" s="14"/>
      <c r="E530" s="3">
        <f t="shared" si="21"/>
        <v>26245</v>
      </c>
      <c r="F530" s="10"/>
      <c r="G530" s="11"/>
      <c r="H530" s="6">
        <f t="shared" si="2"/>
        <v>909599.945</v>
      </c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9.5" customHeight="1">
      <c r="A531" s="9">
        <v>45988.0</v>
      </c>
      <c r="B531" s="13"/>
      <c r="C531" s="8"/>
      <c r="D531" s="1"/>
      <c r="E531" s="3">
        <f t="shared" si="21"/>
        <v>0</v>
      </c>
      <c r="F531" s="4"/>
      <c r="G531" s="5">
        <v>120000.0</v>
      </c>
      <c r="H531" s="6">
        <f t="shared" si="2"/>
        <v>789599.945</v>
      </c>
      <c r="I531" s="1" t="s">
        <v>10</v>
      </c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9.5" customHeight="1">
      <c r="A532" s="9">
        <v>45989.0</v>
      </c>
      <c r="B532" s="13"/>
      <c r="C532" s="8"/>
      <c r="D532" s="1"/>
      <c r="E532" s="3">
        <f t="shared" si="21"/>
        <v>0</v>
      </c>
      <c r="F532" s="4"/>
      <c r="G532" s="5">
        <v>69800.0</v>
      </c>
      <c r="H532" s="6">
        <f t="shared" si="2"/>
        <v>719799.945</v>
      </c>
      <c r="I532" s="1" t="s">
        <v>10</v>
      </c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9.5" customHeight="1">
      <c r="A533" s="9">
        <v>45989.0</v>
      </c>
      <c r="B533" s="2">
        <v>6500.0</v>
      </c>
      <c r="C533" s="1">
        <v>4.525</v>
      </c>
      <c r="D533" s="14"/>
      <c r="E533" s="3">
        <f t="shared" si="21"/>
        <v>29412.5</v>
      </c>
      <c r="F533" s="10"/>
      <c r="G533" s="11"/>
      <c r="H533" s="6">
        <f t="shared" si="2"/>
        <v>749212.445</v>
      </c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9.5" customHeight="1">
      <c r="A534" s="9">
        <v>45990.0</v>
      </c>
      <c r="B534" s="2">
        <v>12500.0</v>
      </c>
      <c r="C534" s="1">
        <v>4.525</v>
      </c>
      <c r="D534" s="14"/>
      <c r="E534" s="3">
        <f t="shared" si="21"/>
        <v>56562.5</v>
      </c>
      <c r="F534" s="10"/>
      <c r="G534" s="11"/>
      <c r="H534" s="6">
        <f t="shared" si="2"/>
        <v>805774.945</v>
      </c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9.5" customHeight="1">
      <c r="A535" s="9">
        <v>45991.0</v>
      </c>
      <c r="B535" s="13"/>
      <c r="C535" s="8"/>
      <c r="D535" s="14"/>
      <c r="E535" s="3">
        <f t="shared" si="21"/>
        <v>0</v>
      </c>
      <c r="F535" s="10"/>
      <c r="G535" s="5">
        <v>313200.0</v>
      </c>
      <c r="H535" s="6">
        <f t="shared" si="2"/>
        <v>492574.945</v>
      </c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9.5" customHeight="1">
      <c r="A536" s="9">
        <v>45992.0</v>
      </c>
      <c r="B536" s="13"/>
      <c r="C536" s="8"/>
      <c r="D536" s="1"/>
      <c r="E536" s="3">
        <f t="shared" si="21"/>
        <v>0</v>
      </c>
      <c r="F536" s="4"/>
      <c r="G536" s="5">
        <v>138900.0</v>
      </c>
      <c r="H536" s="6">
        <f t="shared" si="2"/>
        <v>353674.945</v>
      </c>
      <c r="I536" s="1" t="s">
        <v>11</v>
      </c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9.5" customHeight="1">
      <c r="A537" s="9">
        <v>45992.0</v>
      </c>
      <c r="B537" s="2">
        <v>3600.0</v>
      </c>
      <c r="C537" s="1">
        <v>4.55</v>
      </c>
      <c r="D537" s="14"/>
      <c r="E537" s="3">
        <f t="shared" si="21"/>
        <v>16380</v>
      </c>
      <c r="F537" s="10"/>
      <c r="G537" s="11"/>
      <c r="H537" s="6">
        <f t="shared" si="2"/>
        <v>370054.945</v>
      </c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9.5" customHeight="1">
      <c r="A538" s="9">
        <v>45992.0</v>
      </c>
      <c r="B538" s="2">
        <v>9700.0</v>
      </c>
      <c r="C538" s="1">
        <v>4.55</v>
      </c>
      <c r="D538" s="14"/>
      <c r="E538" s="3">
        <f t="shared" si="21"/>
        <v>44135</v>
      </c>
      <c r="F538" s="10"/>
      <c r="G538" s="11"/>
      <c r="H538" s="6">
        <f t="shared" si="2"/>
        <v>414189.945</v>
      </c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9.5" customHeight="1">
      <c r="A539" s="9">
        <v>45992.0</v>
      </c>
      <c r="B539" s="2">
        <v>14300.0</v>
      </c>
      <c r="C539" s="1">
        <v>4.55</v>
      </c>
      <c r="D539" s="14"/>
      <c r="E539" s="3">
        <f t="shared" si="21"/>
        <v>65065</v>
      </c>
      <c r="F539" s="10"/>
      <c r="G539" s="11"/>
      <c r="H539" s="6">
        <f t="shared" si="2"/>
        <v>479254.945</v>
      </c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9.5" customHeight="1">
      <c r="A540" s="9">
        <v>45992.0</v>
      </c>
      <c r="B540" s="2">
        <v>100.0</v>
      </c>
      <c r="C540" s="1">
        <v>4.55</v>
      </c>
      <c r="D540" s="14"/>
      <c r="E540" s="3">
        <f t="shared" si="21"/>
        <v>455</v>
      </c>
      <c r="F540" s="10"/>
      <c r="G540" s="11"/>
      <c r="H540" s="6">
        <f t="shared" si="2"/>
        <v>479709.945</v>
      </c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9.5" customHeight="1">
      <c r="A541" s="9">
        <v>45993.0</v>
      </c>
      <c r="B541" s="13"/>
      <c r="C541" s="8"/>
      <c r="D541" s="14"/>
      <c r="E541" s="3">
        <f t="shared" si="21"/>
        <v>0</v>
      </c>
      <c r="F541" s="10"/>
      <c r="G541" s="5">
        <v>100000.0</v>
      </c>
      <c r="H541" s="6">
        <f t="shared" si="2"/>
        <v>379709.945</v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9.5" customHeight="1">
      <c r="A542" s="9">
        <v>45993.0</v>
      </c>
      <c r="B542" s="13"/>
      <c r="C542" s="8"/>
      <c r="D542" s="14"/>
      <c r="E542" s="3">
        <f t="shared" si="21"/>
        <v>0</v>
      </c>
      <c r="F542" s="10"/>
      <c r="G542" s="5">
        <v>30000.0</v>
      </c>
      <c r="H542" s="6">
        <f t="shared" si="2"/>
        <v>349709.945</v>
      </c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9.5" customHeight="1">
      <c r="A543" s="9">
        <v>45993.0</v>
      </c>
      <c r="B543" s="2">
        <v>11500.0</v>
      </c>
      <c r="C543" s="1">
        <v>4.55</v>
      </c>
      <c r="D543" s="14"/>
      <c r="E543" s="3">
        <f t="shared" si="21"/>
        <v>52325</v>
      </c>
      <c r="F543" s="10"/>
      <c r="G543" s="11"/>
      <c r="H543" s="6">
        <f t="shared" si="2"/>
        <v>402034.945</v>
      </c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9.5" customHeight="1">
      <c r="A544" s="9">
        <v>45993.0</v>
      </c>
      <c r="B544" s="2">
        <v>5680.0</v>
      </c>
      <c r="C544" s="1">
        <v>4.55</v>
      </c>
      <c r="D544" s="14"/>
      <c r="E544" s="3">
        <f t="shared" si="21"/>
        <v>25844</v>
      </c>
      <c r="F544" s="10"/>
      <c r="G544" s="11"/>
      <c r="H544" s="6">
        <f t="shared" si="2"/>
        <v>427878.945</v>
      </c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9.5" customHeight="1">
      <c r="A545" s="9">
        <v>45993.0</v>
      </c>
      <c r="B545" s="2">
        <v>13700.0</v>
      </c>
      <c r="C545" s="1">
        <v>4.55</v>
      </c>
      <c r="D545" s="14"/>
      <c r="E545" s="3">
        <f t="shared" si="21"/>
        <v>62335</v>
      </c>
      <c r="F545" s="10"/>
      <c r="G545" s="11"/>
      <c r="H545" s="6">
        <f t="shared" si="2"/>
        <v>490213.945</v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9.5" customHeight="1">
      <c r="A546" s="9">
        <v>45993.0</v>
      </c>
      <c r="B546" s="2">
        <v>22400.0</v>
      </c>
      <c r="C546" s="1">
        <v>4.55</v>
      </c>
      <c r="D546" s="14"/>
      <c r="E546" s="3">
        <f t="shared" si="21"/>
        <v>101920</v>
      </c>
      <c r="F546" s="10"/>
      <c r="G546" s="11"/>
      <c r="H546" s="6">
        <f t="shared" si="2"/>
        <v>592133.945</v>
      </c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9.5" customHeight="1">
      <c r="A547" s="9">
        <v>45993.0</v>
      </c>
      <c r="B547" s="2">
        <v>13000.0</v>
      </c>
      <c r="C547" s="1">
        <v>4.55</v>
      </c>
      <c r="D547" s="14"/>
      <c r="E547" s="3">
        <f t="shared" si="21"/>
        <v>59150</v>
      </c>
      <c r="F547" s="10"/>
      <c r="G547" s="11"/>
      <c r="H547" s="6">
        <f t="shared" si="2"/>
        <v>651283.945</v>
      </c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9.5" customHeight="1">
      <c r="A548" s="9">
        <v>45994.0</v>
      </c>
      <c r="B548" s="2">
        <v>300.0</v>
      </c>
      <c r="C548" s="1">
        <v>4.55</v>
      </c>
      <c r="D548" s="14"/>
      <c r="E548" s="3">
        <f t="shared" si="21"/>
        <v>1365</v>
      </c>
      <c r="F548" s="10"/>
      <c r="G548" s="11"/>
      <c r="H548" s="6">
        <f t="shared" si="2"/>
        <v>652648.945</v>
      </c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9.5" customHeight="1">
      <c r="A549" s="9">
        <v>45994.0</v>
      </c>
      <c r="B549" s="2">
        <v>2500.0</v>
      </c>
      <c r="C549" s="1">
        <v>4.55</v>
      </c>
      <c r="D549" s="14"/>
      <c r="E549" s="3">
        <f t="shared" si="21"/>
        <v>11375</v>
      </c>
      <c r="F549" s="10"/>
      <c r="G549" s="11"/>
      <c r="H549" s="6">
        <f t="shared" si="2"/>
        <v>664023.945</v>
      </c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9.5" customHeight="1">
      <c r="A550" s="9">
        <v>45994.0</v>
      </c>
      <c r="B550" s="2">
        <v>13800.0</v>
      </c>
      <c r="C550" s="1">
        <v>4.55</v>
      </c>
      <c r="D550" s="14"/>
      <c r="E550" s="3">
        <f t="shared" si="21"/>
        <v>62790</v>
      </c>
      <c r="F550" s="10"/>
      <c r="G550" s="11"/>
      <c r="H550" s="6">
        <f t="shared" si="2"/>
        <v>726813.945</v>
      </c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9.5" customHeight="1">
      <c r="A551" s="9">
        <v>45995.0</v>
      </c>
      <c r="B551" s="2">
        <v>13000.0</v>
      </c>
      <c r="C551" s="1">
        <v>4.55</v>
      </c>
      <c r="D551" s="14"/>
      <c r="E551" s="3">
        <f t="shared" si="21"/>
        <v>59150</v>
      </c>
      <c r="F551" s="10"/>
      <c r="G551" s="11"/>
      <c r="H551" s="6">
        <f t="shared" si="2"/>
        <v>785963.945</v>
      </c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9.5" customHeight="1">
      <c r="A552" s="9">
        <v>45995.0</v>
      </c>
      <c r="B552" s="2">
        <v>7999.0</v>
      </c>
      <c r="C552" s="1">
        <v>4.55</v>
      </c>
      <c r="D552" s="14"/>
      <c r="E552" s="3">
        <f t="shared" si="21"/>
        <v>36395.45</v>
      </c>
      <c r="F552" s="10"/>
      <c r="G552" s="11"/>
      <c r="H552" s="6">
        <f t="shared" si="2"/>
        <v>822359.395</v>
      </c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9.5" customHeight="1">
      <c r="A553" s="9">
        <v>45995.0</v>
      </c>
      <c r="B553" s="2">
        <v>15000.0</v>
      </c>
      <c r="C553" s="1">
        <v>4.55</v>
      </c>
      <c r="D553" s="14"/>
      <c r="E553" s="3">
        <f t="shared" si="21"/>
        <v>68250</v>
      </c>
      <c r="F553" s="10"/>
      <c r="G553" s="11"/>
      <c r="H553" s="6">
        <f t="shared" si="2"/>
        <v>890609.395</v>
      </c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9.5" customHeight="1">
      <c r="A554" s="9">
        <v>45995.0</v>
      </c>
      <c r="B554" s="13"/>
      <c r="C554" s="8"/>
      <c r="D554" s="1"/>
      <c r="E554" s="3">
        <f t="shared" si="21"/>
        <v>0</v>
      </c>
      <c r="F554" s="4"/>
      <c r="G554" s="5">
        <v>100000.0</v>
      </c>
      <c r="H554" s="6">
        <f t="shared" si="2"/>
        <v>790609.395</v>
      </c>
      <c r="I554" s="1" t="s">
        <v>12</v>
      </c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9.5" customHeight="1">
      <c r="A555" s="9">
        <v>45996.0</v>
      </c>
      <c r="B555" s="13"/>
      <c r="C555" s="8"/>
      <c r="D555" s="1"/>
      <c r="E555" s="3">
        <f t="shared" si="21"/>
        <v>0</v>
      </c>
      <c r="F555" s="4"/>
      <c r="G555" s="5">
        <v>61000.0</v>
      </c>
      <c r="H555" s="6">
        <f t="shared" si="2"/>
        <v>729609.395</v>
      </c>
      <c r="I555" s="1" t="s">
        <v>13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9.5" customHeight="1">
      <c r="A556" s="9">
        <v>45996.0</v>
      </c>
      <c r="B556" s="2">
        <v>15700.0</v>
      </c>
      <c r="C556" s="1">
        <v>4.55</v>
      </c>
      <c r="D556" s="14"/>
      <c r="E556" s="3">
        <f t="shared" si="21"/>
        <v>71435</v>
      </c>
      <c r="F556" s="10"/>
      <c r="G556" s="11"/>
      <c r="H556" s="6">
        <f t="shared" si="2"/>
        <v>801044.395</v>
      </c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9.5" customHeight="1">
      <c r="A557" s="9">
        <v>45996.0</v>
      </c>
      <c r="B557" s="13"/>
      <c r="C557" s="8"/>
      <c r="D557" s="1"/>
      <c r="E557" s="3">
        <f t="shared" si="21"/>
        <v>0</v>
      </c>
      <c r="F557" s="4"/>
      <c r="G557" s="5">
        <v>100000.0</v>
      </c>
      <c r="H557" s="6">
        <f t="shared" si="2"/>
        <v>701044.395</v>
      </c>
      <c r="I557" s="1" t="s">
        <v>14</v>
      </c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9.5" customHeight="1">
      <c r="A558" s="9">
        <v>45996.0</v>
      </c>
      <c r="B558" s="2">
        <v>3200.0</v>
      </c>
      <c r="C558" s="1">
        <v>4.55</v>
      </c>
      <c r="D558" s="14"/>
      <c r="E558" s="3">
        <f t="shared" si="21"/>
        <v>14560</v>
      </c>
      <c r="F558" s="10"/>
      <c r="G558" s="11"/>
      <c r="H558" s="6">
        <f t="shared" si="2"/>
        <v>715604.395</v>
      </c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9.5" customHeight="1">
      <c r="A559" s="9">
        <v>45996.0</v>
      </c>
      <c r="B559" s="2">
        <v>1800.0</v>
      </c>
      <c r="C559" s="1">
        <v>4.55</v>
      </c>
      <c r="D559" s="14"/>
      <c r="E559" s="3">
        <f t="shared" si="21"/>
        <v>8190</v>
      </c>
      <c r="F559" s="10"/>
      <c r="G559" s="11"/>
      <c r="H559" s="6">
        <f t="shared" si="2"/>
        <v>723794.395</v>
      </c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9.5" customHeight="1">
      <c r="A560" s="9">
        <v>45996.0</v>
      </c>
      <c r="B560" s="2">
        <v>9800.0</v>
      </c>
      <c r="C560" s="1">
        <v>4.55</v>
      </c>
      <c r="D560" s="14"/>
      <c r="E560" s="3">
        <f t="shared" si="21"/>
        <v>44590</v>
      </c>
      <c r="F560" s="10"/>
      <c r="G560" s="11"/>
      <c r="H560" s="6">
        <f t="shared" si="2"/>
        <v>768384.395</v>
      </c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9.5" customHeight="1">
      <c r="A561" s="9">
        <v>45996.0</v>
      </c>
      <c r="B561" s="2">
        <v>24500.0</v>
      </c>
      <c r="C561" s="1">
        <v>4.55</v>
      </c>
      <c r="D561" s="14"/>
      <c r="E561" s="3">
        <f t="shared" si="21"/>
        <v>111475</v>
      </c>
      <c r="F561" s="10"/>
      <c r="G561" s="11"/>
      <c r="H561" s="6">
        <f t="shared" si="2"/>
        <v>879859.395</v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9.5" customHeight="1">
      <c r="A562" s="9">
        <v>45996.0</v>
      </c>
      <c r="B562" s="2">
        <v>8920.0</v>
      </c>
      <c r="C562" s="1">
        <v>4.55</v>
      </c>
      <c r="D562" s="14"/>
      <c r="E562" s="3">
        <f t="shared" si="21"/>
        <v>40586</v>
      </c>
      <c r="F562" s="10"/>
      <c r="G562" s="11"/>
      <c r="H562" s="6">
        <f t="shared" si="2"/>
        <v>920445.395</v>
      </c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9.5" customHeight="1">
      <c r="A563" s="9">
        <v>45996.0</v>
      </c>
      <c r="B563" s="13"/>
      <c r="C563" s="8"/>
      <c r="D563" s="1"/>
      <c r="E563" s="3">
        <f t="shared" si="21"/>
        <v>0</v>
      </c>
      <c r="F563" s="4"/>
      <c r="G563" s="5">
        <v>400000.0</v>
      </c>
      <c r="H563" s="6">
        <f t="shared" si="2"/>
        <v>520445.395</v>
      </c>
      <c r="I563" s="1" t="s">
        <v>15</v>
      </c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9.5" customHeight="1">
      <c r="A564" s="9">
        <v>45997.0</v>
      </c>
      <c r="B564" s="2">
        <v>500.0</v>
      </c>
      <c r="C564" s="1">
        <v>4.55</v>
      </c>
      <c r="D564" s="14"/>
      <c r="E564" s="3">
        <f t="shared" si="21"/>
        <v>2275</v>
      </c>
      <c r="F564" s="10"/>
      <c r="G564" s="11"/>
      <c r="H564" s="6">
        <f t="shared" si="2"/>
        <v>522720.395</v>
      </c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9.5" customHeight="1">
      <c r="A565" s="9">
        <v>45997.0</v>
      </c>
      <c r="B565" s="2">
        <v>11665.0</v>
      </c>
      <c r="C565" s="1">
        <v>4.55</v>
      </c>
      <c r="D565" s="14"/>
      <c r="E565" s="3">
        <f t="shared" si="21"/>
        <v>53075.75</v>
      </c>
      <c r="F565" s="10"/>
      <c r="G565" s="11"/>
      <c r="H565" s="6">
        <f t="shared" si="2"/>
        <v>575796.145</v>
      </c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9.5" customHeight="1">
      <c r="A566" s="9">
        <v>45998.0</v>
      </c>
      <c r="B566" s="2">
        <v>5000.0</v>
      </c>
      <c r="C566" s="1">
        <v>4.55</v>
      </c>
      <c r="D566" s="14"/>
      <c r="E566" s="3">
        <f t="shared" si="21"/>
        <v>22750</v>
      </c>
      <c r="F566" s="10"/>
      <c r="G566" s="11"/>
      <c r="H566" s="6">
        <f t="shared" si="2"/>
        <v>598546.145</v>
      </c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9.5" customHeight="1">
      <c r="A567" s="9">
        <v>45998.0</v>
      </c>
      <c r="B567" s="2">
        <v>9800.0</v>
      </c>
      <c r="C567" s="1">
        <v>4.55</v>
      </c>
      <c r="D567" s="14"/>
      <c r="E567" s="3">
        <f t="shared" si="21"/>
        <v>44590</v>
      </c>
      <c r="F567" s="10"/>
      <c r="G567" s="11"/>
      <c r="H567" s="6">
        <f t="shared" si="2"/>
        <v>643136.145</v>
      </c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9.5" customHeight="1">
      <c r="A568" s="9">
        <v>45998.0</v>
      </c>
      <c r="B568" s="2">
        <v>15000.0</v>
      </c>
      <c r="C568" s="1">
        <v>4.55</v>
      </c>
      <c r="D568" s="14"/>
      <c r="E568" s="3">
        <f t="shared" si="21"/>
        <v>68250</v>
      </c>
      <c r="F568" s="10"/>
      <c r="G568" s="11"/>
      <c r="H568" s="6">
        <f t="shared" si="2"/>
        <v>711386.145</v>
      </c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9.5" customHeight="1">
      <c r="A569" s="9">
        <v>45999.0</v>
      </c>
      <c r="B569" s="13"/>
      <c r="C569" s="8"/>
      <c r="D569" s="1"/>
      <c r="E569" s="3">
        <f t="shared" si="21"/>
        <v>0</v>
      </c>
      <c r="F569" s="4"/>
      <c r="G569" s="5">
        <v>106000.0</v>
      </c>
      <c r="H569" s="6">
        <f t="shared" si="2"/>
        <v>605386.145</v>
      </c>
      <c r="I569" s="1" t="s">
        <v>16</v>
      </c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9.5" customHeight="1">
      <c r="A570" s="9">
        <v>45999.0</v>
      </c>
      <c r="B570" s="13"/>
      <c r="C570" s="8"/>
      <c r="D570" s="1"/>
      <c r="E570" s="3">
        <f t="shared" si="21"/>
        <v>0</v>
      </c>
      <c r="F570" s="4"/>
      <c r="G570" s="5">
        <v>44000.0</v>
      </c>
      <c r="H570" s="6">
        <f t="shared" si="2"/>
        <v>561386.145</v>
      </c>
      <c r="I570" s="1" t="s">
        <v>16</v>
      </c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9.5" customHeight="1">
      <c r="A571" s="9">
        <v>45999.0</v>
      </c>
      <c r="B571" s="13"/>
      <c r="C571" s="8"/>
      <c r="D571" s="1"/>
      <c r="E571" s="3">
        <f t="shared" si="21"/>
        <v>0</v>
      </c>
      <c r="F571" s="4"/>
      <c r="G571" s="5">
        <v>260000.0</v>
      </c>
      <c r="H571" s="6">
        <f t="shared" si="2"/>
        <v>301386.145</v>
      </c>
      <c r="I571" s="1" t="s">
        <v>17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9.5" customHeight="1">
      <c r="A572" s="9">
        <v>45999.0</v>
      </c>
      <c r="B572" s="2">
        <v>15200.0</v>
      </c>
      <c r="C572" s="1">
        <v>4.56</v>
      </c>
      <c r="D572" s="14"/>
      <c r="E572" s="3">
        <f t="shared" si="21"/>
        <v>69312</v>
      </c>
      <c r="F572" s="10"/>
      <c r="G572" s="11"/>
      <c r="H572" s="6">
        <f t="shared" si="2"/>
        <v>370698.145</v>
      </c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9.5" customHeight="1">
      <c r="A573" s="9">
        <v>45999.0</v>
      </c>
      <c r="B573" s="2">
        <v>6000.0</v>
      </c>
      <c r="C573" s="1">
        <v>4.56</v>
      </c>
      <c r="D573" s="14"/>
      <c r="E573" s="3">
        <f t="shared" si="21"/>
        <v>27360</v>
      </c>
      <c r="F573" s="10"/>
      <c r="G573" s="11"/>
      <c r="H573" s="6">
        <f t="shared" si="2"/>
        <v>398058.145</v>
      </c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9.5" customHeight="1">
      <c r="A574" s="9">
        <v>46000.0</v>
      </c>
      <c r="B574" s="2">
        <v>19300.0</v>
      </c>
      <c r="C574" s="1">
        <v>4.53</v>
      </c>
      <c r="D574" s="14"/>
      <c r="E574" s="3">
        <f t="shared" si="21"/>
        <v>87429</v>
      </c>
      <c r="F574" s="10"/>
      <c r="G574" s="11"/>
      <c r="H574" s="6">
        <f t="shared" si="2"/>
        <v>485487.145</v>
      </c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9.5" customHeight="1">
      <c r="A575" s="9">
        <v>46000.0</v>
      </c>
      <c r="B575" s="2">
        <v>21000.0</v>
      </c>
      <c r="C575" s="1">
        <v>4.53</v>
      </c>
      <c r="D575" s="14"/>
      <c r="E575" s="3">
        <f t="shared" si="21"/>
        <v>95130</v>
      </c>
      <c r="F575" s="10"/>
      <c r="G575" s="11"/>
      <c r="H575" s="6">
        <f t="shared" si="2"/>
        <v>580617.145</v>
      </c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9.5" customHeight="1">
      <c r="A576" s="9">
        <v>46001.0</v>
      </c>
      <c r="B576" s="2">
        <v>4600.0</v>
      </c>
      <c r="C576" s="1">
        <v>4.53</v>
      </c>
      <c r="D576" s="14"/>
      <c r="E576" s="3">
        <f t="shared" si="21"/>
        <v>20838</v>
      </c>
      <c r="F576" s="10"/>
      <c r="G576" s="11"/>
      <c r="H576" s="6">
        <f t="shared" si="2"/>
        <v>601455.145</v>
      </c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9.5" customHeight="1">
      <c r="A577" s="9">
        <v>46001.0</v>
      </c>
      <c r="B577" s="2">
        <v>24400.0</v>
      </c>
      <c r="C577" s="1">
        <v>4.53</v>
      </c>
      <c r="D577" s="14"/>
      <c r="E577" s="3">
        <f t="shared" si="21"/>
        <v>110532</v>
      </c>
      <c r="F577" s="10"/>
      <c r="G577" s="11"/>
      <c r="H577" s="6">
        <f t="shared" si="2"/>
        <v>711987.145</v>
      </c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9.5" customHeight="1">
      <c r="A578" s="9">
        <v>46001.0</v>
      </c>
      <c r="B578" s="13"/>
      <c r="C578" s="8"/>
      <c r="D578" s="1"/>
      <c r="E578" s="3">
        <f t="shared" si="21"/>
        <v>0</v>
      </c>
      <c r="F578" s="4"/>
      <c r="G578" s="5">
        <v>100000.0</v>
      </c>
      <c r="H578" s="6">
        <f t="shared" si="2"/>
        <v>611987.145</v>
      </c>
      <c r="I578" s="1" t="s">
        <v>18</v>
      </c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9.5" customHeight="1">
      <c r="A579" s="9">
        <v>46002.0</v>
      </c>
      <c r="B579" s="2">
        <v>27500.0</v>
      </c>
      <c r="C579" s="1">
        <v>4.53</v>
      </c>
      <c r="D579" s="14"/>
      <c r="E579" s="3">
        <f t="shared" si="21"/>
        <v>124575</v>
      </c>
      <c r="F579" s="10"/>
      <c r="G579" s="11"/>
      <c r="H579" s="6">
        <f t="shared" si="2"/>
        <v>736562.145</v>
      </c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9.5" customHeight="1">
      <c r="A580" s="9">
        <v>46002.0</v>
      </c>
      <c r="B580" s="2">
        <v>2300.0</v>
      </c>
      <c r="C580" s="1">
        <v>4.53</v>
      </c>
      <c r="D580" s="14"/>
      <c r="E580" s="3">
        <f t="shared" si="21"/>
        <v>10419</v>
      </c>
      <c r="F580" s="10"/>
      <c r="G580" s="11"/>
      <c r="H580" s="6">
        <f t="shared" si="2"/>
        <v>746981.145</v>
      </c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9.5" customHeight="1">
      <c r="A581" s="9">
        <v>46002.0</v>
      </c>
      <c r="B581" s="2">
        <v>9900.0</v>
      </c>
      <c r="C581" s="1">
        <v>4.53</v>
      </c>
      <c r="D581" s="14"/>
      <c r="E581" s="3">
        <f t="shared" si="21"/>
        <v>44847</v>
      </c>
      <c r="F581" s="10"/>
      <c r="G581" s="11"/>
      <c r="H581" s="6">
        <f t="shared" si="2"/>
        <v>791828.145</v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9.5" customHeight="1">
      <c r="A582" s="9">
        <v>46002.0</v>
      </c>
      <c r="B582" s="2">
        <v>10700.0</v>
      </c>
      <c r="C582" s="1">
        <v>4.53</v>
      </c>
      <c r="D582" s="14"/>
      <c r="E582" s="3">
        <f t="shared" si="21"/>
        <v>48471</v>
      </c>
      <c r="F582" s="10"/>
      <c r="G582" s="11"/>
      <c r="H582" s="6">
        <f t="shared" si="2"/>
        <v>840299.145</v>
      </c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9.5" customHeight="1">
      <c r="A583" s="9">
        <v>46003.0</v>
      </c>
      <c r="B583" s="13"/>
      <c r="C583" s="8"/>
      <c r="D583" s="1"/>
      <c r="E583" s="3">
        <f t="shared" si="21"/>
        <v>0</v>
      </c>
      <c r="F583" s="4"/>
      <c r="G583" s="5">
        <v>216000.0</v>
      </c>
      <c r="H583" s="6">
        <f t="shared" si="2"/>
        <v>624299.145</v>
      </c>
      <c r="I583" s="1" t="s">
        <v>19</v>
      </c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9.5" customHeight="1">
      <c r="A584" s="9">
        <v>46004.0</v>
      </c>
      <c r="B584" s="2">
        <v>11000.0</v>
      </c>
      <c r="C584" s="1">
        <v>4.55</v>
      </c>
      <c r="D584" s="14"/>
      <c r="E584" s="3">
        <f t="shared" si="21"/>
        <v>50050</v>
      </c>
      <c r="F584" s="10"/>
      <c r="G584" s="11"/>
      <c r="H584" s="6">
        <f t="shared" si="2"/>
        <v>674349.145</v>
      </c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9.5" customHeight="1">
      <c r="A585" s="9">
        <v>46004.0</v>
      </c>
      <c r="B585" s="2">
        <v>14500.0</v>
      </c>
      <c r="C585" s="1">
        <v>4.55</v>
      </c>
      <c r="D585" s="14"/>
      <c r="E585" s="3">
        <f t="shared" si="21"/>
        <v>65975</v>
      </c>
      <c r="F585" s="10"/>
      <c r="G585" s="11"/>
      <c r="H585" s="6">
        <f t="shared" si="2"/>
        <v>740324.145</v>
      </c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9.5" customHeight="1">
      <c r="A586" s="9">
        <v>46004.0</v>
      </c>
      <c r="B586" s="2">
        <v>11000.0</v>
      </c>
      <c r="C586" s="1">
        <v>4.55</v>
      </c>
      <c r="D586" s="14"/>
      <c r="E586" s="3">
        <f t="shared" si="21"/>
        <v>50050</v>
      </c>
      <c r="F586" s="10"/>
      <c r="G586" s="11"/>
      <c r="H586" s="6">
        <f t="shared" si="2"/>
        <v>790374.145</v>
      </c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9.5" customHeight="1">
      <c r="A587" s="9">
        <v>46004.0</v>
      </c>
      <c r="B587" s="2">
        <v>250.0</v>
      </c>
      <c r="C587" s="1">
        <v>4.55</v>
      </c>
      <c r="D587" s="14"/>
      <c r="E587" s="3">
        <f t="shared" si="21"/>
        <v>1137.5</v>
      </c>
      <c r="F587" s="10"/>
      <c r="G587" s="11"/>
      <c r="H587" s="6">
        <f t="shared" si="2"/>
        <v>791511.645</v>
      </c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9.5" customHeight="1">
      <c r="A588" s="9">
        <v>46006.0</v>
      </c>
      <c r="B588" s="2">
        <v>100.0</v>
      </c>
      <c r="C588" s="1">
        <v>4.55</v>
      </c>
      <c r="D588" s="14"/>
      <c r="E588" s="3">
        <f t="shared" si="21"/>
        <v>455</v>
      </c>
      <c r="F588" s="10"/>
      <c r="G588" s="11"/>
      <c r="H588" s="6">
        <f t="shared" si="2"/>
        <v>791966.645</v>
      </c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9.5" customHeight="1">
      <c r="A589" s="9">
        <v>46007.0</v>
      </c>
      <c r="B589" s="13"/>
      <c r="C589" s="8"/>
      <c r="D589" s="14"/>
      <c r="E589" s="3">
        <f t="shared" si="21"/>
        <v>0</v>
      </c>
      <c r="F589" s="10"/>
      <c r="G589" s="5">
        <v>200000.0</v>
      </c>
      <c r="H589" s="6">
        <f t="shared" si="2"/>
        <v>591966.645</v>
      </c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9.5" customHeight="1">
      <c r="A590" s="9">
        <v>46007.0</v>
      </c>
      <c r="B590" s="2">
        <v>30800.0</v>
      </c>
      <c r="C590" s="1">
        <v>4.59</v>
      </c>
      <c r="D590" s="14"/>
      <c r="E590" s="3">
        <f t="shared" si="21"/>
        <v>141372</v>
      </c>
      <c r="F590" s="10"/>
      <c r="G590" s="11"/>
      <c r="H590" s="6">
        <f t="shared" si="2"/>
        <v>733338.645</v>
      </c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9.5" customHeight="1">
      <c r="A591" s="9">
        <v>46007.0</v>
      </c>
      <c r="B591" s="2">
        <v>12900.0</v>
      </c>
      <c r="C591" s="1">
        <v>4.59</v>
      </c>
      <c r="D591" s="14"/>
      <c r="E591" s="3">
        <f t="shared" si="21"/>
        <v>59211</v>
      </c>
      <c r="F591" s="10"/>
      <c r="G591" s="11"/>
      <c r="H591" s="6">
        <f t="shared" si="2"/>
        <v>792549.645</v>
      </c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9.5" customHeight="1">
      <c r="A592" s="9">
        <v>46007.0</v>
      </c>
      <c r="B592" s="2">
        <v>15000.0</v>
      </c>
      <c r="C592" s="1">
        <v>4.59</v>
      </c>
      <c r="D592" s="14"/>
      <c r="E592" s="3">
        <f t="shared" si="21"/>
        <v>68850</v>
      </c>
      <c r="F592" s="10"/>
      <c r="G592" s="11"/>
      <c r="H592" s="6">
        <f t="shared" si="2"/>
        <v>861399.645</v>
      </c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9.5" customHeight="1">
      <c r="A593" s="9">
        <v>46008.0</v>
      </c>
      <c r="B593" s="13"/>
      <c r="C593" s="8"/>
      <c r="D593" s="1"/>
      <c r="E593" s="3">
        <f t="shared" si="21"/>
        <v>0</v>
      </c>
      <c r="F593" s="4"/>
      <c r="G593" s="5">
        <v>140000.0</v>
      </c>
      <c r="H593" s="6">
        <f t="shared" si="2"/>
        <v>721399.645</v>
      </c>
      <c r="I593" s="1" t="s">
        <v>20</v>
      </c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9.5" customHeight="1">
      <c r="A594" s="9">
        <v>46008.0</v>
      </c>
      <c r="B594" s="13"/>
      <c r="C594" s="8"/>
      <c r="D594" s="1"/>
      <c r="E594" s="3">
        <f t="shared" si="21"/>
        <v>0</v>
      </c>
      <c r="F594" s="4"/>
      <c r="G594" s="5">
        <v>100000.0</v>
      </c>
      <c r="H594" s="6">
        <f t="shared" si="2"/>
        <v>621399.645</v>
      </c>
      <c r="I594" s="1" t="s">
        <v>21</v>
      </c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9.5" customHeight="1">
      <c r="A595" s="9">
        <v>46008.0</v>
      </c>
      <c r="B595" s="13"/>
      <c r="C595" s="8"/>
      <c r="D595" s="1"/>
      <c r="E595" s="3">
        <f t="shared" si="21"/>
        <v>0</v>
      </c>
      <c r="F595" s="4"/>
      <c r="G595" s="5">
        <v>100000.0</v>
      </c>
      <c r="H595" s="6">
        <f t="shared" si="2"/>
        <v>521399.645</v>
      </c>
      <c r="I595" s="1" t="s">
        <v>9</v>
      </c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9.5" customHeight="1">
      <c r="A596" s="9">
        <v>46008.0</v>
      </c>
      <c r="B596" s="13"/>
      <c r="C596" s="8"/>
      <c r="D596" s="1"/>
      <c r="E596" s="3">
        <f t="shared" si="21"/>
        <v>0</v>
      </c>
      <c r="F596" s="4"/>
      <c r="G596" s="5">
        <v>150000.0</v>
      </c>
      <c r="H596" s="6">
        <f t="shared" si="2"/>
        <v>371399.645</v>
      </c>
      <c r="I596" s="1" t="s">
        <v>12</v>
      </c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9.5" customHeight="1">
      <c r="A597" s="9">
        <v>46008.0</v>
      </c>
      <c r="B597" s="2">
        <v>500.0</v>
      </c>
      <c r="C597" s="1">
        <v>4.59</v>
      </c>
      <c r="D597" s="14"/>
      <c r="E597" s="3">
        <f t="shared" si="21"/>
        <v>2295</v>
      </c>
      <c r="F597" s="10"/>
      <c r="G597" s="11"/>
      <c r="H597" s="6">
        <f t="shared" si="2"/>
        <v>373694.645</v>
      </c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9.5" customHeight="1">
      <c r="A598" s="9">
        <v>46008.0</v>
      </c>
      <c r="B598" s="2">
        <v>2000.0</v>
      </c>
      <c r="C598" s="1">
        <v>4.59</v>
      </c>
      <c r="D598" s="14"/>
      <c r="E598" s="3">
        <f t="shared" si="21"/>
        <v>9180</v>
      </c>
      <c r="F598" s="10"/>
      <c r="G598" s="11"/>
      <c r="H598" s="6">
        <f t="shared" si="2"/>
        <v>382874.645</v>
      </c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9.5" customHeight="1">
      <c r="A599" s="9">
        <v>46008.0</v>
      </c>
      <c r="B599" s="2">
        <v>23000.0</v>
      </c>
      <c r="C599" s="1">
        <v>4.59</v>
      </c>
      <c r="D599" s="14"/>
      <c r="E599" s="3">
        <f t="shared" si="21"/>
        <v>105570</v>
      </c>
      <c r="F599" s="10"/>
      <c r="G599" s="11"/>
      <c r="H599" s="6">
        <f t="shared" si="2"/>
        <v>488444.645</v>
      </c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9.5" customHeight="1">
      <c r="A600" s="9">
        <v>46008.0</v>
      </c>
      <c r="B600" s="13"/>
      <c r="C600" s="8"/>
      <c r="D600" s="1"/>
      <c r="E600" s="3">
        <f t="shared" si="21"/>
        <v>0</v>
      </c>
      <c r="F600" s="4"/>
      <c r="G600" s="5">
        <v>21274.0</v>
      </c>
      <c r="H600" s="6">
        <f t="shared" si="2"/>
        <v>467170.645</v>
      </c>
      <c r="I600" s="1" t="s">
        <v>22</v>
      </c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9.5" customHeight="1">
      <c r="A601" s="9">
        <v>46009.0</v>
      </c>
      <c r="B601" s="2">
        <v>10500.0</v>
      </c>
      <c r="C601" s="1">
        <v>4.59</v>
      </c>
      <c r="D601" s="14"/>
      <c r="E601" s="3">
        <f t="shared" si="21"/>
        <v>48195</v>
      </c>
      <c r="F601" s="10"/>
      <c r="G601" s="11"/>
      <c r="H601" s="6">
        <f t="shared" si="2"/>
        <v>515365.645</v>
      </c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9.5" customHeight="1">
      <c r="A602" s="9">
        <v>46010.0</v>
      </c>
      <c r="B602" s="2">
        <v>12500.0</v>
      </c>
      <c r="C602" s="1">
        <v>4.59</v>
      </c>
      <c r="D602" s="14"/>
      <c r="E602" s="3">
        <f t="shared" si="21"/>
        <v>57375</v>
      </c>
      <c r="F602" s="10"/>
      <c r="G602" s="11"/>
      <c r="H602" s="6">
        <f t="shared" si="2"/>
        <v>572740.645</v>
      </c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9.5" customHeight="1">
      <c r="A603" s="9">
        <v>46010.0</v>
      </c>
      <c r="B603" s="13"/>
      <c r="C603" s="8"/>
      <c r="D603" s="1"/>
      <c r="E603" s="3">
        <f t="shared" si="21"/>
        <v>0</v>
      </c>
      <c r="F603" s="4"/>
      <c r="G603" s="5">
        <v>30000.0</v>
      </c>
      <c r="H603" s="6">
        <f t="shared" si="2"/>
        <v>542740.645</v>
      </c>
      <c r="I603" s="1" t="s">
        <v>22</v>
      </c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9.5" customHeight="1">
      <c r="A604" s="9">
        <v>46012.0</v>
      </c>
      <c r="B604" s="2">
        <v>21800.0</v>
      </c>
      <c r="C604" s="1">
        <v>4.59</v>
      </c>
      <c r="D604" s="14"/>
      <c r="E604" s="3">
        <f t="shared" si="21"/>
        <v>100062</v>
      </c>
      <c r="F604" s="10"/>
      <c r="G604" s="11"/>
      <c r="H604" s="6">
        <f t="shared" si="2"/>
        <v>642802.645</v>
      </c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9.5" customHeight="1">
      <c r="A605" s="9">
        <v>46012.0</v>
      </c>
      <c r="B605" s="2">
        <v>14000.0</v>
      </c>
      <c r="C605" s="1">
        <v>4.59</v>
      </c>
      <c r="D605" s="14"/>
      <c r="E605" s="3">
        <f t="shared" si="21"/>
        <v>64260</v>
      </c>
      <c r="F605" s="10"/>
      <c r="G605" s="11"/>
      <c r="H605" s="6">
        <f t="shared" si="2"/>
        <v>707062.645</v>
      </c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9.5" customHeight="1">
      <c r="A606" s="9">
        <v>46012.0</v>
      </c>
      <c r="B606" s="2">
        <v>8200.0</v>
      </c>
      <c r="C606" s="1">
        <v>4.59</v>
      </c>
      <c r="D606" s="14"/>
      <c r="E606" s="3">
        <f t="shared" si="21"/>
        <v>37638</v>
      </c>
      <c r="F606" s="10"/>
      <c r="G606" s="11"/>
      <c r="H606" s="6">
        <f t="shared" si="2"/>
        <v>744700.645</v>
      </c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9.5" customHeight="1">
      <c r="A607" s="9">
        <v>46012.0</v>
      </c>
      <c r="B607" s="13"/>
      <c r="C607" s="8"/>
      <c r="D607" s="1"/>
      <c r="E607" s="3">
        <f t="shared" si="21"/>
        <v>0</v>
      </c>
      <c r="F607" s="4"/>
      <c r="G607" s="5">
        <v>100000.0</v>
      </c>
      <c r="H607" s="6">
        <f t="shared" si="2"/>
        <v>644700.645</v>
      </c>
      <c r="I607" s="1" t="s">
        <v>22</v>
      </c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9.5" customHeight="1">
      <c r="A608" s="9">
        <v>46012.0</v>
      </c>
      <c r="B608" s="13"/>
      <c r="C608" s="8"/>
      <c r="D608" s="1"/>
      <c r="E608" s="3">
        <f t="shared" si="21"/>
        <v>0</v>
      </c>
      <c r="F608" s="4"/>
      <c r="G608" s="5">
        <v>275000.0</v>
      </c>
      <c r="H608" s="6">
        <f t="shared" si="2"/>
        <v>369700.645</v>
      </c>
      <c r="I608" s="1" t="s">
        <v>17</v>
      </c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9.5" customHeight="1">
      <c r="A609" s="9">
        <v>46014.0</v>
      </c>
      <c r="B609" s="2">
        <v>10500.0</v>
      </c>
      <c r="C609" s="1">
        <v>4.59</v>
      </c>
      <c r="D609" s="14"/>
      <c r="E609" s="3">
        <f t="shared" si="21"/>
        <v>48195</v>
      </c>
      <c r="F609" s="10"/>
      <c r="G609" s="11"/>
      <c r="H609" s="6">
        <f t="shared" si="2"/>
        <v>417895.645</v>
      </c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9.5" customHeight="1">
      <c r="A610" s="9">
        <v>46014.0</v>
      </c>
      <c r="B610" s="2">
        <v>5200.0</v>
      </c>
      <c r="C610" s="1">
        <v>4.59</v>
      </c>
      <c r="D610" s="14"/>
      <c r="E610" s="3">
        <f t="shared" si="21"/>
        <v>23868</v>
      </c>
      <c r="F610" s="10"/>
      <c r="G610" s="11"/>
      <c r="H610" s="6">
        <f t="shared" si="2"/>
        <v>441763.645</v>
      </c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9.5" customHeight="1">
      <c r="A611" s="9">
        <v>46014.0</v>
      </c>
      <c r="B611" s="2">
        <v>5400.0</v>
      </c>
      <c r="C611" s="1">
        <v>4.59</v>
      </c>
      <c r="D611" s="14"/>
      <c r="E611" s="3">
        <f t="shared" si="21"/>
        <v>24786</v>
      </c>
      <c r="F611" s="10"/>
      <c r="G611" s="11"/>
      <c r="H611" s="6">
        <f t="shared" si="2"/>
        <v>466549.645</v>
      </c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9.5" customHeight="1">
      <c r="A612" s="9">
        <v>46014.0</v>
      </c>
      <c r="B612" s="2">
        <v>5500.0</v>
      </c>
      <c r="C612" s="1">
        <v>4.59</v>
      </c>
      <c r="D612" s="14"/>
      <c r="E612" s="3">
        <f t="shared" si="21"/>
        <v>25245</v>
      </c>
      <c r="F612" s="10"/>
      <c r="G612" s="11"/>
      <c r="H612" s="6">
        <f t="shared" si="2"/>
        <v>491794.645</v>
      </c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9.5" customHeight="1">
      <c r="A613" s="9">
        <v>46014.0</v>
      </c>
      <c r="B613" s="13"/>
      <c r="C613" s="8"/>
      <c r="D613" s="1"/>
      <c r="E613" s="3">
        <f t="shared" si="21"/>
        <v>0</v>
      </c>
      <c r="F613" s="4"/>
      <c r="G613" s="5">
        <v>200000.0</v>
      </c>
      <c r="H613" s="6">
        <f t="shared" si="2"/>
        <v>291794.645</v>
      </c>
      <c r="I613" s="1" t="s">
        <v>19</v>
      </c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9.5" customHeight="1">
      <c r="A614" s="9">
        <v>46015.0</v>
      </c>
      <c r="B614" s="13"/>
      <c r="C614" s="8"/>
      <c r="D614" s="1"/>
      <c r="E614" s="3">
        <f t="shared" si="21"/>
        <v>0</v>
      </c>
      <c r="F614" s="4"/>
      <c r="G614" s="5">
        <v>31000.0</v>
      </c>
      <c r="H614" s="6">
        <f t="shared" si="2"/>
        <v>260794.645</v>
      </c>
      <c r="I614" s="1" t="s">
        <v>10</v>
      </c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9.5" customHeight="1">
      <c r="A615" s="9">
        <v>46015.0</v>
      </c>
      <c r="B615" s="2">
        <v>2000.0</v>
      </c>
      <c r="C615" s="1">
        <v>4.59</v>
      </c>
      <c r="D615" s="14"/>
      <c r="E615" s="3">
        <f t="shared" si="21"/>
        <v>9180</v>
      </c>
      <c r="F615" s="10"/>
      <c r="G615" s="11"/>
      <c r="H615" s="6">
        <f t="shared" si="2"/>
        <v>269974.645</v>
      </c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9.5" customHeight="1">
      <c r="A616" s="9">
        <v>46015.0</v>
      </c>
      <c r="B616" s="2">
        <v>26000.0</v>
      </c>
      <c r="C616" s="1">
        <v>4.59</v>
      </c>
      <c r="D616" s="14"/>
      <c r="E616" s="3">
        <f t="shared" si="21"/>
        <v>119340</v>
      </c>
      <c r="F616" s="10"/>
      <c r="G616" s="11"/>
      <c r="H616" s="6">
        <f t="shared" si="2"/>
        <v>389314.645</v>
      </c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9.5" customHeight="1">
      <c r="A617" s="9">
        <v>46016.0</v>
      </c>
      <c r="B617" s="2">
        <v>15900.0</v>
      </c>
      <c r="C617" s="1">
        <v>4.59</v>
      </c>
      <c r="D617" s="14"/>
      <c r="E617" s="3">
        <f t="shared" si="21"/>
        <v>72981</v>
      </c>
      <c r="F617" s="10"/>
      <c r="G617" s="11"/>
      <c r="H617" s="6">
        <f t="shared" si="2"/>
        <v>462295.645</v>
      </c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9.5" customHeight="1">
      <c r="A618" s="9">
        <v>46016.0</v>
      </c>
      <c r="B618" s="2">
        <v>8500.0</v>
      </c>
      <c r="C618" s="1">
        <v>4.59</v>
      </c>
      <c r="D618" s="14"/>
      <c r="E618" s="3">
        <f t="shared" si="21"/>
        <v>39015</v>
      </c>
      <c r="F618" s="10"/>
      <c r="G618" s="11"/>
      <c r="H618" s="6">
        <f t="shared" si="2"/>
        <v>501310.645</v>
      </c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9.5" customHeight="1">
      <c r="A619" s="9">
        <v>46017.0</v>
      </c>
      <c r="B619" s="2">
        <v>10000.0</v>
      </c>
      <c r="C619" s="1">
        <v>4.59</v>
      </c>
      <c r="D619" s="14"/>
      <c r="E619" s="3">
        <f t="shared" si="21"/>
        <v>45900</v>
      </c>
      <c r="F619" s="10"/>
      <c r="G619" s="11"/>
      <c r="H619" s="6">
        <f t="shared" si="2"/>
        <v>547210.645</v>
      </c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9.5" customHeight="1">
      <c r="A620" s="9">
        <v>46017.0</v>
      </c>
      <c r="B620" s="2">
        <v>8980.0</v>
      </c>
      <c r="C620" s="1">
        <v>4.59</v>
      </c>
      <c r="D620" s="14"/>
      <c r="E620" s="3">
        <f t="shared" si="21"/>
        <v>41218.2</v>
      </c>
      <c r="F620" s="10"/>
      <c r="G620" s="11"/>
      <c r="H620" s="6">
        <f t="shared" si="2"/>
        <v>588428.845</v>
      </c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9.5" customHeight="1">
      <c r="A621" s="9">
        <v>46018.0</v>
      </c>
      <c r="B621" s="2">
        <v>16200.0</v>
      </c>
      <c r="C621" s="1">
        <v>4.61</v>
      </c>
      <c r="D621" s="14"/>
      <c r="E621" s="3">
        <f t="shared" si="21"/>
        <v>74682</v>
      </c>
      <c r="F621" s="10"/>
      <c r="G621" s="11"/>
      <c r="H621" s="6">
        <f t="shared" si="2"/>
        <v>663110.845</v>
      </c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9.5" customHeight="1">
      <c r="A622" s="9">
        <v>46018.0</v>
      </c>
      <c r="B622" s="2">
        <v>14500.0</v>
      </c>
      <c r="C622" s="1">
        <v>4.61</v>
      </c>
      <c r="D622" s="14"/>
      <c r="E622" s="3">
        <f t="shared" si="21"/>
        <v>66845</v>
      </c>
      <c r="F622" s="10"/>
      <c r="G622" s="11"/>
      <c r="H622" s="6">
        <f t="shared" si="2"/>
        <v>729955.845</v>
      </c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9.5" customHeight="1">
      <c r="A623" s="9">
        <v>46019.0</v>
      </c>
      <c r="B623" s="13"/>
      <c r="C623" s="8"/>
      <c r="D623" s="1"/>
      <c r="E623" s="3">
        <f t="shared" si="21"/>
        <v>0</v>
      </c>
      <c r="F623" s="4"/>
      <c r="G623" s="5">
        <v>260000.0</v>
      </c>
      <c r="H623" s="6">
        <f t="shared" si="2"/>
        <v>469955.845</v>
      </c>
      <c r="I623" s="1" t="s">
        <v>17</v>
      </c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9.5" customHeight="1">
      <c r="A624" s="9">
        <v>46020.0</v>
      </c>
      <c r="B624" s="2">
        <v>16300.0</v>
      </c>
      <c r="C624" s="1">
        <v>4.61</v>
      </c>
      <c r="D624" s="14"/>
      <c r="E624" s="3">
        <f t="shared" si="21"/>
        <v>75143</v>
      </c>
      <c r="F624" s="10"/>
      <c r="G624" s="11"/>
      <c r="H624" s="6">
        <f t="shared" si="2"/>
        <v>545098.845</v>
      </c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9.5" customHeight="1">
      <c r="A625" s="9">
        <v>46020.0</v>
      </c>
      <c r="B625" s="2">
        <v>24200.0</v>
      </c>
      <c r="C625" s="1">
        <v>4.61</v>
      </c>
      <c r="D625" s="14"/>
      <c r="E625" s="3">
        <f t="shared" si="21"/>
        <v>111562</v>
      </c>
      <c r="F625" s="10"/>
      <c r="G625" s="11"/>
      <c r="H625" s="6">
        <f t="shared" si="2"/>
        <v>656660.845</v>
      </c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9.5" customHeight="1">
      <c r="A626" s="9">
        <v>46020.0</v>
      </c>
      <c r="B626" s="2">
        <v>100.0</v>
      </c>
      <c r="C626" s="1">
        <v>4.61</v>
      </c>
      <c r="D626" s="14"/>
      <c r="E626" s="3">
        <f t="shared" si="21"/>
        <v>461</v>
      </c>
      <c r="F626" s="10"/>
      <c r="G626" s="11"/>
      <c r="H626" s="6">
        <f t="shared" si="2"/>
        <v>657121.845</v>
      </c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9.5" customHeight="1">
      <c r="A627" s="9">
        <v>46021.0</v>
      </c>
      <c r="B627" s="2">
        <v>9200.0</v>
      </c>
      <c r="C627" s="1">
        <v>4.6</v>
      </c>
      <c r="D627" s="14"/>
      <c r="E627" s="3">
        <f t="shared" si="21"/>
        <v>42320</v>
      </c>
      <c r="F627" s="10"/>
      <c r="G627" s="11"/>
      <c r="H627" s="6">
        <f t="shared" si="2"/>
        <v>699441.845</v>
      </c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9.5" customHeight="1">
      <c r="A628" s="9">
        <v>46021.0</v>
      </c>
      <c r="B628" s="2">
        <v>16870.0</v>
      </c>
      <c r="C628" s="1">
        <v>4.6</v>
      </c>
      <c r="D628" s="14"/>
      <c r="E628" s="3">
        <f t="shared" si="21"/>
        <v>77602</v>
      </c>
      <c r="F628" s="10"/>
      <c r="G628" s="11"/>
      <c r="H628" s="6">
        <f t="shared" si="2"/>
        <v>777043.845</v>
      </c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9.5" customHeight="1">
      <c r="A629" s="9">
        <v>46022.0</v>
      </c>
      <c r="B629" s="2">
        <v>24900.0</v>
      </c>
      <c r="C629" s="1">
        <v>4.6</v>
      </c>
      <c r="D629" s="14"/>
      <c r="E629" s="3">
        <f t="shared" si="21"/>
        <v>114540</v>
      </c>
      <c r="F629" s="10"/>
      <c r="G629" s="11"/>
      <c r="H629" s="6">
        <f t="shared" si="2"/>
        <v>891583.845</v>
      </c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9.5" customHeight="1">
      <c r="A630" s="9">
        <v>46022.0</v>
      </c>
      <c r="B630" s="13"/>
      <c r="C630" s="8"/>
      <c r="D630" s="14"/>
      <c r="E630" s="3">
        <f t="shared" si="21"/>
        <v>0</v>
      </c>
      <c r="F630" s="10"/>
      <c r="G630" s="5">
        <v>70000.0</v>
      </c>
      <c r="H630" s="6">
        <f t="shared" si="2"/>
        <v>821583.845</v>
      </c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9.5" customHeight="1">
      <c r="A631" s="9">
        <v>46023.0</v>
      </c>
      <c r="B631" s="13"/>
      <c r="C631" s="8"/>
      <c r="D631" s="14"/>
      <c r="E631" s="3">
        <f t="shared" si="21"/>
        <v>0</v>
      </c>
      <c r="F631" s="10"/>
      <c r="G631" s="5">
        <v>470000.0</v>
      </c>
      <c r="H631" s="6">
        <f t="shared" si="2"/>
        <v>351583.845</v>
      </c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9.5" customHeight="1">
      <c r="A632" s="9">
        <v>46023.0</v>
      </c>
      <c r="B632" s="2">
        <v>8300.0</v>
      </c>
      <c r="C632" s="1">
        <v>4.6</v>
      </c>
      <c r="D632" s="14"/>
      <c r="E632" s="3">
        <f t="shared" si="21"/>
        <v>38180</v>
      </c>
      <c r="F632" s="10"/>
      <c r="G632" s="11"/>
      <c r="H632" s="6">
        <f t="shared" si="2"/>
        <v>389763.845</v>
      </c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9.5" customHeight="1">
      <c r="A633" s="9">
        <v>46023.0</v>
      </c>
      <c r="B633" s="2">
        <v>10000.0</v>
      </c>
      <c r="C633" s="1">
        <v>4.6</v>
      </c>
      <c r="D633" s="14"/>
      <c r="E633" s="3">
        <f t="shared" si="21"/>
        <v>46000</v>
      </c>
      <c r="F633" s="10"/>
      <c r="G633" s="11"/>
      <c r="H633" s="6">
        <f t="shared" si="2"/>
        <v>435763.845</v>
      </c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9.5" customHeight="1">
      <c r="A634" s="9">
        <v>46023.0</v>
      </c>
      <c r="B634" s="2">
        <v>11000.0</v>
      </c>
      <c r="C634" s="1">
        <v>4.6</v>
      </c>
      <c r="D634" s="14"/>
      <c r="E634" s="3">
        <f t="shared" si="21"/>
        <v>50600</v>
      </c>
      <c r="F634" s="10"/>
      <c r="G634" s="11"/>
      <c r="H634" s="6">
        <f t="shared" si="2"/>
        <v>486363.845</v>
      </c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9.5" customHeight="1">
      <c r="A635" s="9">
        <v>46023.0</v>
      </c>
      <c r="B635" s="2">
        <v>8599.0</v>
      </c>
      <c r="C635" s="1">
        <v>4.6</v>
      </c>
      <c r="D635" s="14"/>
      <c r="E635" s="3">
        <f t="shared" si="21"/>
        <v>39555.4</v>
      </c>
      <c r="F635" s="10"/>
      <c r="G635" s="11"/>
      <c r="H635" s="6">
        <f t="shared" si="2"/>
        <v>525919.245</v>
      </c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9.5" customHeight="1">
      <c r="A636" s="9">
        <v>46023.0</v>
      </c>
      <c r="B636" s="2">
        <v>200.0</v>
      </c>
      <c r="C636" s="1">
        <v>4.6</v>
      </c>
      <c r="D636" s="14"/>
      <c r="E636" s="3">
        <f t="shared" si="21"/>
        <v>920</v>
      </c>
      <c r="F636" s="10"/>
      <c r="G636" s="11"/>
      <c r="H636" s="6">
        <f t="shared" si="2"/>
        <v>526839.245</v>
      </c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9.5" customHeight="1">
      <c r="A637" s="9">
        <v>46023.0</v>
      </c>
      <c r="B637" s="13"/>
      <c r="C637" s="8"/>
      <c r="D637" s="1"/>
      <c r="E637" s="3">
        <f t="shared" si="21"/>
        <v>0</v>
      </c>
      <c r="F637" s="4"/>
      <c r="G637" s="5">
        <v>108625.0</v>
      </c>
      <c r="H637" s="6">
        <f t="shared" si="2"/>
        <v>418214.245</v>
      </c>
      <c r="I637" s="1" t="s">
        <v>11</v>
      </c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9.5" customHeight="1">
      <c r="A638" s="9">
        <v>46024.0</v>
      </c>
      <c r="B638" s="2">
        <v>400.0</v>
      </c>
      <c r="C638" s="1">
        <v>4.6</v>
      </c>
      <c r="D638" s="14"/>
      <c r="E638" s="3">
        <f t="shared" si="21"/>
        <v>1840</v>
      </c>
      <c r="F638" s="10"/>
      <c r="G638" s="11"/>
      <c r="H638" s="6">
        <f t="shared" si="2"/>
        <v>420054.245</v>
      </c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9.5" customHeight="1">
      <c r="A639" s="9">
        <v>46024.0</v>
      </c>
      <c r="B639" s="2">
        <v>13000.0</v>
      </c>
      <c r="C639" s="1">
        <v>4.63</v>
      </c>
      <c r="D639" s="14"/>
      <c r="E639" s="3">
        <f t="shared" si="21"/>
        <v>60190</v>
      </c>
      <c r="F639" s="10"/>
      <c r="G639" s="11"/>
      <c r="H639" s="6">
        <f t="shared" si="2"/>
        <v>480244.245</v>
      </c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9.5" customHeight="1">
      <c r="A640" s="9">
        <v>46024.0</v>
      </c>
      <c r="B640" s="2">
        <v>4000.0</v>
      </c>
      <c r="C640" s="1">
        <v>4.63</v>
      </c>
      <c r="D640" s="14"/>
      <c r="E640" s="3">
        <f t="shared" si="21"/>
        <v>18520</v>
      </c>
      <c r="F640" s="10"/>
      <c r="G640" s="11"/>
      <c r="H640" s="6">
        <f t="shared" si="2"/>
        <v>498764.245</v>
      </c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9.5" customHeight="1">
      <c r="A641" s="9">
        <v>46024.0</v>
      </c>
      <c r="B641" s="2">
        <v>15200.0</v>
      </c>
      <c r="C641" s="1">
        <v>4.63</v>
      </c>
      <c r="D641" s="14"/>
      <c r="E641" s="3">
        <f t="shared" si="21"/>
        <v>70376</v>
      </c>
      <c r="F641" s="10"/>
      <c r="G641" s="11"/>
      <c r="H641" s="6">
        <f t="shared" si="2"/>
        <v>569140.245</v>
      </c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9.5" customHeight="1">
      <c r="A642" s="9">
        <v>46025.0</v>
      </c>
      <c r="B642" s="2"/>
      <c r="C642" s="8"/>
      <c r="D642" s="1"/>
      <c r="E642" s="3">
        <f t="shared" si="21"/>
        <v>0</v>
      </c>
      <c r="F642" s="4"/>
      <c r="G642" s="5">
        <v>100000.0</v>
      </c>
      <c r="H642" s="6">
        <f t="shared" si="2"/>
        <v>469140.245</v>
      </c>
      <c r="I642" s="1" t="s">
        <v>22</v>
      </c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9.5" customHeight="1">
      <c r="A643" s="9">
        <v>46025.0</v>
      </c>
      <c r="B643" s="2">
        <v>16000.0</v>
      </c>
      <c r="C643" s="1">
        <v>4.63</v>
      </c>
      <c r="D643" s="14"/>
      <c r="E643" s="3">
        <f t="shared" si="21"/>
        <v>74080</v>
      </c>
      <c r="F643" s="10"/>
      <c r="G643" s="11"/>
      <c r="H643" s="6">
        <f t="shared" si="2"/>
        <v>543220.245</v>
      </c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9.5" customHeight="1">
      <c r="A644" s="9">
        <v>46025.0</v>
      </c>
      <c r="B644" s="13"/>
      <c r="C644" s="8"/>
      <c r="D644" s="1"/>
      <c r="E644" s="3">
        <f t="shared" si="21"/>
        <v>0</v>
      </c>
      <c r="F644" s="4"/>
      <c r="G644" s="5">
        <v>150000.0</v>
      </c>
      <c r="H644" s="6">
        <f t="shared" si="2"/>
        <v>393220.245</v>
      </c>
      <c r="I644" s="1" t="s">
        <v>23</v>
      </c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9.5" customHeight="1">
      <c r="A645" s="9">
        <v>46026.0</v>
      </c>
      <c r="B645" s="2">
        <v>8000.0</v>
      </c>
      <c r="C645" s="1">
        <v>4.63</v>
      </c>
      <c r="D645" s="14"/>
      <c r="E645" s="3">
        <f t="shared" si="21"/>
        <v>37040</v>
      </c>
      <c r="F645" s="10"/>
      <c r="G645" s="11"/>
      <c r="H645" s="6">
        <f t="shared" si="2"/>
        <v>430260.245</v>
      </c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9.5" customHeight="1">
      <c r="A646" s="9">
        <v>46026.0</v>
      </c>
      <c r="B646" s="2">
        <v>200.0</v>
      </c>
      <c r="C646" s="1">
        <v>4.63</v>
      </c>
      <c r="D646" s="14"/>
      <c r="E646" s="3">
        <f t="shared" si="21"/>
        <v>926</v>
      </c>
      <c r="F646" s="10"/>
      <c r="G646" s="11"/>
      <c r="H646" s="6">
        <f t="shared" si="2"/>
        <v>431186.245</v>
      </c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9.5" customHeight="1">
      <c r="A647" s="9">
        <v>46026.0</v>
      </c>
      <c r="B647" s="2">
        <v>13000.0</v>
      </c>
      <c r="C647" s="1">
        <v>4.63</v>
      </c>
      <c r="D647" s="14"/>
      <c r="E647" s="3">
        <f t="shared" si="21"/>
        <v>60190</v>
      </c>
      <c r="F647" s="10"/>
      <c r="G647" s="11"/>
      <c r="H647" s="6">
        <f t="shared" si="2"/>
        <v>491376.245</v>
      </c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9.5" customHeight="1">
      <c r="A648" s="9">
        <v>46026.0</v>
      </c>
      <c r="B648" s="2">
        <v>4999.0</v>
      </c>
      <c r="C648" s="1">
        <v>4.63</v>
      </c>
      <c r="D648" s="14"/>
      <c r="E648" s="3">
        <f t="shared" si="21"/>
        <v>23145.37</v>
      </c>
      <c r="F648" s="10"/>
      <c r="G648" s="11"/>
      <c r="H648" s="6">
        <f t="shared" si="2"/>
        <v>514521.615</v>
      </c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9.5" customHeight="1">
      <c r="A649" s="9">
        <v>46027.0</v>
      </c>
      <c r="B649" s="2">
        <v>9300.0</v>
      </c>
      <c r="C649" s="1">
        <v>4.63</v>
      </c>
      <c r="D649" s="14"/>
      <c r="E649" s="3">
        <f t="shared" si="21"/>
        <v>43059</v>
      </c>
      <c r="F649" s="10"/>
      <c r="G649" s="11"/>
      <c r="H649" s="6">
        <f t="shared" si="2"/>
        <v>557580.615</v>
      </c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9.5" customHeight="1">
      <c r="A650" s="9">
        <v>46027.0</v>
      </c>
      <c r="B650" s="13"/>
      <c r="C650" s="8"/>
      <c r="D650" s="1"/>
      <c r="E650" s="3">
        <f t="shared" si="21"/>
        <v>0</v>
      </c>
      <c r="F650" s="4"/>
      <c r="G650" s="5">
        <v>60000.0</v>
      </c>
      <c r="H650" s="6">
        <f t="shared" si="2"/>
        <v>497580.615</v>
      </c>
      <c r="I650" s="1" t="s">
        <v>11</v>
      </c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9.5" customHeight="1">
      <c r="A651" s="9">
        <v>46028.0</v>
      </c>
      <c r="B651" s="13"/>
      <c r="C651" s="8"/>
      <c r="D651" s="1"/>
      <c r="E651" s="3">
        <f t="shared" si="21"/>
        <v>0</v>
      </c>
      <c r="F651" s="4"/>
      <c r="G651" s="5">
        <v>100000.0</v>
      </c>
      <c r="H651" s="6">
        <f t="shared" si="2"/>
        <v>397580.615</v>
      </c>
      <c r="I651" s="1" t="s">
        <v>24</v>
      </c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9.5" customHeight="1">
      <c r="A652" s="9">
        <v>46029.0</v>
      </c>
      <c r="B652" s="2">
        <v>9500.0</v>
      </c>
      <c r="C652" s="1">
        <v>4.64</v>
      </c>
      <c r="D652" s="14"/>
      <c r="E652" s="3">
        <f t="shared" si="21"/>
        <v>44080</v>
      </c>
      <c r="F652" s="10"/>
      <c r="G652" s="11"/>
      <c r="H652" s="6">
        <f t="shared" si="2"/>
        <v>441660.615</v>
      </c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9.5" customHeight="1">
      <c r="A653" s="9">
        <v>46029.0</v>
      </c>
      <c r="B653" s="2">
        <v>9780.0</v>
      </c>
      <c r="C653" s="1">
        <v>4.64</v>
      </c>
      <c r="D653" s="14"/>
      <c r="E653" s="3">
        <f t="shared" si="21"/>
        <v>45379.2</v>
      </c>
      <c r="F653" s="10"/>
      <c r="G653" s="11"/>
      <c r="H653" s="6">
        <f t="shared" si="2"/>
        <v>487039.815</v>
      </c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9.5" customHeight="1">
      <c r="A654" s="9">
        <v>46029.0</v>
      </c>
      <c r="B654" s="13"/>
      <c r="C654" s="8"/>
      <c r="D654" s="14"/>
      <c r="E654" s="3">
        <f t="shared" si="21"/>
        <v>0</v>
      </c>
      <c r="F654" s="10"/>
      <c r="G654" s="5">
        <v>107675.0</v>
      </c>
      <c r="H654" s="6">
        <f t="shared" si="2"/>
        <v>379364.815</v>
      </c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9.5" customHeight="1">
      <c r="A655" s="9">
        <v>46029.0</v>
      </c>
      <c r="B655" s="13"/>
      <c r="C655" s="8"/>
      <c r="D655" s="14"/>
      <c r="E655" s="3">
        <f t="shared" si="21"/>
        <v>0</v>
      </c>
      <c r="F655" s="10"/>
      <c r="G655" s="5">
        <v>50000.0</v>
      </c>
      <c r="H655" s="6">
        <f t="shared" si="2"/>
        <v>329364.815</v>
      </c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9.5" customHeight="1">
      <c r="A656" s="9">
        <v>46030.0</v>
      </c>
      <c r="B656" s="13"/>
      <c r="C656" s="8"/>
      <c r="D656" s="14"/>
      <c r="E656" s="3">
        <f t="shared" si="21"/>
        <v>0</v>
      </c>
      <c r="F656" s="10"/>
      <c r="G656" s="5">
        <v>91000.0</v>
      </c>
      <c r="H656" s="6">
        <f t="shared" si="2"/>
        <v>238364.815</v>
      </c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9.5" customHeight="1">
      <c r="A657" s="9">
        <v>46030.0</v>
      </c>
      <c r="B657" s="2">
        <v>22000.0</v>
      </c>
      <c r="C657" s="1">
        <v>4.66</v>
      </c>
      <c r="D657" s="14"/>
      <c r="E657" s="3">
        <f t="shared" si="21"/>
        <v>102520</v>
      </c>
      <c r="F657" s="10"/>
      <c r="G657" s="11"/>
      <c r="H657" s="6">
        <f t="shared" si="2"/>
        <v>340884.815</v>
      </c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9.5" customHeight="1">
      <c r="A658" s="9">
        <v>46030.0</v>
      </c>
      <c r="B658" s="2">
        <v>12000.0</v>
      </c>
      <c r="C658" s="1">
        <v>4.66</v>
      </c>
      <c r="D658" s="14"/>
      <c r="E658" s="3">
        <f t="shared" si="21"/>
        <v>55920</v>
      </c>
      <c r="F658" s="10"/>
      <c r="G658" s="11"/>
      <c r="H658" s="6">
        <f t="shared" si="2"/>
        <v>396804.815</v>
      </c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9.5" customHeight="1">
      <c r="A659" s="9">
        <v>46030.0</v>
      </c>
      <c r="B659" s="2">
        <v>14200.0</v>
      </c>
      <c r="C659" s="1">
        <v>4.66</v>
      </c>
      <c r="D659" s="14"/>
      <c r="E659" s="3">
        <f t="shared" si="21"/>
        <v>66172</v>
      </c>
      <c r="F659" s="10"/>
      <c r="G659" s="11"/>
      <c r="H659" s="6">
        <f t="shared" si="2"/>
        <v>462976.815</v>
      </c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9.5" customHeight="1">
      <c r="A660" s="9">
        <v>46030.0</v>
      </c>
      <c r="B660" s="2">
        <v>200.0</v>
      </c>
      <c r="C660" s="1">
        <v>4.66</v>
      </c>
      <c r="D660" s="14"/>
      <c r="E660" s="3">
        <f t="shared" si="21"/>
        <v>932</v>
      </c>
      <c r="F660" s="10"/>
      <c r="G660" s="11"/>
      <c r="H660" s="6">
        <f t="shared" si="2"/>
        <v>463908.815</v>
      </c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9.5" customHeight="1">
      <c r="A661" s="9">
        <v>46031.0</v>
      </c>
      <c r="B661" s="2">
        <v>15100.0</v>
      </c>
      <c r="C661" s="1">
        <v>4.66</v>
      </c>
      <c r="D661" s="14"/>
      <c r="E661" s="3">
        <f t="shared" si="21"/>
        <v>70366</v>
      </c>
      <c r="F661" s="10"/>
      <c r="G661" s="11"/>
      <c r="H661" s="6">
        <f t="shared" si="2"/>
        <v>534274.815</v>
      </c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9.5" customHeight="1">
      <c r="A662" s="9">
        <v>46031.0</v>
      </c>
      <c r="B662" s="2">
        <v>12000.0</v>
      </c>
      <c r="C662" s="1">
        <v>4.66</v>
      </c>
      <c r="D662" s="14"/>
      <c r="E662" s="3">
        <f t="shared" si="21"/>
        <v>55920</v>
      </c>
      <c r="F662" s="10"/>
      <c r="G662" s="11"/>
      <c r="H662" s="6">
        <f t="shared" si="2"/>
        <v>590194.815</v>
      </c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9.5" customHeight="1">
      <c r="A663" s="9">
        <v>46031.0</v>
      </c>
      <c r="B663" s="2">
        <v>8500.0</v>
      </c>
      <c r="C663" s="1">
        <v>4.66</v>
      </c>
      <c r="D663" s="14"/>
      <c r="E663" s="3">
        <f t="shared" si="21"/>
        <v>39610</v>
      </c>
      <c r="F663" s="10"/>
      <c r="G663" s="11"/>
      <c r="H663" s="6">
        <f t="shared" si="2"/>
        <v>629804.815</v>
      </c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9.5" customHeight="1">
      <c r="A664" s="9">
        <v>46032.0</v>
      </c>
      <c r="B664" s="13"/>
      <c r="C664" s="8"/>
      <c r="D664" s="1"/>
      <c r="E664" s="3">
        <f t="shared" si="21"/>
        <v>0</v>
      </c>
      <c r="F664" s="4"/>
      <c r="G664" s="5">
        <v>30000.0</v>
      </c>
      <c r="H664" s="6">
        <f t="shared" si="2"/>
        <v>599804.815</v>
      </c>
      <c r="I664" s="1" t="s">
        <v>11</v>
      </c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9.5" customHeight="1">
      <c r="A665" s="9">
        <v>46032.0</v>
      </c>
      <c r="B665" s="2">
        <v>2000.0</v>
      </c>
      <c r="C665" s="1">
        <v>4.66</v>
      </c>
      <c r="D665" s="14"/>
      <c r="E665" s="3">
        <f t="shared" si="21"/>
        <v>9320</v>
      </c>
      <c r="F665" s="10"/>
      <c r="G665" s="11"/>
      <c r="H665" s="6">
        <f t="shared" si="2"/>
        <v>609124.815</v>
      </c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9.5" customHeight="1">
      <c r="A666" s="9">
        <v>46033.0</v>
      </c>
      <c r="B666" s="13"/>
      <c r="C666" s="8"/>
      <c r="D666" s="1"/>
      <c r="E666" s="3">
        <f t="shared" si="21"/>
        <v>0</v>
      </c>
      <c r="F666" s="4"/>
      <c r="G666" s="5">
        <v>100000.0</v>
      </c>
      <c r="H666" s="6">
        <f t="shared" si="2"/>
        <v>509124.815</v>
      </c>
      <c r="I666" s="1" t="s">
        <v>17</v>
      </c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9.5" customHeight="1">
      <c r="A667" s="9">
        <v>46033.0</v>
      </c>
      <c r="B667" s="2">
        <v>5500.0</v>
      </c>
      <c r="C667" s="1">
        <v>4.66</v>
      </c>
      <c r="D667" s="14"/>
      <c r="E667" s="3">
        <f t="shared" si="21"/>
        <v>25630</v>
      </c>
      <c r="F667" s="10"/>
      <c r="G667" s="11"/>
      <c r="H667" s="6">
        <f t="shared" si="2"/>
        <v>534754.815</v>
      </c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9.5" customHeight="1">
      <c r="A668" s="9">
        <v>46033.0</v>
      </c>
      <c r="B668" s="2">
        <v>9000.0</v>
      </c>
      <c r="C668" s="1">
        <v>4.66</v>
      </c>
      <c r="D668" s="14"/>
      <c r="E668" s="3">
        <f t="shared" si="21"/>
        <v>41940</v>
      </c>
      <c r="F668" s="10"/>
      <c r="G668" s="11"/>
      <c r="H668" s="6">
        <f t="shared" si="2"/>
        <v>576694.815</v>
      </c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9.5" customHeight="1">
      <c r="A669" s="9">
        <v>46034.0</v>
      </c>
      <c r="B669" s="13"/>
      <c r="C669" s="8"/>
      <c r="D669" s="1"/>
      <c r="E669" s="3">
        <f t="shared" si="21"/>
        <v>0</v>
      </c>
      <c r="F669" s="4"/>
      <c r="G669" s="5">
        <v>150000.0</v>
      </c>
      <c r="H669" s="6">
        <f t="shared" si="2"/>
        <v>426694.815</v>
      </c>
      <c r="I669" s="1" t="s">
        <v>25</v>
      </c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9.5" customHeight="1">
      <c r="A670" s="9">
        <v>46035.0</v>
      </c>
      <c r="B670" s="2">
        <v>15500.0</v>
      </c>
      <c r="C670" s="1">
        <v>4.68</v>
      </c>
      <c r="D670" s="14"/>
      <c r="E670" s="3">
        <f t="shared" si="21"/>
        <v>72540</v>
      </c>
      <c r="F670" s="10"/>
      <c r="G670" s="11"/>
      <c r="H670" s="6">
        <f t="shared" si="2"/>
        <v>499234.815</v>
      </c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9.5" customHeight="1">
      <c r="A671" s="9">
        <v>46035.0</v>
      </c>
      <c r="B671" s="2">
        <v>12800.0</v>
      </c>
      <c r="C671" s="1">
        <v>4.68</v>
      </c>
      <c r="D671" s="14"/>
      <c r="E671" s="3">
        <f t="shared" si="21"/>
        <v>59904</v>
      </c>
      <c r="F671" s="10"/>
      <c r="G671" s="11"/>
      <c r="H671" s="6">
        <f t="shared" si="2"/>
        <v>559138.815</v>
      </c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9.5" customHeight="1">
      <c r="A672" s="9">
        <v>46035.0</v>
      </c>
      <c r="B672" s="2">
        <v>13300.0</v>
      </c>
      <c r="C672" s="1">
        <v>4.68</v>
      </c>
      <c r="D672" s="14"/>
      <c r="E672" s="3">
        <f t="shared" si="21"/>
        <v>62244</v>
      </c>
      <c r="F672" s="10"/>
      <c r="G672" s="11"/>
      <c r="H672" s="6">
        <f t="shared" si="2"/>
        <v>621382.815</v>
      </c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9.5" customHeight="1">
      <c r="A673" s="9">
        <v>46036.0</v>
      </c>
      <c r="B673" s="2">
        <v>12900.0</v>
      </c>
      <c r="C673" s="1">
        <v>4.68</v>
      </c>
      <c r="D673" s="14"/>
      <c r="E673" s="3">
        <f t="shared" si="21"/>
        <v>60372</v>
      </c>
      <c r="F673" s="10"/>
      <c r="G673" s="11"/>
      <c r="H673" s="6">
        <f t="shared" si="2"/>
        <v>681754.815</v>
      </c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9.5" customHeight="1">
      <c r="A674" s="9">
        <v>46036.0</v>
      </c>
      <c r="B674" s="2">
        <v>9200.0</v>
      </c>
      <c r="C674" s="1">
        <v>4.68</v>
      </c>
      <c r="D674" s="14"/>
      <c r="E674" s="3">
        <f t="shared" si="21"/>
        <v>43056</v>
      </c>
      <c r="F674" s="10"/>
      <c r="G674" s="11"/>
      <c r="H674" s="6">
        <f t="shared" si="2"/>
        <v>724810.815</v>
      </c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9.5" customHeight="1">
      <c r="A675" s="9">
        <v>46036.0</v>
      </c>
      <c r="B675" s="2">
        <v>500.0</v>
      </c>
      <c r="C675" s="1">
        <v>4.68</v>
      </c>
      <c r="D675" s="14"/>
      <c r="E675" s="3">
        <f t="shared" si="21"/>
        <v>2340</v>
      </c>
      <c r="F675" s="10"/>
      <c r="G675" s="11"/>
      <c r="H675" s="6">
        <f t="shared" si="2"/>
        <v>727150.815</v>
      </c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9.5" customHeight="1">
      <c r="A676" s="9">
        <v>46036.0</v>
      </c>
      <c r="B676" s="2">
        <v>11500.0</v>
      </c>
      <c r="C676" s="1">
        <v>4.68</v>
      </c>
      <c r="D676" s="14"/>
      <c r="E676" s="3">
        <f t="shared" si="21"/>
        <v>53820</v>
      </c>
      <c r="F676" s="10"/>
      <c r="G676" s="11"/>
      <c r="H676" s="6">
        <f t="shared" si="2"/>
        <v>780970.815</v>
      </c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9.5" customHeight="1">
      <c r="A677" s="9">
        <v>46036.0</v>
      </c>
      <c r="B677" s="13"/>
      <c r="C677" s="8"/>
      <c r="D677" s="1"/>
      <c r="E677" s="3">
        <f t="shared" si="21"/>
        <v>0</v>
      </c>
      <c r="F677" s="4"/>
      <c r="G677" s="5">
        <v>80000.0</v>
      </c>
      <c r="H677" s="6">
        <f t="shared" si="2"/>
        <v>700970.815</v>
      </c>
      <c r="I677" s="1" t="s">
        <v>10</v>
      </c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9.5" customHeight="1">
      <c r="A678" s="9">
        <v>46037.0</v>
      </c>
      <c r="B678" s="13"/>
      <c r="C678" s="8"/>
      <c r="D678" s="1"/>
      <c r="E678" s="3">
        <f t="shared" si="21"/>
        <v>0</v>
      </c>
      <c r="F678" s="4"/>
      <c r="G678" s="5">
        <v>100000.0</v>
      </c>
      <c r="H678" s="6">
        <f t="shared" si="2"/>
        <v>600970.815</v>
      </c>
      <c r="I678" s="1" t="s">
        <v>26</v>
      </c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9.5" customHeight="1">
      <c r="A679" s="9">
        <v>46037.0</v>
      </c>
      <c r="B679" s="13"/>
      <c r="C679" s="8"/>
      <c r="D679" s="1"/>
      <c r="E679" s="3">
        <f t="shared" si="21"/>
        <v>0</v>
      </c>
      <c r="F679" s="4"/>
      <c r="G679" s="5">
        <v>61000.0</v>
      </c>
      <c r="H679" s="6">
        <f t="shared" si="2"/>
        <v>539970.815</v>
      </c>
      <c r="I679" s="1" t="s">
        <v>11</v>
      </c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9.5" customHeight="1">
      <c r="A680" s="9">
        <v>46037.0</v>
      </c>
      <c r="B680" s="2">
        <v>10500.0</v>
      </c>
      <c r="C680" s="1">
        <v>4.68</v>
      </c>
      <c r="D680" s="14"/>
      <c r="E680" s="3">
        <f t="shared" si="21"/>
        <v>49140</v>
      </c>
      <c r="F680" s="10"/>
      <c r="G680" s="11"/>
      <c r="H680" s="6">
        <f t="shared" si="2"/>
        <v>589110.815</v>
      </c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9.5" customHeight="1">
      <c r="A681" s="9">
        <v>46037.0</v>
      </c>
      <c r="B681" s="2">
        <v>5300.0</v>
      </c>
      <c r="C681" s="1">
        <v>4.68</v>
      </c>
      <c r="D681" s="14"/>
      <c r="E681" s="3">
        <f t="shared" si="21"/>
        <v>24804</v>
      </c>
      <c r="F681" s="10"/>
      <c r="G681" s="11"/>
      <c r="H681" s="6">
        <f t="shared" si="2"/>
        <v>613914.815</v>
      </c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9.5" customHeight="1">
      <c r="A682" s="9">
        <v>46037.0</v>
      </c>
      <c r="B682" s="2">
        <v>8800.0</v>
      </c>
      <c r="C682" s="1">
        <v>4.68</v>
      </c>
      <c r="D682" s="14"/>
      <c r="E682" s="3">
        <f t="shared" si="21"/>
        <v>41184</v>
      </c>
      <c r="F682" s="10"/>
      <c r="G682" s="11"/>
      <c r="H682" s="6">
        <f t="shared" si="2"/>
        <v>655098.815</v>
      </c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9.5" customHeight="1">
      <c r="A683" s="9">
        <v>46037.0</v>
      </c>
      <c r="B683" s="2">
        <v>35200.0</v>
      </c>
      <c r="C683" s="1">
        <v>4.68</v>
      </c>
      <c r="D683" s="14"/>
      <c r="E683" s="3">
        <f t="shared" si="21"/>
        <v>164736</v>
      </c>
      <c r="F683" s="10"/>
      <c r="G683" s="11"/>
      <c r="H683" s="6">
        <f t="shared" si="2"/>
        <v>819834.815</v>
      </c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9.5" customHeight="1">
      <c r="A684" s="9">
        <v>46038.0</v>
      </c>
      <c r="B684" s="13"/>
      <c r="C684" s="8"/>
      <c r="D684" s="1"/>
      <c r="E684" s="3">
        <f t="shared" si="21"/>
        <v>0</v>
      </c>
      <c r="F684" s="4"/>
      <c r="G684" s="5">
        <v>62000.0</v>
      </c>
      <c r="H684" s="6">
        <f t="shared" si="2"/>
        <v>757834.815</v>
      </c>
      <c r="I684" s="1" t="s">
        <v>27</v>
      </c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9.5" customHeight="1">
      <c r="A685" s="9">
        <v>46039.0</v>
      </c>
      <c r="B685" s="2">
        <v>100.0</v>
      </c>
      <c r="C685" s="1">
        <v>4.68</v>
      </c>
      <c r="D685" s="14"/>
      <c r="E685" s="3">
        <f t="shared" si="21"/>
        <v>468</v>
      </c>
      <c r="F685" s="10"/>
      <c r="G685" s="11"/>
      <c r="H685" s="6">
        <f t="shared" si="2"/>
        <v>758302.815</v>
      </c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9.5" customHeight="1">
      <c r="A686" s="9">
        <v>46040.0</v>
      </c>
      <c r="B686" s="13"/>
      <c r="C686" s="8"/>
      <c r="D686" s="1"/>
      <c r="E686" s="3">
        <f t="shared" si="21"/>
        <v>0</v>
      </c>
      <c r="F686" s="4"/>
      <c r="G686" s="5">
        <v>490000.0</v>
      </c>
      <c r="H686" s="6">
        <f t="shared" si="2"/>
        <v>268302.815</v>
      </c>
      <c r="I686" s="1" t="s">
        <v>17</v>
      </c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9.5" customHeight="1">
      <c r="A687" s="9">
        <v>46040.0</v>
      </c>
      <c r="B687" s="2">
        <v>100.0</v>
      </c>
      <c r="C687" s="1">
        <v>4.68</v>
      </c>
      <c r="D687" s="14"/>
      <c r="E687" s="3">
        <f t="shared" si="21"/>
        <v>468</v>
      </c>
      <c r="F687" s="10"/>
      <c r="G687" s="11"/>
      <c r="H687" s="6">
        <f t="shared" si="2"/>
        <v>268770.815</v>
      </c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9.5" customHeight="1">
      <c r="A688" s="9">
        <v>46041.0</v>
      </c>
      <c r="B688" s="13"/>
      <c r="C688" s="8"/>
      <c r="D688" s="1"/>
      <c r="E688" s="3">
        <f t="shared" si="21"/>
        <v>0</v>
      </c>
      <c r="F688" s="4"/>
      <c r="G688" s="5">
        <v>40000.0</v>
      </c>
      <c r="H688" s="6">
        <f t="shared" si="2"/>
        <v>228770.815</v>
      </c>
      <c r="I688" s="1" t="s">
        <v>10</v>
      </c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9.5" customHeight="1">
      <c r="A689" s="9">
        <v>46041.0</v>
      </c>
      <c r="B689" s="2">
        <v>1330.0</v>
      </c>
      <c r="C689" s="1">
        <v>4.67</v>
      </c>
      <c r="D689" s="14"/>
      <c r="E689" s="3">
        <f t="shared" si="21"/>
        <v>6211.1</v>
      </c>
      <c r="F689" s="10"/>
      <c r="G689" s="11"/>
      <c r="H689" s="6">
        <f t="shared" si="2"/>
        <v>234981.915</v>
      </c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9.5" customHeight="1">
      <c r="A690" s="9">
        <v>46042.0</v>
      </c>
      <c r="B690" s="2">
        <v>13600.0</v>
      </c>
      <c r="C690" s="1">
        <v>4.67</v>
      </c>
      <c r="D690" s="14"/>
      <c r="E690" s="3">
        <f t="shared" si="21"/>
        <v>63512</v>
      </c>
      <c r="F690" s="10"/>
      <c r="G690" s="11"/>
      <c r="H690" s="6">
        <f t="shared" si="2"/>
        <v>298493.915</v>
      </c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9.5" customHeight="1">
      <c r="A691" s="9">
        <v>46042.0</v>
      </c>
      <c r="B691" s="2">
        <v>21700.0</v>
      </c>
      <c r="C691" s="1">
        <v>4.67</v>
      </c>
      <c r="D691" s="14"/>
      <c r="E691" s="3">
        <f t="shared" si="21"/>
        <v>101339</v>
      </c>
      <c r="F691" s="10"/>
      <c r="G691" s="11"/>
      <c r="H691" s="6">
        <f t="shared" si="2"/>
        <v>399832.915</v>
      </c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9.5" customHeight="1">
      <c r="A692" s="9">
        <v>46042.0</v>
      </c>
      <c r="B692" s="2">
        <v>38500.0</v>
      </c>
      <c r="C692" s="1">
        <v>4.67</v>
      </c>
      <c r="D692" s="14"/>
      <c r="E692" s="3">
        <f t="shared" si="21"/>
        <v>179795</v>
      </c>
      <c r="F692" s="10"/>
      <c r="G692" s="11"/>
      <c r="H692" s="6">
        <f t="shared" si="2"/>
        <v>579627.915</v>
      </c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9.5" customHeight="1">
      <c r="A693" s="9">
        <v>46042.0</v>
      </c>
      <c r="B693" s="2">
        <v>4250.0</v>
      </c>
      <c r="C693" s="1">
        <v>4.67</v>
      </c>
      <c r="D693" s="14"/>
      <c r="E693" s="3">
        <f t="shared" si="21"/>
        <v>19847.5</v>
      </c>
      <c r="F693" s="10"/>
      <c r="G693" s="11"/>
      <c r="H693" s="6">
        <f t="shared" si="2"/>
        <v>599475.415</v>
      </c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9.5" customHeight="1">
      <c r="A694" s="9">
        <v>46042.0</v>
      </c>
      <c r="B694" s="2"/>
      <c r="C694" s="1"/>
      <c r="D694" s="14"/>
      <c r="E694" s="3">
        <f t="shared" si="21"/>
        <v>0</v>
      </c>
      <c r="F694" s="10"/>
      <c r="G694" s="11"/>
      <c r="H694" s="6">
        <f t="shared" si="2"/>
        <v>599475.415</v>
      </c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9.5" customHeight="1">
      <c r="A695" s="9">
        <v>46044.0</v>
      </c>
      <c r="B695" s="13"/>
      <c r="C695" s="8"/>
      <c r="D695" s="1"/>
      <c r="E695" s="3">
        <f t="shared" si="21"/>
        <v>0</v>
      </c>
      <c r="F695" s="4"/>
      <c r="G695" s="5">
        <v>70000.0</v>
      </c>
      <c r="H695" s="6">
        <f t="shared" si="2"/>
        <v>529475.415</v>
      </c>
      <c r="I695" s="1" t="s">
        <v>10</v>
      </c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9.5" customHeight="1">
      <c r="A696" s="9">
        <v>46044.0</v>
      </c>
      <c r="B696" s="2">
        <v>19900.0</v>
      </c>
      <c r="C696" s="1">
        <v>4.67</v>
      </c>
      <c r="D696" s="14"/>
      <c r="E696" s="3">
        <f t="shared" si="21"/>
        <v>92933</v>
      </c>
      <c r="F696" s="10"/>
      <c r="G696" s="5"/>
      <c r="H696" s="6">
        <f t="shared" si="2"/>
        <v>622408.415</v>
      </c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9.5" customHeight="1">
      <c r="A697" s="9">
        <v>46044.0</v>
      </c>
      <c r="B697" s="2">
        <v>20400.0</v>
      </c>
      <c r="C697" s="1">
        <v>4.67</v>
      </c>
      <c r="D697" s="14"/>
      <c r="E697" s="3">
        <f t="shared" si="21"/>
        <v>95268</v>
      </c>
      <c r="F697" s="10"/>
      <c r="G697" s="11"/>
      <c r="H697" s="6">
        <f t="shared" si="2"/>
        <v>717676.415</v>
      </c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9.5" customHeight="1">
      <c r="A698" s="9">
        <v>46044.0</v>
      </c>
      <c r="B698" s="2">
        <v>5200.0</v>
      </c>
      <c r="C698" s="1">
        <v>4.67</v>
      </c>
      <c r="D698" s="14"/>
      <c r="E698" s="3">
        <f t="shared" si="21"/>
        <v>24284</v>
      </c>
      <c r="F698" s="10"/>
      <c r="G698" s="11"/>
      <c r="H698" s="6">
        <f t="shared" si="2"/>
        <v>741960.415</v>
      </c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9.5" customHeight="1">
      <c r="A699" s="9">
        <v>46044.0</v>
      </c>
      <c r="B699" s="2">
        <v>12000.0</v>
      </c>
      <c r="C699" s="1">
        <v>4.67</v>
      </c>
      <c r="D699" s="14"/>
      <c r="E699" s="3">
        <f t="shared" si="21"/>
        <v>56040</v>
      </c>
      <c r="F699" s="10"/>
      <c r="G699" s="11"/>
      <c r="H699" s="6">
        <f t="shared" si="2"/>
        <v>798000.415</v>
      </c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9.5" customHeight="1">
      <c r="A700" s="9">
        <v>46044.0</v>
      </c>
      <c r="B700" s="2">
        <v>21500.0</v>
      </c>
      <c r="C700" s="1">
        <v>4.67</v>
      </c>
      <c r="D700" s="14"/>
      <c r="E700" s="3">
        <f t="shared" si="21"/>
        <v>100405</v>
      </c>
      <c r="F700" s="10"/>
      <c r="G700" s="11"/>
      <c r="H700" s="6">
        <f t="shared" si="2"/>
        <v>898405.415</v>
      </c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9.5" customHeight="1">
      <c r="A701" s="9">
        <v>46044.0</v>
      </c>
      <c r="B701" s="2">
        <v>6500.0</v>
      </c>
      <c r="C701" s="1">
        <v>4.67</v>
      </c>
      <c r="D701" s="14"/>
      <c r="E701" s="3">
        <f t="shared" si="21"/>
        <v>30355</v>
      </c>
      <c r="F701" s="10"/>
      <c r="G701" s="11"/>
      <c r="H701" s="6">
        <f t="shared" si="2"/>
        <v>928760.415</v>
      </c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9.5" customHeight="1">
      <c r="A702" s="9">
        <v>46044.0</v>
      </c>
      <c r="B702" s="13"/>
      <c r="C702" s="8"/>
      <c r="D702" s="1"/>
      <c r="E702" s="3">
        <f t="shared" si="21"/>
        <v>0</v>
      </c>
      <c r="F702" s="4"/>
      <c r="G702" s="5">
        <v>22554.0</v>
      </c>
      <c r="H702" s="6">
        <f t="shared" si="2"/>
        <v>906206.415</v>
      </c>
      <c r="I702" s="1" t="s">
        <v>22</v>
      </c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9.5" customHeight="1">
      <c r="A703" s="9">
        <v>46044.0</v>
      </c>
      <c r="B703" s="2">
        <v>200.0</v>
      </c>
      <c r="C703" s="1">
        <v>4.67</v>
      </c>
      <c r="D703" s="14"/>
      <c r="E703" s="3">
        <f t="shared" si="21"/>
        <v>934</v>
      </c>
      <c r="F703" s="10"/>
      <c r="G703" s="11"/>
      <c r="H703" s="6">
        <f t="shared" si="2"/>
        <v>907140.415</v>
      </c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9.5" customHeight="1">
      <c r="A704" s="9">
        <v>46045.0</v>
      </c>
      <c r="B704" s="13"/>
      <c r="C704" s="8"/>
      <c r="D704" s="1"/>
      <c r="E704" s="3">
        <f t="shared" si="21"/>
        <v>0</v>
      </c>
      <c r="F704" s="4"/>
      <c r="G704" s="5">
        <v>100000.0</v>
      </c>
      <c r="H704" s="6">
        <f t="shared" si="2"/>
        <v>807140.415</v>
      </c>
      <c r="I704" s="1" t="s">
        <v>24</v>
      </c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9.5" customHeight="1">
      <c r="A705" s="9">
        <v>46045.0</v>
      </c>
      <c r="B705" s="2">
        <v>10700.0</v>
      </c>
      <c r="C705" s="1">
        <v>4.67</v>
      </c>
      <c r="D705" s="14"/>
      <c r="E705" s="3">
        <f t="shared" si="21"/>
        <v>49969</v>
      </c>
      <c r="F705" s="10"/>
      <c r="G705" s="11"/>
      <c r="H705" s="6">
        <f t="shared" si="2"/>
        <v>857109.415</v>
      </c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9.5" customHeight="1">
      <c r="A706" s="9">
        <v>46045.0</v>
      </c>
      <c r="B706" s="2">
        <v>13700.0</v>
      </c>
      <c r="C706" s="1">
        <v>4.67</v>
      </c>
      <c r="D706" s="14"/>
      <c r="E706" s="3">
        <f t="shared" si="21"/>
        <v>63979</v>
      </c>
      <c r="F706" s="10"/>
      <c r="G706" s="11"/>
      <c r="H706" s="6">
        <f t="shared" si="2"/>
        <v>921088.415</v>
      </c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9.5" customHeight="1">
      <c r="A707" s="9">
        <v>46045.0</v>
      </c>
      <c r="B707" s="13"/>
      <c r="C707" s="8"/>
      <c r="D707" s="1"/>
      <c r="E707" s="3">
        <f t="shared" si="21"/>
        <v>0</v>
      </c>
      <c r="F707" s="4"/>
      <c r="G707" s="5">
        <v>150000.0</v>
      </c>
      <c r="H707" s="6">
        <f t="shared" si="2"/>
        <v>771088.415</v>
      </c>
      <c r="I707" s="1" t="s">
        <v>18</v>
      </c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9.5" customHeight="1">
      <c r="A708" s="9">
        <v>46047.0</v>
      </c>
      <c r="B708" s="2">
        <v>32000.0</v>
      </c>
      <c r="C708" s="1">
        <v>4.67</v>
      </c>
      <c r="D708" s="14"/>
      <c r="E708" s="3">
        <f t="shared" si="21"/>
        <v>149440</v>
      </c>
      <c r="F708" s="10"/>
      <c r="G708" s="11"/>
      <c r="H708" s="6">
        <f t="shared" si="2"/>
        <v>920528.415</v>
      </c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9.5" customHeight="1">
      <c r="A709" s="9">
        <v>46047.0</v>
      </c>
      <c r="B709" s="2">
        <v>8000.0</v>
      </c>
      <c r="C709" s="1">
        <v>4.67</v>
      </c>
      <c r="D709" s="14"/>
      <c r="E709" s="3">
        <f t="shared" si="21"/>
        <v>37360</v>
      </c>
      <c r="F709" s="10"/>
      <c r="G709" s="11"/>
      <c r="H709" s="6">
        <f t="shared" si="2"/>
        <v>957888.415</v>
      </c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9.5" customHeight="1">
      <c r="A710" s="9">
        <v>46047.0</v>
      </c>
      <c r="B710" s="2">
        <v>15700.0</v>
      </c>
      <c r="C710" s="1">
        <v>4.67</v>
      </c>
      <c r="D710" s="14"/>
      <c r="E710" s="3">
        <f t="shared" si="21"/>
        <v>73319</v>
      </c>
      <c r="F710" s="10"/>
      <c r="G710" s="11"/>
      <c r="H710" s="6">
        <f t="shared" si="2"/>
        <v>1031207.415</v>
      </c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9.5" customHeight="1">
      <c r="A711" s="9">
        <v>46047.0</v>
      </c>
      <c r="B711" s="13"/>
      <c r="C711" s="8"/>
      <c r="D711" s="1"/>
      <c r="E711" s="3">
        <f t="shared" si="21"/>
        <v>0</v>
      </c>
      <c r="F711" s="4"/>
      <c r="G711" s="5">
        <v>110000.0</v>
      </c>
      <c r="H711" s="6">
        <f t="shared" si="2"/>
        <v>921207.415</v>
      </c>
      <c r="I711" s="1" t="s">
        <v>11</v>
      </c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9.5" customHeight="1">
      <c r="A712" s="9">
        <v>46047.0</v>
      </c>
      <c r="B712" s="2">
        <v>500.0</v>
      </c>
      <c r="C712" s="1">
        <v>4.67</v>
      </c>
      <c r="D712" s="14"/>
      <c r="E712" s="3">
        <f t="shared" si="21"/>
        <v>2335</v>
      </c>
      <c r="F712" s="10"/>
      <c r="G712" s="11"/>
      <c r="H712" s="6">
        <f t="shared" si="2"/>
        <v>923542.415</v>
      </c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9.5" customHeight="1">
      <c r="A713" s="9">
        <v>46047.0</v>
      </c>
      <c r="B713" s="2">
        <v>13500.0</v>
      </c>
      <c r="C713" s="1">
        <v>4.67</v>
      </c>
      <c r="D713" s="14"/>
      <c r="E713" s="3">
        <f t="shared" si="21"/>
        <v>63045</v>
      </c>
      <c r="F713" s="10"/>
      <c r="G713" s="11"/>
      <c r="H713" s="6">
        <f t="shared" si="2"/>
        <v>986587.415</v>
      </c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9.5" customHeight="1">
      <c r="A714" s="9">
        <v>46048.0</v>
      </c>
      <c r="B714" s="13"/>
      <c r="C714" s="1"/>
      <c r="D714" s="1"/>
      <c r="E714" s="3">
        <f t="shared" si="21"/>
        <v>0</v>
      </c>
      <c r="F714" s="4"/>
      <c r="G714" s="5">
        <v>200000.0</v>
      </c>
      <c r="H714" s="6">
        <f t="shared" si="2"/>
        <v>786587.415</v>
      </c>
      <c r="I714" s="1" t="s">
        <v>28</v>
      </c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9.5" customHeight="1">
      <c r="A715" s="9">
        <v>46048.0</v>
      </c>
      <c r="B715" s="13"/>
      <c r="C715" s="8"/>
      <c r="D715" s="14"/>
      <c r="E715" s="3">
        <f t="shared" si="21"/>
        <v>0</v>
      </c>
      <c r="F715" s="10"/>
      <c r="G715" s="11"/>
      <c r="H715" s="6">
        <f t="shared" si="2"/>
        <v>786587.415</v>
      </c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9.5" customHeight="1">
      <c r="A716" s="9">
        <v>46048.0</v>
      </c>
      <c r="B716" s="13"/>
      <c r="C716" s="8"/>
      <c r="D716" s="1"/>
      <c r="E716" s="3">
        <f t="shared" si="21"/>
        <v>0</v>
      </c>
      <c r="F716" s="4"/>
      <c r="G716" s="5">
        <v>579000.0</v>
      </c>
      <c r="H716" s="6">
        <f t="shared" si="2"/>
        <v>207587.415</v>
      </c>
      <c r="I716" s="1" t="s">
        <v>17</v>
      </c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9.5" customHeight="1">
      <c r="A717" s="9">
        <v>46048.0</v>
      </c>
      <c r="B717" s="2">
        <v>17700.0</v>
      </c>
      <c r="C717" s="1">
        <v>4.67</v>
      </c>
      <c r="D717" s="14"/>
      <c r="E717" s="3">
        <f t="shared" si="21"/>
        <v>82659</v>
      </c>
      <c r="F717" s="10"/>
      <c r="G717" s="11"/>
      <c r="H717" s="6">
        <f t="shared" si="2"/>
        <v>290246.415</v>
      </c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9.5" customHeight="1">
      <c r="A718" s="9">
        <v>46048.0</v>
      </c>
      <c r="B718" s="2">
        <v>6000.0</v>
      </c>
      <c r="C718" s="1">
        <v>4.67</v>
      </c>
      <c r="D718" s="14"/>
      <c r="E718" s="3">
        <f t="shared" si="21"/>
        <v>28020</v>
      </c>
      <c r="F718" s="10"/>
      <c r="G718" s="11"/>
      <c r="H718" s="6">
        <f t="shared" si="2"/>
        <v>318266.415</v>
      </c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9.5" customHeight="1">
      <c r="A719" s="9">
        <v>46048.0</v>
      </c>
      <c r="B719" s="2">
        <v>42200.0</v>
      </c>
      <c r="C719" s="1">
        <v>4.67</v>
      </c>
      <c r="D719" s="14"/>
      <c r="E719" s="3">
        <f t="shared" si="21"/>
        <v>197074</v>
      </c>
      <c r="F719" s="10"/>
      <c r="G719" s="11"/>
      <c r="H719" s="6">
        <f t="shared" si="2"/>
        <v>515340.415</v>
      </c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9.5" customHeight="1">
      <c r="A720" s="9">
        <v>46048.0</v>
      </c>
      <c r="B720" s="2">
        <v>200.0</v>
      </c>
      <c r="C720" s="1">
        <v>4.67</v>
      </c>
      <c r="D720" s="14"/>
      <c r="E720" s="3">
        <f t="shared" si="21"/>
        <v>934</v>
      </c>
      <c r="F720" s="10"/>
      <c r="G720" s="11"/>
      <c r="H720" s="6">
        <f t="shared" si="2"/>
        <v>516274.415</v>
      </c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9.5" customHeight="1">
      <c r="A721" s="9">
        <v>46049.0</v>
      </c>
      <c r="B721" s="2"/>
      <c r="C721" s="1">
        <v>4.67</v>
      </c>
      <c r="D721" s="14"/>
      <c r="E721" s="3">
        <f t="shared" si="21"/>
        <v>0</v>
      </c>
      <c r="F721" s="10"/>
      <c r="G721" s="5">
        <v>100000.0</v>
      </c>
      <c r="H721" s="6">
        <f t="shared" si="2"/>
        <v>416274.415</v>
      </c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9.5" customHeight="1">
      <c r="A722" s="9">
        <v>46049.0</v>
      </c>
      <c r="B722" s="2">
        <v>24500.0</v>
      </c>
      <c r="C722" s="1">
        <v>4.67</v>
      </c>
      <c r="D722" s="14"/>
      <c r="E722" s="3">
        <f t="shared" si="21"/>
        <v>114415</v>
      </c>
      <c r="F722" s="10"/>
      <c r="G722" s="11"/>
      <c r="H722" s="6">
        <f t="shared" si="2"/>
        <v>530689.415</v>
      </c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9.5" customHeight="1">
      <c r="A723" s="9">
        <v>46049.0</v>
      </c>
      <c r="B723" s="2">
        <v>10500.0</v>
      </c>
      <c r="C723" s="1">
        <v>4.67</v>
      </c>
      <c r="D723" s="14"/>
      <c r="E723" s="3">
        <f t="shared" si="21"/>
        <v>49035</v>
      </c>
      <c r="F723" s="10"/>
      <c r="G723" s="11"/>
      <c r="H723" s="6">
        <f t="shared" si="2"/>
        <v>579724.415</v>
      </c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9.5" customHeight="1">
      <c r="A724" s="9">
        <v>46049.0</v>
      </c>
      <c r="B724" s="2">
        <v>3300.0</v>
      </c>
      <c r="C724" s="1">
        <v>4.67</v>
      </c>
      <c r="D724" s="14"/>
      <c r="E724" s="3">
        <f t="shared" si="21"/>
        <v>15411</v>
      </c>
      <c r="F724" s="10"/>
      <c r="G724" s="11"/>
      <c r="H724" s="6">
        <f t="shared" si="2"/>
        <v>595135.415</v>
      </c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9.5" customHeight="1">
      <c r="A725" s="9">
        <v>46050.0</v>
      </c>
      <c r="B725" s="13"/>
      <c r="C725" s="8"/>
      <c r="D725" s="1"/>
      <c r="E725" s="3">
        <f t="shared" si="21"/>
        <v>0</v>
      </c>
      <c r="F725" s="4"/>
      <c r="G725" s="5">
        <v>50000.0</v>
      </c>
      <c r="H725" s="6">
        <f t="shared" si="2"/>
        <v>545135.415</v>
      </c>
      <c r="I725" s="1" t="s">
        <v>22</v>
      </c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9.5" customHeight="1">
      <c r="A726" s="9">
        <v>46050.0</v>
      </c>
      <c r="B726" s="2">
        <v>23500.0</v>
      </c>
      <c r="C726" s="1">
        <v>4.67</v>
      </c>
      <c r="D726" s="14"/>
      <c r="E726" s="3">
        <f t="shared" si="21"/>
        <v>109745</v>
      </c>
      <c r="F726" s="10"/>
      <c r="G726" s="11"/>
      <c r="H726" s="6">
        <f t="shared" si="2"/>
        <v>654880.415</v>
      </c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9.5" customHeight="1">
      <c r="A727" s="9">
        <v>46050.0</v>
      </c>
      <c r="B727" s="2">
        <v>7300.0</v>
      </c>
      <c r="C727" s="1">
        <v>4.67</v>
      </c>
      <c r="D727" s="14"/>
      <c r="E727" s="3">
        <f t="shared" si="21"/>
        <v>34091</v>
      </c>
      <c r="F727" s="10"/>
      <c r="G727" s="11"/>
      <c r="H727" s="6">
        <f t="shared" si="2"/>
        <v>688971.415</v>
      </c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9.5" customHeight="1">
      <c r="A728" s="9">
        <v>46050.0</v>
      </c>
      <c r="B728" s="2">
        <v>2288.0</v>
      </c>
      <c r="C728" s="1">
        <v>4.67</v>
      </c>
      <c r="D728" s="14"/>
      <c r="E728" s="3">
        <f t="shared" si="21"/>
        <v>10684.96</v>
      </c>
      <c r="F728" s="10"/>
      <c r="G728" s="11"/>
      <c r="H728" s="6">
        <f t="shared" si="2"/>
        <v>699656.375</v>
      </c>
      <c r="I728" s="8"/>
      <c r="J728" s="8"/>
      <c r="K728" s="8"/>
      <c r="L728" s="8"/>
      <c r="M728" s="8"/>
      <c r="N728" s="1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9.5" customHeight="1">
      <c r="A729" s="9">
        <v>46050.0</v>
      </c>
      <c r="B729" s="2">
        <v>100.0</v>
      </c>
      <c r="C729" s="1">
        <v>4.67</v>
      </c>
      <c r="D729" s="14"/>
      <c r="E729" s="3">
        <f t="shared" si="21"/>
        <v>467</v>
      </c>
      <c r="F729" s="10"/>
      <c r="G729" s="11"/>
      <c r="H729" s="6">
        <f t="shared" si="2"/>
        <v>700123.375</v>
      </c>
      <c r="I729" s="8"/>
      <c r="J729" s="8"/>
      <c r="K729" s="8"/>
      <c r="L729" s="8"/>
      <c r="M729" s="8"/>
      <c r="N729" s="1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9.5" customHeight="1">
      <c r="A730" s="9">
        <v>46050.0</v>
      </c>
      <c r="B730" s="2">
        <v>6655.0</v>
      </c>
      <c r="C730" s="1">
        <v>4.67</v>
      </c>
      <c r="D730" s="14"/>
      <c r="E730" s="3">
        <f t="shared" si="21"/>
        <v>31078.85</v>
      </c>
      <c r="F730" s="10"/>
      <c r="G730" s="11"/>
      <c r="H730" s="6">
        <f t="shared" si="2"/>
        <v>731202.225</v>
      </c>
      <c r="I730" s="8"/>
      <c r="J730" s="8"/>
      <c r="K730" s="8"/>
      <c r="L730" s="8"/>
      <c r="M730" s="8"/>
      <c r="N730" s="1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9.5" customHeight="1">
      <c r="A731" s="9">
        <v>46050.0</v>
      </c>
      <c r="B731" s="2">
        <v>12500.0</v>
      </c>
      <c r="C731" s="1">
        <v>4.67</v>
      </c>
      <c r="D731" s="14"/>
      <c r="E731" s="3">
        <f t="shared" si="21"/>
        <v>58375</v>
      </c>
      <c r="F731" s="10"/>
      <c r="G731" s="11"/>
      <c r="H731" s="6">
        <f t="shared" si="2"/>
        <v>789577.225</v>
      </c>
      <c r="I731" s="8"/>
      <c r="J731" s="8"/>
      <c r="K731" s="8"/>
      <c r="L731" s="8"/>
      <c r="M731" s="8"/>
      <c r="N731" s="1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9.5" customHeight="1">
      <c r="A732" s="9">
        <v>46052.0</v>
      </c>
      <c r="B732" s="2">
        <v>1000.0</v>
      </c>
      <c r="C732" s="1">
        <v>4.67</v>
      </c>
      <c r="D732" s="14"/>
      <c r="E732" s="3">
        <f t="shared" si="21"/>
        <v>4670</v>
      </c>
      <c r="F732" s="10"/>
      <c r="G732" s="11"/>
      <c r="H732" s="6">
        <f t="shared" si="2"/>
        <v>794247.225</v>
      </c>
      <c r="I732" s="8"/>
      <c r="J732" s="8"/>
      <c r="K732" s="8"/>
      <c r="L732" s="8"/>
      <c r="M732" s="8"/>
      <c r="N732" s="1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9.5" customHeight="1">
      <c r="A733" s="9">
        <v>46052.0</v>
      </c>
      <c r="B733" s="2">
        <v>600.0</v>
      </c>
      <c r="C733" s="1">
        <v>4.67</v>
      </c>
      <c r="D733" s="14"/>
      <c r="E733" s="3">
        <f t="shared" si="21"/>
        <v>2802</v>
      </c>
      <c r="F733" s="10"/>
      <c r="G733" s="11"/>
      <c r="H733" s="6">
        <f t="shared" si="2"/>
        <v>797049.225</v>
      </c>
      <c r="I733" s="8"/>
      <c r="J733" s="8"/>
      <c r="K733" s="8"/>
      <c r="L733" s="8"/>
      <c r="M733" s="8"/>
      <c r="N733" s="1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9.5" customHeight="1">
      <c r="A734" s="9">
        <v>46052.0</v>
      </c>
      <c r="B734" s="2">
        <v>800.0</v>
      </c>
      <c r="C734" s="1">
        <v>4.67</v>
      </c>
      <c r="D734" s="14"/>
      <c r="E734" s="3">
        <f t="shared" si="21"/>
        <v>3736</v>
      </c>
      <c r="F734" s="10"/>
      <c r="G734" s="11"/>
      <c r="H734" s="6">
        <f t="shared" si="2"/>
        <v>800785.225</v>
      </c>
      <c r="I734" s="8"/>
      <c r="J734" s="8"/>
      <c r="K734" s="8"/>
      <c r="L734" s="8"/>
      <c r="M734" s="8"/>
      <c r="N734" s="1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9.5" customHeight="1">
      <c r="A735" s="9">
        <v>46054.0</v>
      </c>
      <c r="B735" s="13"/>
      <c r="C735" s="8"/>
      <c r="D735" s="1"/>
      <c r="E735" s="3">
        <f t="shared" si="21"/>
        <v>0</v>
      </c>
      <c r="F735" s="4"/>
      <c r="G735" s="5">
        <v>100000.0</v>
      </c>
      <c r="H735" s="6">
        <f t="shared" si="2"/>
        <v>700785.225</v>
      </c>
      <c r="I735" s="1" t="s">
        <v>18</v>
      </c>
      <c r="J735" s="8"/>
      <c r="K735" s="8"/>
      <c r="L735" s="8"/>
      <c r="M735" s="8"/>
      <c r="N735" s="1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9.5" customHeight="1">
      <c r="A736" s="9">
        <v>46055.0</v>
      </c>
      <c r="B736" s="2">
        <v>2200.0</v>
      </c>
      <c r="C736" s="1">
        <v>4.68</v>
      </c>
      <c r="D736" s="14"/>
      <c r="E736" s="3">
        <f t="shared" si="21"/>
        <v>10296</v>
      </c>
      <c r="F736" s="10"/>
      <c r="G736" s="11"/>
      <c r="H736" s="6">
        <f t="shared" si="2"/>
        <v>711081.225</v>
      </c>
      <c r="I736" s="8"/>
      <c r="J736" s="8"/>
      <c r="K736" s="8"/>
      <c r="L736" s="8"/>
      <c r="M736" s="8"/>
      <c r="N736" s="1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9.5" customHeight="1">
      <c r="A737" s="9">
        <v>46056.0</v>
      </c>
      <c r="B737" s="2">
        <v>8200.0</v>
      </c>
      <c r="C737" s="1">
        <v>4.68</v>
      </c>
      <c r="D737" s="14"/>
      <c r="E737" s="3">
        <f t="shared" si="21"/>
        <v>38376</v>
      </c>
      <c r="F737" s="10"/>
      <c r="G737" s="11"/>
      <c r="H737" s="6">
        <f t="shared" si="2"/>
        <v>749457.225</v>
      </c>
      <c r="I737" s="8"/>
      <c r="J737" s="8"/>
      <c r="K737" s="8"/>
      <c r="L737" s="8"/>
      <c r="M737" s="8"/>
      <c r="N737" s="1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9.5" customHeight="1">
      <c r="A738" s="9">
        <v>46056.0</v>
      </c>
      <c r="B738" s="2">
        <v>9000.0</v>
      </c>
      <c r="C738" s="1">
        <v>4.68</v>
      </c>
      <c r="D738" s="14"/>
      <c r="E738" s="3">
        <f t="shared" si="21"/>
        <v>42120</v>
      </c>
      <c r="F738" s="10"/>
      <c r="G738" s="11"/>
      <c r="H738" s="6">
        <f t="shared" si="2"/>
        <v>791577.225</v>
      </c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9.5" customHeight="1">
      <c r="A739" s="9">
        <v>46057.0</v>
      </c>
      <c r="B739" s="13"/>
      <c r="C739" s="8"/>
      <c r="D739" s="1"/>
      <c r="E739" s="3">
        <f t="shared" si="21"/>
        <v>0</v>
      </c>
      <c r="F739" s="4"/>
      <c r="G739" s="5">
        <v>150000.0</v>
      </c>
      <c r="H739" s="6">
        <f t="shared" si="2"/>
        <v>641577.225</v>
      </c>
      <c r="I739" s="1" t="s">
        <v>29</v>
      </c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9.5" customHeight="1">
      <c r="A740" s="9">
        <v>46058.0</v>
      </c>
      <c r="B740" s="2">
        <v>11000.0</v>
      </c>
      <c r="C740" s="1">
        <v>4.68</v>
      </c>
      <c r="D740" s="14"/>
      <c r="E740" s="3">
        <f t="shared" si="21"/>
        <v>51480</v>
      </c>
      <c r="F740" s="10"/>
      <c r="G740" s="11"/>
      <c r="H740" s="6">
        <f t="shared" si="2"/>
        <v>693057.225</v>
      </c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9.5" customHeight="1">
      <c r="A741" s="9">
        <v>46058.0</v>
      </c>
      <c r="B741" s="2">
        <v>13200.0</v>
      </c>
      <c r="C741" s="1">
        <v>4.68</v>
      </c>
      <c r="D741" s="14"/>
      <c r="E741" s="3">
        <f t="shared" si="21"/>
        <v>61776</v>
      </c>
      <c r="F741" s="10"/>
      <c r="G741" s="11"/>
      <c r="H741" s="6">
        <f t="shared" si="2"/>
        <v>754833.225</v>
      </c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9.5" customHeight="1">
      <c r="A742" s="9">
        <v>46059.0</v>
      </c>
      <c r="B742" s="13"/>
      <c r="C742" s="8"/>
      <c r="D742" s="1"/>
      <c r="E742" s="3">
        <f t="shared" si="21"/>
        <v>0</v>
      </c>
      <c r="F742" s="4"/>
      <c r="G742" s="5">
        <v>38000.0</v>
      </c>
      <c r="H742" s="6">
        <f t="shared" si="2"/>
        <v>716833.225</v>
      </c>
      <c r="I742" s="1" t="s">
        <v>11</v>
      </c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9.5" customHeight="1">
      <c r="A743" s="9">
        <v>46059.0</v>
      </c>
      <c r="B743" s="13"/>
      <c r="C743" s="8"/>
      <c r="D743" s="1"/>
      <c r="E743" s="3">
        <f t="shared" si="21"/>
        <v>0</v>
      </c>
      <c r="F743" s="4"/>
      <c r="G743" s="5">
        <v>34000.0</v>
      </c>
      <c r="H743" s="6">
        <f t="shared" si="2"/>
        <v>682833.225</v>
      </c>
      <c r="I743" s="1" t="s">
        <v>11</v>
      </c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9.5" customHeight="1">
      <c r="A744" s="9">
        <v>46059.0</v>
      </c>
      <c r="B744" s="2">
        <v>300.0</v>
      </c>
      <c r="C744" s="1">
        <v>4.68</v>
      </c>
      <c r="D744" s="14"/>
      <c r="E744" s="3">
        <f t="shared" si="21"/>
        <v>1404</v>
      </c>
      <c r="F744" s="10"/>
      <c r="G744" s="11"/>
      <c r="H744" s="6">
        <f t="shared" si="2"/>
        <v>684237.225</v>
      </c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9.5" customHeight="1">
      <c r="A745" s="9">
        <v>46061.0</v>
      </c>
      <c r="B745" s="2">
        <v>20700.0</v>
      </c>
      <c r="C745" s="1">
        <v>4.68</v>
      </c>
      <c r="D745" s="1">
        <v>95841.0</v>
      </c>
      <c r="E745" s="3">
        <f t="shared" si="21"/>
        <v>96876</v>
      </c>
      <c r="F745" s="4"/>
      <c r="G745" s="11"/>
      <c r="H745" s="6">
        <f t="shared" si="2"/>
        <v>781113.225</v>
      </c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9.5" customHeight="1">
      <c r="A746" s="9">
        <v>46061.0</v>
      </c>
      <c r="B746" s="2">
        <v>28300.0</v>
      </c>
      <c r="C746" s="1">
        <v>4.68</v>
      </c>
      <c r="D746" s="1">
        <v>131029.0</v>
      </c>
      <c r="E746" s="3">
        <f t="shared" si="21"/>
        <v>132444</v>
      </c>
      <c r="F746" s="4">
        <v>1415.0</v>
      </c>
      <c r="G746" s="11"/>
      <c r="H746" s="6">
        <f t="shared" si="2"/>
        <v>913557.225</v>
      </c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9.5" customHeight="1">
      <c r="A747" s="9">
        <v>46061.0</v>
      </c>
      <c r="B747" s="2">
        <v>10000.0</v>
      </c>
      <c r="C747" s="1">
        <v>4.68</v>
      </c>
      <c r="D747" s="1">
        <v>46300.0</v>
      </c>
      <c r="E747" s="3">
        <f t="shared" si="21"/>
        <v>46800</v>
      </c>
      <c r="F747" s="4">
        <v>500.0</v>
      </c>
      <c r="G747" s="11"/>
      <c r="H747" s="6">
        <f t="shared" si="2"/>
        <v>960357.225</v>
      </c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9.5" customHeight="1">
      <c r="A748" s="9">
        <v>46062.0</v>
      </c>
      <c r="B748" s="13"/>
      <c r="C748" s="8"/>
      <c r="D748" s="1"/>
      <c r="E748" s="3">
        <f t="shared" si="21"/>
        <v>0</v>
      </c>
      <c r="F748" s="4"/>
      <c r="G748" s="5">
        <v>100000.0</v>
      </c>
      <c r="H748" s="6">
        <f t="shared" si="2"/>
        <v>860357.225</v>
      </c>
      <c r="I748" s="1" t="s">
        <v>30</v>
      </c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9.5" customHeight="1">
      <c r="A749" s="9">
        <v>46062.0</v>
      </c>
      <c r="B749" s="2">
        <v>6800.0</v>
      </c>
      <c r="C749" s="1">
        <v>4.68</v>
      </c>
      <c r="D749" s="1">
        <v>31484.0</v>
      </c>
      <c r="E749" s="3">
        <f t="shared" si="21"/>
        <v>31824</v>
      </c>
      <c r="F749" s="4">
        <v>340.0</v>
      </c>
      <c r="G749" s="11"/>
      <c r="H749" s="6">
        <f t="shared" si="2"/>
        <v>892181.225</v>
      </c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9.5" customHeight="1">
      <c r="A750" s="9">
        <v>46062.0</v>
      </c>
      <c r="B750" s="2">
        <v>15500.0</v>
      </c>
      <c r="C750" s="1">
        <v>4.68</v>
      </c>
      <c r="D750" s="1">
        <v>74765.0</v>
      </c>
      <c r="E750" s="3">
        <f t="shared" si="21"/>
        <v>72540</v>
      </c>
      <c r="F750" s="4">
        <v>775.0</v>
      </c>
      <c r="G750" s="11"/>
      <c r="H750" s="6">
        <f t="shared" si="2"/>
        <v>964721.225</v>
      </c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9.5" customHeight="1">
      <c r="A751" s="9">
        <v>46063.0</v>
      </c>
      <c r="B751" s="2">
        <v>14500.0</v>
      </c>
      <c r="C751" s="1">
        <v>4.7</v>
      </c>
      <c r="D751" s="1">
        <v>67135.0</v>
      </c>
      <c r="E751" s="3">
        <f t="shared" si="21"/>
        <v>68150</v>
      </c>
      <c r="F751" s="4">
        <v>1015.0</v>
      </c>
      <c r="G751" s="11"/>
      <c r="H751" s="6">
        <f t="shared" si="2"/>
        <v>1032871.225</v>
      </c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9.5" customHeight="1">
      <c r="A752" s="9">
        <v>46063.0</v>
      </c>
      <c r="B752" s="13"/>
      <c r="C752" s="8"/>
      <c r="D752" s="1"/>
      <c r="E752" s="3">
        <f t="shared" si="21"/>
        <v>0</v>
      </c>
      <c r="F752" s="4"/>
      <c r="G752" s="5">
        <v>126250.0</v>
      </c>
      <c r="H752" s="6">
        <f t="shared" si="2"/>
        <v>906621.225</v>
      </c>
      <c r="I752" s="1" t="s">
        <v>11</v>
      </c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9.5" customHeight="1">
      <c r="A753" s="9">
        <v>46063.0</v>
      </c>
      <c r="B753" s="2">
        <v>2499.0</v>
      </c>
      <c r="C753" s="1">
        <v>4.7</v>
      </c>
      <c r="D753" s="1">
        <v>11571.0</v>
      </c>
      <c r="E753" s="3">
        <f t="shared" si="21"/>
        <v>11745.3</v>
      </c>
      <c r="F753" s="4">
        <v>175.0</v>
      </c>
      <c r="G753" s="11"/>
      <c r="H753" s="6">
        <f t="shared" si="2"/>
        <v>918366.525</v>
      </c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9.5" customHeight="1">
      <c r="A754" s="9">
        <v>46063.0</v>
      </c>
      <c r="B754" s="2">
        <v>39100.0</v>
      </c>
      <c r="C754" s="1">
        <v>4.7</v>
      </c>
      <c r="D754" s="1">
        <v>181033.0</v>
      </c>
      <c r="E754" s="3">
        <f t="shared" si="21"/>
        <v>183770</v>
      </c>
      <c r="F754" s="4">
        <v>2737.0</v>
      </c>
      <c r="G754" s="11"/>
      <c r="H754" s="6">
        <f t="shared" si="2"/>
        <v>1102136.525</v>
      </c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9.5" customHeight="1">
      <c r="A755" s="9">
        <v>46064.0</v>
      </c>
      <c r="B755" s="13"/>
      <c r="C755" s="8"/>
      <c r="D755" s="1"/>
      <c r="E755" s="3">
        <f t="shared" si="21"/>
        <v>0</v>
      </c>
      <c r="F755" s="4"/>
      <c r="G755" s="5">
        <v>64000.0</v>
      </c>
      <c r="H755" s="6">
        <f t="shared" si="2"/>
        <v>1038136.525</v>
      </c>
      <c r="I755" s="1" t="s">
        <v>28</v>
      </c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9.5" customHeight="1">
      <c r="A756" s="9">
        <v>46064.0</v>
      </c>
      <c r="B756" s="13"/>
      <c r="C756" s="8"/>
      <c r="D756" s="1"/>
      <c r="E756" s="3">
        <f t="shared" si="21"/>
        <v>0</v>
      </c>
      <c r="F756" s="4"/>
      <c r="G756" s="5">
        <v>183144.0</v>
      </c>
      <c r="H756" s="6">
        <f t="shared" si="2"/>
        <v>854992.525</v>
      </c>
      <c r="I756" s="1" t="s">
        <v>10</v>
      </c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9.5" customHeight="1">
      <c r="A757" s="9">
        <v>46064.0</v>
      </c>
      <c r="B757" s="13"/>
      <c r="C757" s="8"/>
      <c r="D757" s="1"/>
      <c r="E757" s="3">
        <f t="shared" si="21"/>
        <v>0</v>
      </c>
      <c r="F757" s="4"/>
      <c r="G757" s="5">
        <v>32000.0</v>
      </c>
      <c r="H757" s="6">
        <f t="shared" si="2"/>
        <v>822992.525</v>
      </c>
      <c r="I757" s="1" t="s">
        <v>11</v>
      </c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9.5" customHeight="1">
      <c r="A758" s="9">
        <v>46064.0</v>
      </c>
      <c r="B758" s="2">
        <v>40000.0</v>
      </c>
      <c r="C758" s="1">
        <v>4.7</v>
      </c>
      <c r="D758" s="1">
        <v>185200.0</v>
      </c>
      <c r="E758" s="3">
        <f t="shared" si="21"/>
        <v>188000</v>
      </c>
      <c r="F758" s="4">
        <v>2800.0</v>
      </c>
      <c r="G758" s="11"/>
      <c r="H758" s="6">
        <f t="shared" si="2"/>
        <v>1010992.525</v>
      </c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9.5" customHeight="1">
      <c r="A759" s="9">
        <v>46064.0</v>
      </c>
      <c r="B759" s="2">
        <v>15400.0</v>
      </c>
      <c r="C759" s="1">
        <v>4.7</v>
      </c>
      <c r="D759" s="1">
        <v>71302.0</v>
      </c>
      <c r="E759" s="3">
        <f t="shared" si="21"/>
        <v>72380</v>
      </c>
      <c r="F759" s="4">
        <v>1078.0</v>
      </c>
      <c r="G759" s="11"/>
      <c r="H759" s="6">
        <f t="shared" si="2"/>
        <v>1083372.525</v>
      </c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9.5" customHeight="1">
      <c r="A760" s="9">
        <v>46064.0</v>
      </c>
      <c r="B760" s="13"/>
      <c r="C760" s="8"/>
      <c r="D760" s="1"/>
      <c r="E760" s="3">
        <f t="shared" si="21"/>
        <v>0</v>
      </c>
      <c r="F760" s="10" t="str">
        <f t="shared" ref="F760:F761" si="22">IF(D760=0, "", (C760-D760)*B760)</f>
        <v/>
      </c>
      <c r="G760" s="5">
        <v>150000.0</v>
      </c>
      <c r="H760" s="6">
        <f t="shared" si="2"/>
        <v>933372.525</v>
      </c>
      <c r="I760" s="1" t="s">
        <v>29</v>
      </c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9.5" customHeight="1">
      <c r="A761" s="9">
        <v>46064.0</v>
      </c>
      <c r="B761" s="13"/>
      <c r="C761" s="8"/>
      <c r="D761" s="1"/>
      <c r="E761" s="3">
        <f t="shared" si="21"/>
        <v>0</v>
      </c>
      <c r="F761" s="10" t="str">
        <f t="shared" si="22"/>
        <v/>
      </c>
      <c r="G761" s="5">
        <v>150000.0</v>
      </c>
      <c r="H761" s="6">
        <f t="shared" si="2"/>
        <v>783372.525</v>
      </c>
      <c r="I761" s="1" t="s">
        <v>18</v>
      </c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9.5" customHeight="1">
      <c r="A762" s="9">
        <v>46065.0</v>
      </c>
      <c r="B762" s="2">
        <v>14900.0</v>
      </c>
      <c r="C762" s="1">
        <v>4.7</v>
      </c>
      <c r="D762" s="1">
        <v>68987.0</v>
      </c>
      <c r="E762" s="3">
        <f t="shared" si="21"/>
        <v>70030</v>
      </c>
      <c r="F762" s="4">
        <v>1043.0</v>
      </c>
      <c r="G762" s="11"/>
      <c r="H762" s="6">
        <f t="shared" si="2"/>
        <v>853402.525</v>
      </c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9.5" customHeight="1">
      <c r="A763" s="9">
        <v>46065.0</v>
      </c>
      <c r="B763" s="2">
        <v>8000.0</v>
      </c>
      <c r="C763" s="1">
        <v>4.7</v>
      </c>
      <c r="D763" s="1">
        <v>37040.0</v>
      </c>
      <c r="E763" s="3">
        <f t="shared" si="21"/>
        <v>37600</v>
      </c>
      <c r="F763" s="4">
        <v>560.0</v>
      </c>
      <c r="G763" s="11"/>
      <c r="H763" s="6">
        <f t="shared" si="2"/>
        <v>891002.525</v>
      </c>
      <c r="I763" s="8"/>
      <c r="J763" s="8"/>
      <c r="K763" s="8"/>
      <c r="L763" s="1" t="s">
        <v>31</v>
      </c>
      <c r="M763" s="1" t="s">
        <v>32</v>
      </c>
      <c r="N763" s="1" t="s">
        <v>33</v>
      </c>
      <c r="O763" s="1">
        <v>1836.0</v>
      </c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9.5" customHeight="1">
      <c r="A764" s="9">
        <v>46066.0</v>
      </c>
      <c r="B764" s="2"/>
      <c r="C764" s="1"/>
      <c r="D764" s="1"/>
      <c r="E764" s="3">
        <f t="shared" ref="E764:E778" si="23">IF(ISBLANK(A764), "",B764*C764)</f>
        <v>0</v>
      </c>
      <c r="F764" s="10"/>
      <c r="G764" s="5">
        <v>650000.0</v>
      </c>
      <c r="H764" s="6">
        <f t="shared" si="2"/>
        <v>241002.525</v>
      </c>
      <c r="I764" s="1" t="s">
        <v>17</v>
      </c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9.5" customHeight="1">
      <c r="A765" s="9">
        <v>46066.0</v>
      </c>
      <c r="B765" s="2">
        <v>3640.0</v>
      </c>
      <c r="C765" s="1">
        <v>4.7</v>
      </c>
      <c r="D765" s="1">
        <v>4.63</v>
      </c>
      <c r="E765" s="3">
        <f t="shared" si="23"/>
        <v>17108</v>
      </c>
      <c r="F765" s="4">
        <v>254.8</v>
      </c>
      <c r="G765" s="11"/>
      <c r="H765" s="6">
        <f t="shared" si="2"/>
        <v>258110.525</v>
      </c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9.5" customHeight="1">
      <c r="A766" s="9">
        <v>46066.0</v>
      </c>
      <c r="B766" s="2">
        <v>20800.0</v>
      </c>
      <c r="C766" s="1">
        <v>4.7</v>
      </c>
      <c r="D766" s="1">
        <v>4.63</v>
      </c>
      <c r="E766" s="3">
        <f t="shared" si="23"/>
        <v>97760</v>
      </c>
      <c r="F766" s="4">
        <v>1456.0</v>
      </c>
      <c r="G766" s="11"/>
      <c r="H766" s="6">
        <f t="shared" si="2"/>
        <v>355870.525</v>
      </c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9.5" customHeight="1">
      <c r="A767" s="9">
        <v>46066.0</v>
      </c>
      <c r="B767" s="2">
        <v>38600.0</v>
      </c>
      <c r="C767" s="1">
        <v>4.7</v>
      </c>
      <c r="D767" s="1">
        <v>4.63</v>
      </c>
      <c r="E767" s="3">
        <f t="shared" si="23"/>
        <v>181420</v>
      </c>
      <c r="F767" s="4">
        <v>2702.0</v>
      </c>
      <c r="G767" s="7"/>
      <c r="H767" s="6">
        <f t="shared" si="2"/>
        <v>537290.525</v>
      </c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9.5" customHeight="1">
      <c r="A768" s="16">
        <v>46068.0</v>
      </c>
      <c r="B768" s="2">
        <v>100.0</v>
      </c>
      <c r="C768" s="1">
        <v>4.7</v>
      </c>
      <c r="D768" s="1">
        <v>4.63</v>
      </c>
      <c r="E768" s="3">
        <f t="shared" si="23"/>
        <v>470</v>
      </c>
      <c r="F768" s="4">
        <v>7.0</v>
      </c>
      <c r="G768" s="11"/>
      <c r="H768" s="6">
        <f t="shared" si="2"/>
        <v>537760.525</v>
      </c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9.5" customHeight="1">
      <c r="A769" s="9">
        <v>46068.0</v>
      </c>
      <c r="B769" s="2">
        <v>13900.0</v>
      </c>
      <c r="C769" s="1">
        <v>4.7</v>
      </c>
      <c r="D769" s="1">
        <v>4.63</v>
      </c>
      <c r="E769" s="3">
        <f t="shared" si="23"/>
        <v>65330</v>
      </c>
      <c r="F769" s="4">
        <v>973.0</v>
      </c>
      <c r="G769" s="11"/>
      <c r="H769" s="6">
        <f t="shared" si="2"/>
        <v>603090.525</v>
      </c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9.5" customHeight="1">
      <c r="A770" s="9">
        <v>46069.0</v>
      </c>
      <c r="B770" s="2">
        <v>19500.0</v>
      </c>
      <c r="C770" s="1">
        <v>4.7</v>
      </c>
      <c r="D770" s="1">
        <v>4.64</v>
      </c>
      <c r="E770" s="3">
        <f t="shared" si="23"/>
        <v>91650</v>
      </c>
      <c r="F770" s="4">
        <v>1170.0</v>
      </c>
      <c r="G770" s="11"/>
      <c r="H770" s="6">
        <f t="shared" si="2"/>
        <v>694740.525</v>
      </c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9.5" customHeight="1">
      <c r="A771" s="9">
        <v>46069.0</v>
      </c>
      <c r="B771" s="13"/>
      <c r="C771" s="8"/>
      <c r="D771" s="14"/>
      <c r="E771" s="3">
        <f t="shared" si="23"/>
        <v>0</v>
      </c>
      <c r="F771" s="10"/>
      <c r="G771" s="5">
        <v>300000.0</v>
      </c>
      <c r="H771" s="6">
        <f t="shared" si="2"/>
        <v>394740.525</v>
      </c>
      <c r="I771" s="1" t="s">
        <v>17</v>
      </c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9.5" customHeight="1">
      <c r="A772" s="9">
        <v>46071.0</v>
      </c>
      <c r="B772" s="2">
        <v>11000.0</v>
      </c>
      <c r="C772" s="1">
        <v>4.7</v>
      </c>
      <c r="D772" s="1">
        <v>4.64</v>
      </c>
      <c r="E772" s="3">
        <f t="shared" si="23"/>
        <v>51700</v>
      </c>
      <c r="F772" s="4">
        <v>660.0</v>
      </c>
      <c r="G772" s="11"/>
      <c r="H772" s="6">
        <f t="shared" si="2"/>
        <v>446440.525</v>
      </c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9.5" customHeight="1">
      <c r="A773" s="9">
        <v>46071.0</v>
      </c>
      <c r="B773" s="2">
        <v>20300.0</v>
      </c>
      <c r="C773" s="1">
        <v>4.7</v>
      </c>
      <c r="D773" s="1">
        <v>4.64</v>
      </c>
      <c r="E773" s="3">
        <f t="shared" si="23"/>
        <v>95410</v>
      </c>
      <c r="F773" s="4">
        <v>1218.0</v>
      </c>
      <c r="G773" s="11"/>
      <c r="H773" s="6">
        <f t="shared" si="2"/>
        <v>541850.525</v>
      </c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9.5" customHeight="1">
      <c r="A774" s="9">
        <v>46071.0</v>
      </c>
      <c r="B774" s="2">
        <v>14600.0</v>
      </c>
      <c r="C774" s="1">
        <v>4.7</v>
      </c>
      <c r="D774" s="1">
        <v>4.64</v>
      </c>
      <c r="E774" s="3">
        <f t="shared" si="23"/>
        <v>68620</v>
      </c>
      <c r="F774" s="4">
        <v>876.0</v>
      </c>
      <c r="G774" s="11"/>
      <c r="H774" s="6">
        <f t="shared" si="2"/>
        <v>610470.525</v>
      </c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9.5" customHeight="1">
      <c r="A775" s="9">
        <v>46074.0</v>
      </c>
      <c r="B775" s="2">
        <v>60500.0</v>
      </c>
      <c r="C775" s="1">
        <v>4.7</v>
      </c>
      <c r="D775" s="1">
        <v>4.64</v>
      </c>
      <c r="E775" s="3">
        <f t="shared" si="23"/>
        <v>284350</v>
      </c>
      <c r="F775" s="4">
        <v>3630.0</v>
      </c>
      <c r="G775" s="11"/>
      <c r="H775" s="6">
        <f t="shared" si="2"/>
        <v>894820.525</v>
      </c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9.5" customHeight="1">
      <c r="A776" s="9">
        <v>46074.0</v>
      </c>
      <c r="B776" s="13"/>
      <c r="C776" s="8"/>
      <c r="D776" s="14"/>
      <c r="E776" s="3">
        <f t="shared" si="23"/>
        <v>0</v>
      </c>
      <c r="F776" s="10"/>
      <c r="G776" s="5">
        <v>22554.0</v>
      </c>
      <c r="H776" s="6">
        <f t="shared" si="2"/>
        <v>872266.525</v>
      </c>
      <c r="I776" s="1" t="s">
        <v>22</v>
      </c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9.5" customHeight="1">
      <c r="A777" s="9">
        <v>46074.0</v>
      </c>
      <c r="B777" s="13"/>
      <c r="C777" s="8"/>
      <c r="D777" s="14"/>
      <c r="E777" s="3">
        <f t="shared" si="23"/>
        <v>0</v>
      </c>
      <c r="F777" s="10"/>
      <c r="G777" s="5">
        <v>25000.0</v>
      </c>
      <c r="H777" s="6">
        <f t="shared" si="2"/>
        <v>847266.525</v>
      </c>
      <c r="I777" s="1" t="s">
        <v>22</v>
      </c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9.5" customHeight="1">
      <c r="A778" s="9">
        <v>46075.0</v>
      </c>
      <c r="B778" s="2">
        <v>10800.0</v>
      </c>
      <c r="C778" s="1">
        <v>4.7</v>
      </c>
      <c r="D778" s="1">
        <v>4.64</v>
      </c>
      <c r="E778" s="3">
        <f t="shared" si="23"/>
        <v>50760</v>
      </c>
      <c r="F778" s="4">
        <v>648.0</v>
      </c>
      <c r="G778" s="11"/>
      <c r="H778" s="6">
        <f t="shared" si="2"/>
        <v>898026.525</v>
      </c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9.5" customHeight="1">
      <c r="A779" s="16">
        <v>46076.0</v>
      </c>
      <c r="B779" s="2">
        <v>200.0</v>
      </c>
      <c r="C779" s="1">
        <v>4.7</v>
      </c>
      <c r="D779" s="1">
        <v>4.64</v>
      </c>
      <c r="E779" s="3">
        <v>940.0</v>
      </c>
      <c r="F779" s="4"/>
      <c r="G779" s="11"/>
      <c r="H779" s="6">
        <v>898967.0</v>
      </c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9.5" customHeight="1">
      <c r="A780" s="16">
        <v>46076.0</v>
      </c>
      <c r="B780" s="13"/>
      <c r="C780" s="8"/>
      <c r="D780" s="14"/>
      <c r="E780" s="3"/>
      <c r="F780" s="10"/>
      <c r="G780" s="5">
        <v>150000.0</v>
      </c>
      <c r="H780" s="6">
        <v>748967.0</v>
      </c>
      <c r="I780" s="1" t="s">
        <v>29</v>
      </c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9.5" customHeight="1">
      <c r="A781" s="9">
        <v>46076.0</v>
      </c>
      <c r="B781" s="13"/>
      <c r="C781" s="8"/>
      <c r="D781" s="14"/>
      <c r="E781" s="3"/>
      <c r="F781" s="10"/>
      <c r="G781" s="5">
        <v>100000.0</v>
      </c>
      <c r="H781" s="6">
        <v>648967.0</v>
      </c>
      <c r="I781" s="1" t="s">
        <v>18</v>
      </c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9.5" customHeight="1">
      <c r="A782" s="17" t="s">
        <v>34</v>
      </c>
      <c r="B782" s="2"/>
      <c r="C782" s="1"/>
      <c r="D782" s="1"/>
      <c r="E782" s="3"/>
      <c r="F782" s="10"/>
      <c r="G782" s="5">
        <v>200000.0</v>
      </c>
      <c r="H782" s="6">
        <v>448967.0</v>
      </c>
      <c r="I782" s="1" t="s">
        <v>30</v>
      </c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9.5" customHeight="1">
      <c r="A783" s="18">
        <v>46078.0</v>
      </c>
      <c r="B783" s="2">
        <v>300.0</v>
      </c>
      <c r="C783" s="1">
        <v>4.7</v>
      </c>
      <c r="D783" s="1">
        <v>4.64</v>
      </c>
      <c r="E783" s="3">
        <v>1410.0</v>
      </c>
      <c r="F783" s="4">
        <v>18.0</v>
      </c>
      <c r="G783" s="11"/>
      <c r="H783" s="6">
        <v>450377.0</v>
      </c>
      <c r="I783" s="8"/>
      <c r="J783" s="8"/>
      <c r="K783" s="8"/>
      <c r="L783" s="8"/>
      <c r="M783" s="19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9.5" customHeight="1">
      <c r="A784" s="17" t="s">
        <v>35</v>
      </c>
      <c r="B784" s="2">
        <v>7800.0</v>
      </c>
      <c r="C784" s="20">
        <v>4.7</v>
      </c>
      <c r="D784" s="1">
        <v>4.64</v>
      </c>
      <c r="E784" s="3">
        <v>36660.0</v>
      </c>
      <c r="F784" s="4">
        <v>468.00000000000387</v>
      </c>
      <c r="G784" s="11"/>
      <c r="H784" s="6">
        <v>487037.0</v>
      </c>
      <c r="I784" s="8"/>
      <c r="J784" s="8"/>
      <c r="K784" s="8"/>
      <c r="L784" s="8"/>
      <c r="M784" s="1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9.5" customHeight="1">
      <c r="A785" s="17" t="s">
        <v>35</v>
      </c>
      <c r="B785" s="2">
        <v>100.0</v>
      </c>
      <c r="C785" s="20">
        <v>4.7</v>
      </c>
      <c r="D785" s="1">
        <v>4.64</v>
      </c>
      <c r="E785" s="3">
        <v>470.0</v>
      </c>
      <c r="F785" s="4">
        <v>6.00000000000005</v>
      </c>
      <c r="G785" s="11"/>
      <c r="H785" s="6">
        <v>487507.0</v>
      </c>
      <c r="I785" s="8"/>
      <c r="J785" s="8"/>
      <c r="K785" s="8"/>
      <c r="L785" s="8"/>
      <c r="M785" s="1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9.5" customHeight="1">
      <c r="A786" s="17" t="s">
        <v>36</v>
      </c>
      <c r="B786" s="17">
        <v>2183.0</v>
      </c>
      <c r="C786" s="17">
        <v>4.7</v>
      </c>
      <c r="D786" s="17">
        <v>4.64</v>
      </c>
      <c r="E786" s="17">
        <v>10260.1</v>
      </c>
      <c r="F786" s="4">
        <v>130.9800000000011</v>
      </c>
      <c r="G786" s="21"/>
      <c r="H786" s="17">
        <v>497767.1</v>
      </c>
      <c r="I786" s="8"/>
      <c r="J786" s="8"/>
      <c r="K786" s="8"/>
      <c r="L786" s="8"/>
      <c r="M786" s="1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9.5" customHeight="1">
      <c r="A787" s="17" t="s">
        <v>37</v>
      </c>
      <c r="B787" s="2">
        <v>25000.0</v>
      </c>
      <c r="C787" s="20">
        <v>4.7</v>
      </c>
      <c r="D787" s="1">
        <v>4.64</v>
      </c>
      <c r="E787" s="3">
        <v>117500.0</v>
      </c>
      <c r="F787" s="4">
        <v>1500.0000000000125</v>
      </c>
      <c r="G787" s="11"/>
      <c r="H787" s="6">
        <v>615267.1</v>
      </c>
      <c r="I787" s="8"/>
      <c r="J787" s="8"/>
      <c r="K787" s="8"/>
      <c r="L787" s="8"/>
      <c r="M787" s="1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9.5" customHeight="1">
      <c r="A788" s="17" t="s">
        <v>37</v>
      </c>
      <c r="B788" s="13"/>
      <c r="C788" s="8"/>
      <c r="D788" s="14"/>
      <c r="E788" s="3"/>
      <c r="F788" s="10"/>
      <c r="G788" s="5">
        <v>400000.0</v>
      </c>
      <c r="H788" s="6">
        <v>215267.0</v>
      </c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9.5" customHeight="1">
      <c r="A789" s="17" t="s">
        <v>37</v>
      </c>
      <c r="B789" s="2">
        <v>6700.0</v>
      </c>
      <c r="C789" s="20">
        <v>4.7</v>
      </c>
      <c r="D789" s="1">
        <v>4.64</v>
      </c>
      <c r="E789" s="3">
        <v>31490.0</v>
      </c>
      <c r="F789" s="4">
        <v>402.00000000000335</v>
      </c>
      <c r="G789" s="5"/>
      <c r="H789" s="6">
        <v>246757.0</v>
      </c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9.5" customHeight="1">
      <c r="A790" s="17" t="s">
        <v>38</v>
      </c>
      <c r="B790" s="2">
        <v>7100.0</v>
      </c>
      <c r="C790" s="20">
        <v>4.7</v>
      </c>
      <c r="D790" s="1">
        <v>4.64</v>
      </c>
      <c r="E790" s="3">
        <v>33370.0</v>
      </c>
      <c r="F790" s="4">
        <v>426.0000000000035</v>
      </c>
      <c r="G790" s="11"/>
      <c r="H790" s="6">
        <v>280127.0</v>
      </c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9.5" customHeight="1">
      <c r="A791" s="17" t="s">
        <v>39</v>
      </c>
      <c r="B791" s="2">
        <v>44700.0</v>
      </c>
      <c r="C791" s="20">
        <v>4.7</v>
      </c>
      <c r="D791" s="1">
        <v>4.64</v>
      </c>
      <c r="E791" s="3">
        <v>210090.0</v>
      </c>
      <c r="F791" s="4">
        <v>2682.0000000000223</v>
      </c>
      <c r="G791" s="11"/>
      <c r="H791" s="6">
        <v>490217.0</v>
      </c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9.5" customHeight="1">
      <c r="A792" s="17" t="s">
        <v>39</v>
      </c>
      <c r="B792" s="13"/>
      <c r="C792" s="8"/>
      <c r="D792" s="14"/>
      <c r="E792" s="3"/>
      <c r="F792" s="10"/>
      <c r="G792" s="5">
        <v>100000.0</v>
      </c>
      <c r="H792" s="6">
        <v>390217.0</v>
      </c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9.5" customHeight="1">
      <c r="A793" s="17" t="s">
        <v>40</v>
      </c>
      <c r="B793" s="2">
        <v>29549.0</v>
      </c>
      <c r="C793" s="20">
        <v>4.7</v>
      </c>
      <c r="D793" s="1">
        <v>4.59</v>
      </c>
      <c r="E793" s="3">
        <v>138880.30000000002</v>
      </c>
      <c r="F793" s="4">
        <v>3250.3900000000094</v>
      </c>
      <c r="G793" s="11"/>
      <c r="H793" s="6">
        <v>529097.3</v>
      </c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9.5" customHeight="1">
      <c r="A794" s="17" t="s">
        <v>41</v>
      </c>
      <c r="B794" s="2">
        <v>45600.0</v>
      </c>
      <c r="C794" s="20">
        <v>4.7</v>
      </c>
      <c r="D794" s="1">
        <v>4.59</v>
      </c>
      <c r="E794" s="3">
        <v>214320.0</v>
      </c>
      <c r="F794" s="4">
        <v>5016.000000000015</v>
      </c>
      <c r="G794" s="11"/>
      <c r="H794" s="6">
        <v>743417.3</v>
      </c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9.5" customHeight="1">
      <c r="A795" s="17" t="s">
        <v>42</v>
      </c>
      <c r="B795" s="2">
        <v>7500.0</v>
      </c>
      <c r="C795" s="20">
        <v>4.7</v>
      </c>
      <c r="D795" s="1">
        <v>4.59</v>
      </c>
      <c r="E795" s="3">
        <v>35250.0</v>
      </c>
      <c r="F795" s="4">
        <v>825.0000000000024</v>
      </c>
      <c r="G795" s="11"/>
      <c r="H795" s="6">
        <v>778667.3</v>
      </c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9.5" customHeight="1">
      <c r="A796" s="17" t="s">
        <v>43</v>
      </c>
      <c r="B796" s="13"/>
      <c r="C796" s="8"/>
      <c r="D796" s="14"/>
      <c r="E796" s="3"/>
      <c r="F796" s="10"/>
      <c r="G796" s="5">
        <v>98800.0</v>
      </c>
      <c r="H796" s="6">
        <v>679867.3</v>
      </c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9.5" customHeight="1">
      <c r="A797" s="17" t="s">
        <v>43</v>
      </c>
      <c r="B797" s="2">
        <v>77030.0</v>
      </c>
      <c r="C797" s="20">
        <v>4.7</v>
      </c>
      <c r="D797" s="1">
        <v>4.59</v>
      </c>
      <c r="E797" s="3">
        <v>362041.0</v>
      </c>
      <c r="F797" s="4">
        <v>8473.300000000025</v>
      </c>
      <c r="G797" s="11"/>
      <c r="H797" s="6">
        <v>1041908.3</v>
      </c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9.5" customHeight="1">
      <c r="A798" s="17" t="s">
        <v>43</v>
      </c>
      <c r="B798" s="2">
        <v>100.0</v>
      </c>
      <c r="C798" s="20">
        <v>4.7</v>
      </c>
      <c r="D798" s="1">
        <v>4.67</v>
      </c>
      <c r="E798" s="3">
        <v>470.0</v>
      </c>
      <c r="F798" s="4">
        <v>3.000000000000025</v>
      </c>
      <c r="G798" s="11"/>
      <c r="H798" s="6">
        <v>1042378.3</v>
      </c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9.5" customHeight="1">
      <c r="A799" s="17" t="s">
        <v>43</v>
      </c>
      <c r="B799" s="13"/>
      <c r="C799" s="8"/>
      <c r="D799" s="14"/>
      <c r="E799" s="3"/>
      <c r="F799" s="10"/>
      <c r="G799" s="5">
        <v>450000.0</v>
      </c>
      <c r="H799" s="6">
        <v>592378.3</v>
      </c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9.5" customHeight="1">
      <c r="A800" s="17" t="s">
        <v>43</v>
      </c>
      <c r="B800" s="13"/>
      <c r="C800" s="8"/>
      <c r="D800" s="14"/>
      <c r="E800" s="3"/>
      <c r="F800" s="10"/>
      <c r="G800" s="5">
        <v>200000.0</v>
      </c>
      <c r="H800" s="6">
        <v>392378.30000000005</v>
      </c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9.5" customHeight="1">
      <c r="A801" s="17" t="s">
        <v>43</v>
      </c>
      <c r="B801" s="2">
        <v>19000.0</v>
      </c>
      <c r="C801" s="20">
        <v>4.72</v>
      </c>
      <c r="D801" s="1">
        <v>4.67</v>
      </c>
      <c r="E801" s="3">
        <v>89680.0</v>
      </c>
      <c r="F801" s="4">
        <v>949.9999999999966</v>
      </c>
      <c r="G801" s="11"/>
      <c r="H801" s="6">
        <v>482058.30000000005</v>
      </c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9.5" customHeight="1">
      <c r="A802" s="17" t="s">
        <v>43</v>
      </c>
      <c r="B802" s="2">
        <v>22600.0</v>
      </c>
      <c r="C802" s="20">
        <v>4.72</v>
      </c>
      <c r="D802" s="1">
        <v>4.67</v>
      </c>
      <c r="E802" s="3">
        <v>106672.0</v>
      </c>
      <c r="F802" s="4">
        <v>1129.999999999996</v>
      </c>
      <c r="G802" s="11"/>
      <c r="H802" s="6">
        <v>588730.3</v>
      </c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9.5" customHeight="1">
      <c r="A803" s="17" t="s">
        <v>43</v>
      </c>
      <c r="B803" s="2">
        <v>46680.0</v>
      </c>
      <c r="C803" s="20">
        <v>4.72</v>
      </c>
      <c r="D803" s="1">
        <v>4.67</v>
      </c>
      <c r="E803" s="3">
        <v>220329.59999999998</v>
      </c>
      <c r="F803" s="4">
        <v>2333.999999999992</v>
      </c>
      <c r="G803" s="11"/>
      <c r="H803" s="6">
        <v>809059.9</v>
      </c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9.5" customHeight="1">
      <c r="A804" s="17" t="s">
        <v>43</v>
      </c>
      <c r="B804" s="13"/>
      <c r="C804" s="8"/>
      <c r="D804" s="14"/>
      <c r="E804" s="3"/>
      <c r="F804" s="10"/>
      <c r="G804" s="5">
        <v>134364.0</v>
      </c>
      <c r="H804" s="6">
        <v>674695.9</v>
      </c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9.5" customHeight="1">
      <c r="A805" s="17" t="s">
        <v>43</v>
      </c>
      <c r="B805" s="2">
        <v>47400.0</v>
      </c>
      <c r="C805" s="20">
        <v>4.72</v>
      </c>
      <c r="D805" s="1">
        <v>4.67</v>
      </c>
      <c r="E805" s="3">
        <v>223728.0</v>
      </c>
      <c r="F805" s="4">
        <v>2369.9999999999914</v>
      </c>
      <c r="G805" s="11"/>
      <c r="H805" s="6">
        <v>898423.9</v>
      </c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9.5" customHeight="1">
      <c r="A806" s="17" t="s">
        <v>43</v>
      </c>
      <c r="B806" s="13"/>
      <c r="C806" s="8"/>
      <c r="D806" s="14"/>
      <c r="E806" s="3"/>
      <c r="F806" s="10"/>
      <c r="G806" s="5">
        <v>589800.0</v>
      </c>
      <c r="H806" s="6">
        <v>308623.9</v>
      </c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9.5" customHeight="1">
      <c r="A807" s="17" t="s">
        <v>43</v>
      </c>
      <c r="B807" s="2">
        <v>300.0</v>
      </c>
      <c r="C807" s="20">
        <v>4.72</v>
      </c>
      <c r="D807" s="1">
        <v>4.67</v>
      </c>
      <c r="E807" s="3">
        <v>1416.0</v>
      </c>
      <c r="F807" s="4">
        <v>14.999999999999947</v>
      </c>
      <c r="G807" s="11"/>
      <c r="H807" s="6">
        <v>310039.9</v>
      </c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9.5" customHeight="1">
      <c r="A808" s="17" t="s">
        <v>44</v>
      </c>
      <c r="B808" s="2">
        <v>71800.0</v>
      </c>
      <c r="C808" s="20">
        <v>4.72</v>
      </c>
      <c r="D808" s="1">
        <v>4.67</v>
      </c>
      <c r="E808" s="3">
        <v>338896.0</v>
      </c>
      <c r="F808" s="4">
        <v>3589.9999999999873</v>
      </c>
      <c r="G808" s="11"/>
      <c r="H808" s="6">
        <v>648935.9</v>
      </c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9.5" customHeight="1">
      <c r="A809" s="17" t="s">
        <v>44</v>
      </c>
      <c r="B809" s="13"/>
      <c r="C809" s="8"/>
      <c r="D809" s="14"/>
      <c r="E809" s="3"/>
      <c r="F809" s="10"/>
      <c r="G809" s="5">
        <v>400000.0</v>
      </c>
      <c r="H809" s="6">
        <v>248935.90000000002</v>
      </c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9.5" customHeight="1">
      <c r="A810" s="17" t="s">
        <v>45</v>
      </c>
      <c r="B810" s="2">
        <v>51100.0</v>
      </c>
      <c r="C810" s="20">
        <v>4.72</v>
      </c>
      <c r="D810" s="1">
        <v>4.67</v>
      </c>
      <c r="E810" s="3">
        <v>241192.0</v>
      </c>
      <c r="F810" s="4">
        <v>2554.999999999991</v>
      </c>
      <c r="G810" s="11"/>
      <c r="H810" s="6">
        <v>490127.9</v>
      </c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9.5" customHeight="1">
      <c r="A811" s="17" t="s">
        <v>45</v>
      </c>
      <c r="B811" s="13"/>
      <c r="C811" s="8"/>
      <c r="D811" s="14"/>
      <c r="E811" s="3"/>
      <c r="F811" s="10"/>
      <c r="G811" s="5">
        <v>150000.0</v>
      </c>
      <c r="H811" s="6">
        <v>340127.9</v>
      </c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9.5" customHeight="1">
      <c r="A812" s="17" t="s">
        <v>45</v>
      </c>
      <c r="B812" s="2">
        <v>51490.0</v>
      </c>
      <c r="C812" s="20">
        <v>4.72</v>
      </c>
      <c r="D812" s="1">
        <v>4.67</v>
      </c>
      <c r="E812" s="3">
        <v>243032.8</v>
      </c>
      <c r="F812" s="4">
        <v>2574.499999999991</v>
      </c>
      <c r="G812" s="11"/>
      <c r="H812" s="6">
        <v>583160.7</v>
      </c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9.5" customHeight="1">
      <c r="A813" s="17" t="s">
        <v>46</v>
      </c>
      <c r="B813" s="2">
        <v>14700.0</v>
      </c>
      <c r="C813" s="20">
        <v>4.72</v>
      </c>
      <c r="D813" s="1">
        <v>4.65</v>
      </c>
      <c r="E813" s="3">
        <v>69384.0</v>
      </c>
      <c r="F813" s="4">
        <v>1028.9999999999911</v>
      </c>
      <c r="G813" s="11"/>
      <c r="H813" s="6">
        <v>652544.7</v>
      </c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9.5" customHeight="1">
      <c r="A814" s="17" t="s">
        <v>47</v>
      </c>
      <c r="B814" s="2">
        <v>18900.0</v>
      </c>
      <c r="C814" s="20">
        <v>4.72</v>
      </c>
      <c r="D814" s="1">
        <v>4.65</v>
      </c>
      <c r="E814" s="3">
        <v>89208.0</v>
      </c>
      <c r="F814" s="4">
        <v>1322.9999999999886</v>
      </c>
      <c r="G814" s="11"/>
      <c r="H814" s="6">
        <v>741752.7</v>
      </c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9.5" customHeight="1">
      <c r="A815" s="17" t="s">
        <v>48</v>
      </c>
      <c r="B815" s="13"/>
      <c r="C815" s="8"/>
      <c r="D815" s="14"/>
      <c r="E815" s="3"/>
      <c r="F815" s="10"/>
      <c r="G815" s="5">
        <v>150000.0</v>
      </c>
      <c r="H815" s="6">
        <v>591752.7</v>
      </c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9.5" customHeight="1">
      <c r="A816" s="17" t="s">
        <v>49</v>
      </c>
      <c r="B816" s="2">
        <v>45400.0</v>
      </c>
      <c r="C816" s="20">
        <v>4.72</v>
      </c>
      <c r="D816" s="1">
        <v>4.65</v>
      </c>
      <c r="E816" s="3">
        <v>214288.0</v>
      </c>
      <c r="F816" s="4">
        <v>3177.9999999999727</v>
      </c>
      <c r="G816" s="11"/>
      <c r="H816" s="6">
        <v>806040.7</v>
      </c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9.5" customHeight="1">
      <c r="A817" s="17" t="s">
        <v>49</v>
      </c>
      <c r="B817" s="13"/>
      <c r="C817" s="8"/>
      <c r="D817" s="14"/>
      <c r="E817" s="3"/>
      <c r="F817" s="10"/>
      <c r="G817" s="5">
        <v>150000.0</v>
      </c>
      <c r="H817" s="6">
        <v>656040.7</v>
      </c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9.5" customHeight="1">
      <c r="A818" s="17" t="s">
        <v>49</v>
      </c>
      <c r="B818" s="2">
        <v>3000.0</v>
      </c>
      <c r="C818" s="20">
        <v>4.72</v>
      </c>
      <c r="D818" s="1">
        <v>4.65</v>
      </c>
      <c r="E818" s="3">
        <v>14160.0</v>
      </c>
      <c r="F818" s="4">
        <v>209.99999999999818</v>
      </c>
      <c r="G818" s="11"/>
      <c r="H818" s="6">
        <v>670200.7</v>
      </c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9.5" customHeight="1">
      <c r="A819" s="17" t="s">
        <v>49</v>
      </c>
      <c r="B819" s="13"/>
      <c r="C819" s="8"/>
      <c r="D819" s="14"/>
      <c r="E819" s="3"/>
      <c r="F819" s="10"/>
      <c r="G819" s="5">
        <v>250000.0</v>
      </c>
      <c r="H819" s="6">
        <v>420200.69999999995</v>
      </c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9.5" customHeight="1">
      <c r="A820" s="17" t="s">
        <v>50</v>
      </c>
      <c r="B820" s="13"/>
      <c r="C820" s="8"/>
      <c r="D820" s="14"/>
      <c r="E820" s="3"/>
      <c r="F820" s="10"/>
      <c r="G820" s="5">
        <v>173000.0</v>
      </c>
      <c r="H820" s="6">
        <v>247200.69999999995</v>
      </c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9.5" customHeight="1">
      <c r="A821" s="17" t="s">
        <v>50</v>
      </c>
      <c r="B821" s="2">
        <v>2088.0</v>
      </c>
      <c r="C821" s="20">
        <v>4.72</v>
      </c>
      <c r="D821" s="1">
        <v>4.65</v>
      </c>
      <c r="E821" s="3">
        <v>9855.359999999999</v>
      </c>
      <c r="F821" s="4">
        <v>146.15999999999875</v>
      </c>
      <c r="G821" s="11"/>
      <c r="H821" s="6">
        <v>257056.05999999994</v>
      </c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9.5" customHeight="1">
      <c r="A822" s="17" t="s">
        <v>50</v>
      </c>
      <c r="B822" s="13"/>
      <c r="C822" s="8"/>
      <c r="D822" s="14"/>
      <c r="E822" s="3"/>
      <c r="F822" s="10"/>
      <c r="G822" s="5">
        <v>100000.0</v>
      </c>
      <c r="H822" s="6">
        <v>157056.05999999994</v>
      </c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9.5" customHeight="1">
      <c r="A823" s="17" t="s">
        <v>50</v>
      </c>
      <c r="B823" s="2">
        <v>39300.0</v>
      </c>
      <c r="C823" s="20">
        <v>4.74</v>
      </c>
      <c r="D823" s="1">
        <v>4.65</v>
      </c>
      <c r="E823" s="3">
        <v>186282.0</v>
      </c>
      <c r="F823" s="4">
        <v>3536.9999999999945</v>
      </c>
      <c r="G823" s="11"/>
      <c r="H823" s="6">
        <v>343338.05999999994</v>
      </c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9.5" customHeight="1">
      <c r="A824" s="17" t="s">
        <v>51</v>
      </c>
      <c r="B824" s="2">
        <v>70800.0</v>
      </c>
      <c r="C824" s="20">
        <v>4.74</v>
      </c>
      <c r="D824" s="1">
        <v>4.68</v>
      </c>
      <c r="E824" s="3">
        <v>335592.0</v>
      </c>
      <c r="F824" s="4">
        <v>4248.0000000000355</v>
      </c>
      <c r="G824" s="11"/>
      <c r="H824" s="6">
        <v>678930.0599999999</v>
      </c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9.5" customHeight="1">
      <c r="A825" s="17" t="s">
        <v>52</v>
      </c>
      <c r="B825" s="2">
        <v>100.0</v>
      </c>
      <c r="C825" s="20">
        <v>4.72</v>
      </c>
      <c r="D825" s="1">
        <v>4.68</v>
      </c>
      <c r="E825" s="3">
        <v>472.0</v>
      </c>
      <c r="F825" s="4">
        <v>4.0000000000000036</v>
      </c>
      <c r="G825" s="11"/>
      <c r="H825" s="6">
        <v>679402.0599999999</v>
      </c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9.5" customHeight="1">
      <c r="A826" s="17" t="s">
        <v>53</v>
      </c>
      <c r="B826" s="2">
        <v>30300.0</v>
      </c>
      <c r="C826" s="20">
        <v>4.72</v>
      </c>
      <c r="D826" s="1">
        <v>4.68</v>
      </c>
      <c r="E826" s="3">
        <v>143016.0</v>
      </c>
      <c r="F826" s="4">
        <v>1212.0000000000011</v>
      </c>
      <c r="G826" s="11"/>
      <c r="H826" s="6">
        <v>822418.0599999999</v>
      </c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9.5" customHeight="1">
      <c r="A827" s="17" t="s">
        <v>53</v>
      </c>
      <c r="B827" s="2">
        <v>500.0</v>
      </c>
      <c r="C827" s="20">
        <v>4.72</v>
      </c>
      <c r="D827" s="1">
        <v>4.67</v>
      </c>
      <c r="E827" s="3">
        <v>2360.0</v>
      </c>
      <c r="F827" s="4">
        <v>24.99999999999991</v>
      </c>
      <c r="G827" s="11"/>
      <c r="H827" s="6">
        <v>824778.0599999999</v>
      </c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9.5" customHeight="1">
      <c r="A828" s="17" t="s">
        <v>53</v>
      </c>
      <c r="B828" s="13"/>
      <c r="C828" s="8"/>
      <c r="D828" s="14"/>
      <c r="E828" s="3"/>
      <c r="F828" s="10"/>
      <c r="G828" s="5">
        <v>82000.0</v>
      </c>
      <c r="H828" s="6">
        <v>742778.0599999999</v>
      </c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9.5" customHeight="1">
      <c r="A829" s="17" t="s">
        <v>54</v>
      </c>
      <c r="B829" s="2">
        <v>13800.0</v>
      </c>
      <c r="C829" s="20">
        <v>4.72</v>
      </c>
      <c r="D829" s="1">
        <v>4.67</v>
      </c>
      <c r="E829" s="3">
        <v>65136.0</v>
      </c>
      <c r="F829" s="4">
        <v>689.9999999999975</v>
      </c>
      <c r="G829" s="11"/>
      <c r="H829" s="6">
        <v>807914.0599999999</v>
      </c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9.5" customHeight="1">
      <c r="A830" s="17" t="s">
        <v>54</v>
      </c>
      <c r="B830" s="13"/>
      <c r="C830" s="8"/>
      <c r="D830" s="14"/>
      <c r="E830" s="3"/>
      <c r="F830" s="10"/>
      <c r="G830" s="5">
        <v>200000.0</v>
      </c>
      <c r="H830" s="6">
        <v>607914.0599999999</v>
      </c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9.5" customHeight="1">
      <c r="A831" s="17" t="s">
        <v>54</v>
      </c>
      <c r="B831" s="2">
        <v>58400.0</v>
      </c>
      <c r="C831" s="20">
        <v>4.71</v>
      </c>
      <c r="D831" s="1">
        <v>4.66</v>
      </c>
      <c r="E831" s="3">
        <v>275064.0</v>
      </c>
      <c r="F831" s="4">
        <v>2919.9999999999895</v>
      </c>
      <c r="G831" s="11"/>
      <c r="H831" s="6">
        <v>882978.0599999999</v>
      </c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9.5" customHeight="1">
      <c r="A832" s="17" t="s">
        <v>54</v>
      </c>
      <c r="B832" s="13"/>
      <c r="C832" s="8"/>
      <c r="D832" s="14"/>
      <c r="E832" s="3"/>
      <c r="F832" s="10"/>
      <c r="G832" s="5">
        <v>300000.0</v>
      </c>
      <c r="H832" s="6">
        <v>582978.0599999999</v>
      </c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9.5" customHeight="1">
      <c r="A833" s="17" t="s">
        <v>55</v>
      </c>
      <c r="B833" s="2">
        <v>41851.0</v>
      </c>
      <c r="C833" s="20">
        <v>4.71</v>
      </c>
      <c r="D833" s="1">
        <v>4.66</v>
      </c>
      <c r="E833" s="3">
        <v>197118.21</v>
      </c>
      <c r="F833" s="4">
        <v>2092.5499999999925</v>
      </c>
      <c r="G833" s="11"/>
      <c r="H833" s="6">
        <v>780096.2699999999</v>
      </c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9.5" customHeight="1">
      <c r="A834" s="17" t="s">
        <v>56</v>
      </c>
      <c r="B834" s="13"/>
      <c r="C834" s="8"/>
      <c r="D834" s="14"/>
      <c r="E834" s="3"/>
      <c r="F834" s="10"/>
      <c r="G834" s="5">
        <v>150000.0</v>
      </c>
      <c r="H834" s="6">
        <v>630096.2699999999</v>
      </c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9.5" customHeight="1">
      <c r="A835" s="17" t="s">
        <v>57</v>
      </c>
      <c r="B835" s="2">
        <v>36100.0</v>
      </c>
      <c r="C835" s="20">
        <v>4.71</v>
      </c>
      <c r="D835" s="1">
        <v>4.66</v>
      </c>
      <c r="E835" s="3">
        <v>170031.0</v>
      </c>
      <c r="F835" s="4">
        <v>1804.9999999999936</v>
      </c>
      <c r="G835" s="11"/>
      <c r="H835" s="6">
        <v>800127.2699999999</v>
      </c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9.5" customHeight="1">
      <c r="A836" s="17" t="s">
        <v>57</v>
      </c>
      <c r="B836" s="13"/>
      <c r="C836" s="8"/>
      <c r="D836" s="14"/>
      <c r="E836" s="3"/>
      <c r="F836" s="10"/>
      <c r="G836" s="5">
        <v>150000.0</v>
      </c>
      <c r="H836" s="6">
        <v>650127.2699999999</v>
      </c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9.5" customHeight="1">
      <c r="A837" s="17" t="s">
        <v>58</v>
      </c>
      <c r="B837" s="2">
        <v>15600.0</v>
      </c>
      <c r="C837" s="20">
        <v>4.71</v>
      </c>
      <c r="D837" s="1">
        <v>4.66</v>
      </c>
      <c r="E837" s="3">
        <v>73476.0</v>
      </c>
      <c r="F837" s="4">
        <v>779.9999999999973</v>
      </c>
      <c r="G837" s="11"/>
      <c r="H837" s="6">
        <v>723603.2699999999</v>
      </c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9.5" customHeight="1">
      <c r="A838" s="17" t="s">
        <v>58</v>
      </c>
      <c r="B838" s="2">
        <v>1000.0</v>
      </c>
      <c r="C838" s="20">
        <v>4.73</v>
      </c>
      <c r="D838" s="1">
        <v>4.67</v>
      </c>
      <c r="E838" s="3">
        <v>4730.0</v>
      </c>
      <c r="F838" s="4">
        <v>60.0000000000005</v>
      </c>
      <c r="G838" s="11"/>
      <c r="H838" s="6">
        <v>728333.2699999999</v>
      </c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9.5" customHeight="1">
      <c r="A839" s="17" t="s">
        <v>59</v>
      </c>
      <c r="B839" s="13"/>
      <c r="C839" s="8"/>
      <c r="D839" s="14"/>
      <c r="E839" s="3"/>
      <c r="F839" s="10"/>
      <c r="G839" s="5">
        <v>110000.0</v>
      </c>
      <c r="H839" s="6">
        <v>618333.2699999999</v>
      </c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9.5" customHeight="1">
      <c r="A840" s="17" t="s">
        <v>59</v>
      </c>
      <c r="B840" s="2">
        <v>65700.0</v>
      </c>
      <c r="C840" s="20">
        <v>4.73</v>
      </c>
      <c r="D840" s="1">
        <v>4.68</v>
      </c>
      <c r="E840" s="3">
        <v>310761.0</v>
      </c>
      <c r="F840" s="4">
        <v>3285.000000000047</v>
      </c>
      <c r="G840" s="11"/>
      <c r="H840" s="6">
        <v>929094.2699999999</v>
      </c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9.5" customHeight="1">
      <c r="A841" s="17" t="s">
        <v>59</v>
      </c>
      <c r="B841" s="13"/>
      <c r="C841" s="8"/>
      <c r="D841" s="14"/>
      <c r="E841" s="3"/>
      <c r="F841" s="10"/>
      <c r="G841" s="5">
        <v>395000.0</v>
      </c>
      <c r="H841" s="6">
        <v>534094.2699999999</v>
      </c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9.5" customHeight="1">
      <c r="A842" s="17" t="s">
        <v>59</v>
      </c>
      <c r="B842" s="2">
        <v>34750.0</v>
      </c>
      <c r="C842" s="20">
        <v>4.73</v>
      </c>
      <c r="D842" s="1">
        <v>4.68</v>
      </c>
      <c r="E842" s="3">
        <v>164367.50000000003</v>
      </c>
      <c r="F842" s="4">
        <v>1737.5000000000248</v>
      </c>
      <c r="G842" s="11"/>
      <c r="H842" s="6">
        <v>698461.7699999999</v>
      </c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9.5" customHeight="1">
      <c r="A843" s="17" t="s">
        <v>59</v>
      </c>
      <c r="B843" s="13"/>
      <c r="C843" s="8"/>
      <c r="D843" s="14"/>
      <c r="E843" s="3"/>
      <c r="F843" s="10"/>
      <c r="G843" s="5">
        <v>76000.0</v>
      </c>
      <c r="H843" s="6">
        <v>622461.7699999999</v>
      </c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9.5" customHeight="1">
      <c r="A844" s="17" t="s">
        <v>59</v>
      </c>
      <c r="B844" s="13"/>
      <c r="C844" s="8"/>
      <c r="D844" s="14"/>
      <c r="E844" s="3"/>
      <c r="F844" s="10"/>
      <c r="G844" s="5">
        <v>65000.0</v>
      </c>
      <c r="H844" s="6">
        <v>557461.7699999999</v>
      </c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9.5" customHeight="1">
      <c r="A845" s="17" t="s">
        <v>59</v>
      </c>
      <c r="B845" s="2">
        <v>27800.0</v>
      </c>
      <c r="C845" s="20">
        <v>4.73</v>
      </c>
      <c r="D845" s="1">
        <v>4.68</v>
      </c>
      <c r="E845" s="3">
        <v>131494.0</v>
      </c>
      <c r="F845" s="4">
        <v>1390.0000000000198</v>
      </c>
      <c r="G845" s="11"/>
      <c r="H845" s="6">
        <v>688955.7699999999</v>
      </c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9.5" customHeight="1">
      <c r="A846" s="17" t="s">
        <v>60</v>
      </c>
      <c r="B846" s="2">
        <v>22800.0</v>
      </c>
      <c r="C846" s="20">
        <v>4.73</v>
      </c>
      <c r="D846" s="1">
        <v>4.68</v>
      </c>
      <c r="E846" s="3">
        <v>107844.00000000001</v>
      </c>
      <c r="F846" s="4">
        <v>1140.0000000000161</v>
      </c>
      <c r="G846" s="11"/>
      <c r="H846" s="6">
        <v>796799.7699999999</v>
      </c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9.5" customHeight="1">
      <c r="A847" s="17" t="s">
        <v>60</v>
      </c>
      <c r="B847" s="13"/>
      <c r="C847" s="8"/>
      <c r="D847" s="14"/>
      <c r="E847" s="3"/>
      <c r="F847" s="10"/>
      <c r="G847" s="5">
        <v>150000.0</v>
      </c>
      <c r="H847" s="6">
        <v>646799.7699999999</v>
      </c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9.5" customHeight="1">
      <c r="A848" s="17" t="s">
        <v>61</v>
      </c>
      <c r="B848" s="2">
        <v>10500.0</v>
      </c>
      <c r="C848" s="20">
        <v>4.73</v>
      </c>
      <c r="D848" s="1">
        <v>4.68</v>
      </c>
      <c r="E848" s="3">
        <v>49665.00000000001</v>
      </c>
      <c r="F848" s="4">
        <v>525.0000000000075</v>
      </c>
      <c r="G848" s="11"/>
      <c r="H848" s="6">
        <v>696464.7699999999</v>
      </c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9.5" customHeight="1">
      <c r="A849" s="17" t="s">
        <v>61</v>
      </c>
      <c r="B849" s="13"/>
      <c r="C849" s="8"/>
      <c r="D849" s="14"/>
      <c r="E849" s="3"/>
      <c r="F849" s="10"/>
      <c r="G849" s="5">
        <v>130000.0</v>
      </c>
      <c r="H849" s="6">
        <v>566464.7699999999</v>
      </c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9.5" customHeight="1">
      <c r="A850" s="17" t="s">
        <v>61</v>
      </c>
      <c r="B850" s="2">
        <v>28800.0</v>
      </c>
      <c r="C850" s="20">
        <v>4.73</v>
      </c>
      <c r="D850" s="1">
        <v>4.68</v>
      </c>
      <c r="E850" s="3">
        <v>136224.0</v>
      </c>
      <c r="F850" s="4">
        <v>1440.0000000000205</v>
      </c>
      <c r="G850" s="11"/>
      <c r="H850" s="6">
        <v>702688.7699999999</v>
      </c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9.5" customHeight="1">
      <c r="A851" s="17" t="s">
        <v>61</v>
      </c>
      <c r="B851" s="13"/>
      <c r="C851" s="8"/>
      <c r="D851" s="14"/>
      <c r="E851" s="3"/>
      <c r="F851" s="10"/>
      <c r="G851" s="5">
        <v>400000.0</v>
      </c>
      <c r="H851" s="6">
        <v>302688.7699999999</v>
      </c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9.5" customHeight="1">
      <c r="A852" s="17" t="s">
        <v>61</v>
      </c>
      <c r="B852" s="2">
        <v>49200.0</v>
      </c>
      <c r="C852" s="20">
        <v>4.73</v>
      </c>
      <c r="D852" s="1">
        <v>4.68</v>
      </c>
      <c r="E852" s="3">
        <v>232716.00000000003</v>
      </c>
      <c r="F852" s="4">
        <v>2460.000000000035</v>
      </c>
      <c r="G852" s="11"/>
      <c r="H852" s="6">
        <v>535404.7699999999</v>
      </c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9.5" customHeight="1">
      <c r="A853" s="17" t="s">
        <v>62</v>
      </c>
      <c r="B853" s="13"/>
      <c r="C853" s="8"/>
      <c r="D853" s="14"/>
      <c r="E853" s="3"/>
      <c r="F853" s="10"/>
      <c r="G853" s="5">
        <v>30300.0</v>
      </c>
      <c r="H853" s="6">
        <v>505104.7699999999</v>
      </c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9.5" customHeight="1">
      <c r="A854" s="17" t="s">
        <v>63</v>
      </c>
      <c r="B854" s="2">
        <v>45000.0</v>
      </c>
      <c r="C854" s="20">
        <v>4.73</v>
      </c>
      <c r="D854" s="1">
        <v>4.68</v>
      </c>
      <c r="E854" s="3">
        <v>212850.00000000003</v>
      </c>
      <c r="F854" s="4">
        <v>2250.000000000032</v>
      </c>
      <c r="G854" s="11"/>
      <c r="H854" s="6">
        <v>717954.7699999999</v>
      </c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9.5" customHeight="1">
      <c r="A855" s="17" t="s">
        <v>64</v>
      </c>
      <c r="B855" s="13"/>
      <c r="C855" s="8"/>
      <c r="D855" s="14"/>
      <c r="E855" s="3"/>
      <c r="F855" s="10"/>
      <c r="G855" s="5">
        <v>0.0</v>
      </c>
      <c r="H855" s="6">
        <v>717954.7699999999</v>
      </c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9.5" customHeight="1">
      <c r="A856" s="17" t="s">
        <v>64</v>
      </c>
      <c r="B856" s="13"/>
      <c r="C856" s="8"/>
      <c r="D856" s="14"/>
      <c r="E856" s="3"/>
      <c r="F856" s="10"/>
      <c r="G856" s="5">
        <v>64800.0</v>
      </c>
      <c r="H856" s="6">
        <v>653154.7699999999</v>
      </c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9.5" customHeight="1">
      <c r="A857" s="17" t="s">
        <v>65</v>
      </c>
      <c r="B857" s="2">
        <v>10000.0</v>
      </c>
      <c r="C857" s="20">
        <v>4.73</v>
      </c>
      <c r="D857" s="1">
        <v>4.68</v>
      </c>
      <c r="E857" s="3">
        <v>47300.00000000001</v>
      </c>
      <c r="F857" s="4">
        <v>500.0000000000071</v>
      </c>
      <c r="G857" s="11"/>
      <c r="H857" s="6">
        <v>700454.7699999999</v>
      </c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9.5" customHeight="1">
      <c r="A858" s="17" t="s">
        <v>66</v>
      </c>
      <c r="B858" s="13"/>
      <c r="C858" s="8"/>
      <c r="D858" s="14"/>
      <c r="E858" s="3"/>
      <c r="F858" s="10"/>
      <c r="G858" s="5">
        <v>100000.0</v>
      </c>
      <c r="H858" s="6">
        <v>600454.7699999999</v>
      </c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9.5" customHeight="1">
      <c r="A859" s="17" t="s">
        <v>66</v>
      </c>
      <c r="B859" s="2">
        <v>53000.0</v>
      </c>
      <c r="C859" s="20">
        <v>4.73</v>
      </c>
      <c r="D859" s="1">
        <v>4.68</v>
      </c>
      <c r="E859" s="3">
        <v>250690.00000000003</v>
      </c>
      <c r="F859" s="4">
        <v>2650.0</v>
      </c>
      <c r="G859" s="11"/>
      <c r="H859" s="6">
        <v>851144.7699999999</v>
      </c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9.5" customHeight="1">
      <c r="A860" s="17" t="s">
        <v>67</v>
      </c>
      <c r="B860" s="13"/>
      <c r="C860" s="8"/>
      <c r="D860" s="14"/>
      <c r="E860" s="3"/>
      <c r="F860" s="10"/>
      <c r="G860" s="5">
        <v>549000.0</v>
      </c>
      <c r="H860" s="6">
        <v>302144.7699999999</v>
      </c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9.5" customHeight="1">
      <c r="A861" s="17" t="s">
        <v>67</v>
      </c>
      <c r="B861" s="2">
        <v>37800.0</v>
      </c>
      <c r="C861" s="20">
        <v>4.73</v>
      </c>
      <c r="D861" s="1">
        <v>4.67</v>
      </c>
      <c r="E861" s="3">
        <v>178794.00000000003</v>
      </c>
      <c r="F861" s="4">
        <v>2268.0000000000186</v>
      </c>
      <c r="G861" s="11"/>
      <c r="H861" s="6">
        <v>480938.7699999999</v>
      </c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9.5" customHeight="1">
      <c r="A862" s="17" t="s">
        <v>67</v>
      </c>
      <c r="B862" s="13"/>
      <c r="C862" s="8"/>
      <c r="D862" s="14"/>
      <c r="E862" s="3"/>
      <c r="F862" s="10"/>
      <c r="G862" s="5">
        <v>100000.0</v>
      </c>
      <c r="H862" s="6">
        <v>380938.7699999999</v>
      </c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9.5" customHeight="1">
      <c r="A863" s="17" t="s">
        <v>67</v>
      </c>
      <c r="B863" s="13"/>
      <c r="C863" s="8"/>
      <c r="D863" s="14"/>
      <c r="E863" s="3"/>
      <c r="F863" s="10"/>
      <c r="G863" s="5">
        <v>47554.0</v>
      </c>
      <c r="H863" s="6">
        <v>333384.7699999999</v>
      </c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9.5" customHeight="1">
      <c r="A864" s="17" t="s">
        <v>67</v>
      </c>
      <c r="B864" s="13"/>
      <c r="C864" s="8"/>
      <c r="D864" s="14"/>
      <c r="E864" s="3"/>
      <c r="F864" s="10"/>
      <c r="G864" s="5">
        <v>72800.0</v>
      </c>
      <c r="H864" s="6">
        <v>260584.7699999999</v>
      </c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9.5" customHeight="1">
      <c r="A865" s="17" t="s">
        <v>67</v>
      </c>
      <c r="B865" s="2">
        <v>67500.0</v>
      </c>
      <c r="C865" s="20">
        <v>4.73</v>
      </c>
      <c r="D865" s="1">
        <v>4.67</v>
      </c>
      <c r="E865" s="3">
        <v>319275.0</v>
      </c>
      <c r="F865" s="4">
        <v>4050.0000000000337</v>
      </c>
      <c r="G865" s="11"/>
      <c r="H865" s="6">
        <v>579859.7699999999</v>
      </c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9.5" customHeight="1">
      <c r="A866" s="17" t="s">
        <v>67</v>
      </c>
      <c r="B866" s="2">
        <v>500.0</v>
      </c>
      <c r="C866" s="20">
        <v>4.73</v>
      </c>
      <c r="D866" s="1">
        <v>4.67</v>
      </c>
      <c r="E866" s="3">
        <v>2365.0</v>
      </c>
      <c r="F866" s="4">
        <v>30.00000000000025</v>
      </c>
      <c r="G866" s="11"/>
      <c r="H866" s="6">
        <v>582224.7699999999</v>
      </c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9.5" customHeight="1">
      <c r="A867" s="17" t="s">
        <v>68</v>
      </c>
      <c r="B867" s="2">
        <v>28000.0</v>
      </c>
      <c r="C867" s="20">
        <v>4.73</v>
      </c>
      <c r="D867" s="1">
        <v>4.66</v>
      </c>
      <c r="E867" s="3">
        <v>132440.0</v>
      </c>
      <c r="F867" s="4">
        <v>1960.000000000008</v>
      </c>
      <c r="G867" s="11"/>
      <c r="H867" s="6">
        <v>714664.7699999999</v>
      </c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9.5" customHeight="1">
      <c r="A868" s="17" t="s">
        <v>68</v>
      </c>
      <c r="B868" s="2">
        <v>6380.0</v>
      </c>
      <c r="C868" s="20">
        <v>4.73</v>
      </c>
      <c r="D868" s="1">
        <v>4.66</v>
      </c>
      <c r="E868" s="3">
        <v>30177.4</v>
      </c>
      <c r="F868" s="4">
        <v>446.60000000000184</v>
      </c>
      <c r="G868" s="11"/>
      <c r="H868" s="6">
        <v>744842.1699999999</v>
      </c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9.5" customHeight="1">
      <c r="A869" s="17" t="s">
        <v>69</v>
      </c>
      <c r="B869" s="2">
        <v>740.0</v>
      </c>
      <c r="C869" s="20">
        <v>4.73</v>
      </c>
      <c r="D869" s="1">
        <v>4.66</v>
      </c>
      <c r="E869" s="3">
        <v>3500.2000000000003</v>
      </c>
      <c r="F869" s="4">
        <v>51.80000000000021</v>
      </c>
      <c r="G869" s="11"/>
      <c r="H869" s="6">
        <v>748342.3699999999</v>
      </c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9.5" customHeight="1">
      <c r="A870" s="17" t="s">
        <v>69</v>
      </c>
      <c r="B870" s="2">
        <v>3100.0</v>
      </c>
      <c r="C870" s="20">
        <v>4.73</v>
      </c>
      <c r="D870" s="1">
        <v>4.66</v>
      </c>
      <c r="E870" s="3">
        <v>14663.000000000002</v>
      </c>
      <c r="F870" s="4">
        <v>217.00000000000088</v>
      </c>
      <c r="G870" s="11"/>
      <c r="H870" s="6">
        <v>763005.3699999999</v>
      </c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9.5" customHeight="1">
      <c r="A871" s="17" t="s">
        <v>70</v>
      </c>
      <c r="B871" s="13"/>
      <c r="C871" s="8"/>
      <c r="D871" s="14"/>
      <c r="E871" s="3"/>
      <c r="F871" s="10"/>
      <c r="G871" s="5">
        <v>150000.0</v>
      </c>
      <c r="H871" s="6">
        <v>613005.3699999999</v>
      </c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9.5" customHeight="1">
      <c r="A872" s="17" t="s">
        <v>70</v>
      </c>
      <c r="B872" s="2">
        <v>33888.0</v>
      </c>
      <c r="C872" s="20">
        <v>4.73</v>
      </c>
      <c r="D872" s="1">
        <v>4.67</v>
      </c>
      <c r="E872" s="3">
        <v>160290.24000000002</v>
      </c>
      <c r="F872" s="4">
        <v>2033.2800000000168</v>
      </c>
      <c r="G872" s="11"/>
      <c r="H872" s="6">
        <v>773295.6099999999</v>
      </c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9.5" customHeight="1">
      <c r="A873" s="17" t="s">
        <v>70</v>
      </c>
      <c r="B873" s="2">
        <v>42800.0</v>
      </c>
      <c r="C873" s="20">
        <v>4.73</v>
      </c>
      <c r="D873" s="1">
        <v>4.67</v>
      </c>
      <c r="E873" s="3">
        <v>202444.00000000003</v>
      </c>
      <c r="F873" s="4">
        <v>2568.0000000000214</v>
      </c>
      <c r="G873" s="11"/>
      <c r="H873" s="6">
        <v>975739.6099999999</v>
      </c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9.5" customHeight="1">
      <c r="A874" s="17" t="s">
        <v>70</v>
      </c>
      <c r="B874" s="13"/>
      <c r="C874" s="8"/>
      <c r="D874" s="14"/>
      <c r="E874" s="3"/>
      <c r="F874" s="10"/>
      <c r="G874" s="5">
        <v>150000.0</v>
      </c>
      <c r="H874" s="6">
        <v>825739.6099999999</v>
      </c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9.5" customHeight="1">
      <c r="A875" s="17" t="s">
        <v>70</v>
      </c>
      <c r="B875" s="13"/>
      <c r="C875" s="8"/>
      <c r="D875" s="14"/>
      <c r="E875" s="3"/>
      <c r="F875" s="10"/>
      <c r="G875" s="5">
        <v>350000.0</v>
      </c>
      <c r="H875" s="6">
        <v>475739.60999999987</v>
      </c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9.5" customHeight="1">
      <c r="A876" s="17" t="s">
        <v>71</v>
      </c>
      <c r="B876" s="13"/>
      <c r="C876" s="8"/>
      <c r="D876" s="14"/>
      <c r="E876" s="3"/>
      <c r="F876" s="10"/>
      <c r="G876" s="5">
        <v>150000.0</v>
      </c>
      <c r="H876" s="6">
        <v>325739.60999999987</v>
      </c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9.5" customHeight="1">
      <c r="A877" s="17" t="s">
        <v>71</v>
      </c>
      <c r="B877" s="2">
        <v>55500.0</v>
      </c>
      <c r="C877" s="20">
        <v>4.73</v>
      </c>
      <c r="D877" s="1">
        <v>4.69</v>
      </c>
      <c r="E877" s="3">
        <v>262515.0</v>
      </c>
      <c r="F877" s="4">
        <v>2220.000000000002</v>
      </c>
      <c r="G877" s="11"/>
      <c r="H877" s="6">
        <v>588254.6099999999</v>
      </c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9.5" customHeight="1">
      <c r="A878" s="17" t="s">
        <v>72</v>
      </c>
      <c r="B878" s="13"/>
      <c r="C878" s="8"/>
      <c r="D878" s="14"/>
      <c r="E878" s="3"/>
      <c r="F878" s="10"/>
      <c r="G878" s="5">
        <v>150000.0</v>
      </c>
      <c r="H878" s="6">
        <v>438254.60999999987</v>
      </c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9.5" customHeight="1">
      <c r="A879" s="17" t="s">
        <v>72</v>
      </c>
      <c r="B879" s="13"/>
      <c r="C879" s="8"/>
      <c r="D879" s="14"/>
      <c r="E879" s="3"/>
      <c r="F879" s="10"/>
      <c r="G879" s="5">
        <v>77000.0</v>
      </c>
      <c r="H879" s="6">
        <v>361254.60999999987</v>
      </c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9.5" customHeight="1">
      <c r="A880" s="17" t="s">
        <v>73</v>
      </c>
      <c r="B880" s="2">
        <v>13600.0</v>
      </c>
      <c r="C880" s="20">
        <v>4.73</v>
      </c>
      <c r="D880" s="1">
        <v>4.69</v>
      </c>
      <c r="E880" s="3">
        <v>64328.00000000001</v>
      </c>
      <c r="F880" s="4">
        <v>544.0000000000005</v>
      </c>
      <c r="G880" s="11"/>
      <c r="H880" s="6">
        <v>425582.60999999987</v>
      </c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9.5" customHeight="1">
      <c r="A881" s="17" t="s">
        <v>73</v>
      </c>
      <c r="B881" s="13"/>
      <c r="C881" s="8"/>
      <c r="D881" s="14"/>
      <c r="E881" s="3"/>
      <c r="F881" s="10"/>
      <c r="G881" s="5">
        <v>60000.0</v>
      </c>
      <c r="H881" s="6">
        <v>365582.60999999987</v>
      </c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9.5" customHeight="1">
      <c r="A882" s="17" t="s">
        <v>74</v>
      </c>
      <c r="B882" s="2">
        <v>24000.0</v>
      </c>
      <c r="C882" s="20">
        <v>4.73</v>
      </c>
      <c r="D882" s="1">
        <v>4.69</v>
      </c>
      <c r="E882" s="3">
        <v>113520.00000000001</v>
      </c>
      <c r="F882" s="4">
        <v>960.0000000000009</v>
      </c>
      <c r="G882" s="11"/>
      <c r="H882" s="6">
        <v>479102.60999999987</v>
      </c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9.5" customHeight="1">
      <c r="A883" s="17" t="s">
        <v>75</v>
      </c>
      <c r="B883" s="13"/>
      <c r="C883" s="8"/>
      <c r="D883" s="14"/>
      <c r="E883" s="3"/>
      <c r="F883" s="10"/>
      <c r="G883" s="5">
        <v>84800.0</v>
      </c>
      <c r="H883" s="6">
        <v>394302.60999999987</v>
      </c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9.5" customHeight="1">
      <c r="A884" s="17" t="s">
        <v>75</v>
      </c>
      <c r="B884" s="13"/>
      <c r="C884" s="8"/>
      <c r="D884" s="14"/>
      <c r="E884" s="3"/>
      <c r="F884" s="10"/>
      <c r="G884" s="5">
        <v>150000.0</v>
      </c>
      <c r="H884" s="6">
        <v>244302.60999999987</v>
      </c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9.5" customHeight="1">
      <c r="A885" s="17" t="s">
        <v>75</v>
      </c>
      <c r="B885" s="2">
        <v>44150.0</v>
      </c>
      <c r="C885" s="20">
        <v>4.73</v>
      </c>
      <c r="D885" s="1">
        <v>4.68</v>
      </c>
      <c r="E885" s="3">
        <v>208829.50000000003</v>
      </c>
      <c r="F885" s="4">
        <v>2207.5000000000314</v>
      </c>
      <c r="G885" s="11"/>
      <c r="H885" s="6">
        <v>453132.10999999987</v>
      </c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9.5" customHeight="1">
      <c r="A886" s="17" t="s">
        <v>75</v>
      </c>
      <c r="B886" s="2">
        <v>46800.0</v>
      </c>
      <c r="C886" s="20">
        <v>4.73</v>
      </c>
      <c r="D886" s="1">
        <v>4.68</v>
      </c>
      <c r="E886" s="3">
        <v>221364.00000000003</v>
      </c>
      <c r="F886" s="4">
        <v>2340.000000000033</v>
      </c>
      <c r="G886" s="11"/>
      <c r="H886" s="6">
        <v>674496.1099999999</v>
      </c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9.5" customHeight="1">
      <c r="A887" s="17" t="s">
        <v>75</v>
      </c>
      <c r="B887" s="13"/>
      <c r="C887" s="8"/>
      <c r="D887" s="14"/>
      <c r="E887" s="3"/>
      <c r="F887" s="10"/>
      <c r="G887" s="5">
        <v>150000.0</v>
      </c>
      <c r="H887" s="6">
        <v>524496.1099999999</v>
      </c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9.5" customHeight="1">
      <c r="A888" s="17" t="s">
        <v>75</v>
      </c>
      <c r="B888" s="2">
        <v>27700.0</v>
      </c>
      <c r="C888" s="20">
        <v>4.72</v>
      </c>
      <c r="D888" s="1">
        <v>4.68</v>
      </c>
      <c r="E888" s="3">
        <v>130744.0</v>
      </c>
      <c r="F888" s="4">
        <v>1108.000000000001</v>
      </c>
      <c r="G888" s="11"/>
      <c r="H888" s="6">
        <v>655240.1099999999</v>
      </c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9.5" customHeight="1">
      <c r="A889" s="17" t="s">
        <v>75</v>
      </c>
      <c r="B889" s="2">
        <v>58.0</v>
      </c>
      <c r="C889" s="20">
        <v>4.73</v>
      </c>
      <c r="D889" s="1">
        <v>4.68</v>
      </c>
      <c r="E889" s="3">
        <v>274.34000000000003</v>
      </c>
      <c r="F889" s="4">
        <v>2.900000000000041</v>
      </c>
      <c r="G889" s="11"/>
      <c r="H889" s="6">
        <v>655514.4499999998</v>
      </c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9.5" customHeight="1">
      <c r="A890" s="17" t="s">
        <v>76</v>
      </c>
      <c r="B890" s="2">
        <v>37400.0</v>
      </c>
      <c r="C890" s="20">
        <v>4.73</v>
      </c>
      <c r="D890" s="1">
        <v>4.63</v>
      </c>
      <c r="E890" s="3">
        <v>176902.00000000003</v>
      </c>
      <c r="F890" s="4">
        <v>3740.00000000002</v>
      </c>
      <c r="G890" s="11"/>
      <c r="H890" s="6">
        <v>832416.4499999998</v>
      </c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9.5" customHeight="1">
      <c r="A891" s="17" t="s">
        <v>76</v>
      </c>
      <c r="B891" s="13"/>
      <c r="C891" s="8"/>
      <c r="D891" s="14"/>
      <c r="E891" s="3"/>
      <c r="F891" s="10"/>
      <c r="G891" s="5">
        <v>250000.0</v>
      </c>
      <c r="H891" s="6">
        <v>582416.4499999998</v>
      </c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9.5" customHeight="1">
      <c r="A892" s="17" t="s">
        <v>76</v>
      </c>
      <c r="B892" s="2">
        <v>41000.0</v>
      </c>
      <c r="C892" s="20">
        <v>4.73</v>
      </c>
      <c r="D892" s="1">
        <v>4.63</v>
      </c>
      <c r="E892" s="3">
        <v>193930.00000000003</v>
      </c>
      <c r="F892" s="4">
        <v>4100.000000000022</v>
      </c>
      <c r="G892" s="11"/>
      <c r="H892" s="6">
        <v>776346.4499999998</v>
      </c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9.5" customHeight="1">
      <c r="A893" s="17" t="s">
        <v>77</v>
      </c>
      <c r="B893" s="13"/>
      <c r="C893" s="8"/>
      <c r="D893" s="14"/>
      <c r="E893" s="3"/>
      <c r="F893" s="10"/>
      <c r="G893" s="5">
        <v>150000.0</v>
      </c>
      <c r="H893" s="6">
        <v>626346.4499999998</v>
      </c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9.5" customHeight="1">
      <c r="A894" s="17" t="s">
        <v>78</v>
      </c>
      <c r="B894" s="2">
        <v>9500.0</v>
      </c>
      <c r="C894" s="20">
        <v>4.73</v>
      </c>
      <c r="D894" s="1">
        <v>4.63</v>
      </c>
      <c r="E894" s="3">
        <v>44935.00000000001</v>
      </c>
      <c r="F894" s="4">
        <v>950.0000000000051</v>
      </c>
      <c r="G894" s="11"/>
      <c r="H894" s="6">
        <v>671281.4499999998</v>
      </c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9.5" customHeight="1">
      <c r="A895" s="17" t="s">
        <v>78</v>
      </c>
      <c r="B895" s="13"/>
      <c r="C895" s="8"/>
      <c r="D895" s="14"/>
      <c r="E895" s="3"/>
      <c r="F895" s="10"/>
      <c r="G895" s="5">
        <v>68800.0</v>
      </c>
      <c r="H895" s="6">
        <v>602481.4499999998</v>
      </c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9.5" customHeight="1">
      <c r="A896" s="17" t="s">
        <v>79</v>
      </c>
      <c r="B896" s="13"/>
      <c r="C896" s="8"/>
      <c r="D896" s="14"/>
      <c r="E896" s="3"/>
      <c r="F896" s="10"/>
      <c r="G896" s="5">
        <v>300000.0</v>
      </c>
      <c r="H896" s="6">
        <v>302481.44999999984</v>
      </c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9.5" customHeight="1">
      <c r="A897" s="17" t="s">
        <v>80</v>
      </c>
      <c r="B897" s="2">
        <v>50000.0</v>
      </c>
      <c r="C897" s="20">
        <v>4.73</v>
      </c>
      <c r="D897" s="1">
        <v>4.63</v>
      </c>
      <c r="E897" s="3">
        <v>236500.00000000003</v>
      </c>
      <c r="F897" s="4">
        <v>5000.000000000026</v>
      </c>
      <c r="G897" s="11"/>
      <c r="H897" s="6">
        <v>538981.4499999998</v>
      </c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9.5" customHeight="1">
      <c r="A898" s="17" t="s">
        <v>81</v>
      </c>
      <c r="B898" s="2">
        <v>51800.0</v>
      </c>
      <c r="C898" s="20">
        <v>4.73</v>
      </c>
      <c r="D898" s="1">
        <v>4.63</v>
      </c>
      <c r="E898" s="3">
        <v>245014.00000000003</v>
      </c>
      <c r="F898" s="4">
        <v>5180.000000000027</v>
      </c>
      <c r="G898" s="11"/>
      <c r="H898" s="6">
        <v>783995.4499999998</v>
      </c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9.5" customHeight="1">
      <c r="A899" s="17" t="s">
        <v>81</v>
      </c>
      <c r="B899" s="13"/>
      <c r="C899" s="8"/>
      <c r="D899" s="14"/>
      <c r="E899" s="3"/>
      <c r="F899" s="10"/>
      <c r="G899" s="5">
        <v>73000.0</v>
      </c>
      <c r="H899" s="6">
        <v>710995.4499999998</v>
      </c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9.5" customHeight="1">
      <c r="A900" s="17" t="s">
        <v>82</v>
      </c>
      <c r="B900" s="13"/>
      <c r="C900" s="8"/>
      <c r="D900" s="14"/>
      <c r="E900" s="3"/>
      <c r="F900" s="10"/>
      <c r="G900" s="5">
        <v>0.0</v>
      </c>
      <c r="H900" s="6">
        <v>710995.4499999998</v>
      </c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9.5" customHeight="1">
      <c r="A901" s="17" t="s">
        <v>82</v>
      </c>
      <c r="B901" s="13"/>
      <c r="C901" s="8"/>
      <c r="D901" s="14"/>
      <c r="E901" s="3"/>
      <c r="F901" s="10"/>
      <c r="G901" s="5">
        <v>79300.0</v>
      </c>
      <c r="H901" s="6">
        <v>631695.4499999998</v>
      </c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9.5" customHeight="1">
      <c r="A902" s="17" t="s">
        <v>82</v>
      </c>
      <c r="B902" s="2">
        <v>59900.0</v>
      </c>
      <c r="C902" s="20">
        <v>4.73</v>
      </c>
      <c r="D902" s="1">
        <v>4.69</v>
      </c>
      <c r="E902" s="3">
        <v>283327.0</v>
      </c>
      <c r="F902" s="4">
        <v>2396.0000000000023</v>
      </c>
      <c r="G902" s="11"/>
      <c r="H902" s="6">
        <v>915022.4499999998</v>
      </c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9.5" customHeight="1">
      <c r="A903" s="17" t="s">
        <v>83</v>
      </c>
      <c r="B903" s="13"/>
      <c r="C903" s="8"/>
      <c r="D903" s="14"/>
      <c r="E903" s="3"/>
      <c r="F903" s="10"/>
      <c r="G903" s="5">
        <v>47554.0</v>
      </c>
      <c r="H903" s="6">
        <v>867468.4499999998</v>
      </c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9.5" customHeight="1">
      <c r="A904" s="17" t="s">
        <v>84</v>
      </c>
      <c r="B904" s="13"/>
      <c r="C904" s="8"/>
      <c r="D904" s="14"/>
      <c r="E904" s="3"/>
      <c r="F904" s="10"/>
      <c r="G904" s="5">
        <v>200000.0</v>
      </c>
      <c r="H904" s="6">
        <v>667468.4499999998</v>
      </c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9.5" customHeight="1">
      <c r="A905" s="17" t="s">
        <v>85</v>
      </c>
      <c r="B905" s="2">
        <v>18900.0</v>
      </c>
      <c r="C905" s="20">
        <v>4.73</v>
      </c>
      <c r="D905" s="1">
        <v>4.63</v>
      </c>
      <c r="E905" s="3">
        <v>89397.00000000001</v>
      </c>
      <c r="F905" s="4">
        <v>1890.00000000001</v>
      </c>
      <c r="G905" s="11"/>
      <c r="H905" s="6">
        <v>756865.4499999998</v>
      </c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9.5" customHeight="1">
      <c r="A906" s="17" t="s">
        <v>85</v>
      </c>
      <c r="B906" s="13"/>
      <c r="C906" s="8"/>
      <c r="D906" s="14"/>
      <c r="E906" s="3"/>
      <c r="F906" s="10"/>
      <c r="G906" s="5">
        <v>70000.0</v>
      </c>
      <c r="H906" s="6">
        <v>686865.4499999998</v>
      </c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9.5" customHeight="1">
      <c r="A907" s="8"/>
      <c r="B907" s="13"/>
      <c r="C907" s="8"/>
      <c r="D907" s="14"/>
      <c r="E907" s="3"/>
      <c r="F907" s="10"/>
      <c r="G907" s="11"/>
      <c r="H907" s="6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9.5" customHeight="1">
      <c r="A908" s="8"/>
      <c r="B908" s="13"/>
      <c r="C908" s="8"/>
      <c r="D908" s="14"/>
      <c r="E908" s="3"/>
      <c r="F908" s="10"/>
      <c r="G908" s="11"/>
      <c r="H908" s="6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9.5" customHeight="1">
      <c r="A909" s="8"/>
      <c r="B909" s="13"/>
      <c r="C909" s="8"/>
      <c r="D909" s="14"/>
      <c r="E909" s="3"/>
      <c r="F909" s="10"/>
      <c r="G909" s="11"/>
      <c r="H909" s="6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9.5" customHeight="1">
      <c r="A910" s="8"/>
      <c r="B910" s="13"/>
      <c r="C910" s="8"/>
      <c r="D910" s="14"/>
      <c r="E910" s="3"/>
      <c r="F910" s="10"/>
      <c r="G910" s="11"/>
      <c r="H910" s="6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9.5" customHeight="1">
      <c r="A911" s="8"/>
      <c r="B911" s="13"/>
      <c r="C911" s="8"/>
      <c r="D911" s="14"/>
      <c r="E911" s="3"/>
      <c r="F911" s="10"/>
      <c r="G911" s="11"/>
      <c r="H911" s="6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9.5" customHeight="1">
      <c r="A912" s="8"/>
      <c r="B912" s="13"/>
      <c r="C912" s="8"/>
      <c r="D912" s="14"/>
      <c r="E912" s="3"/>
      <c r="F912" s="10"/>
      <c r="G912" s="11"/>
      <c r="H912" s="6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9.5" customHeight="1">
      <c r="A913" s="8"/>
      <c r="B913" s="13"/>
      <c r="C913" s="8"/>
      <c r="D913" s="14"/>
      <c r="E913" s="3"/>
      <c r="F913" s="10"/>
      <c r="G913" s="11"/>
      <c r="H913" s="6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9.5" customHeight="1">
      <c r="A914" s="8"/>
      <c r="B914" s="13"/>
      <c r="C914" s="8"/>
      <c r="D914" s="14"/>
      <c r="E914" s="3"/>
      <c r="F914" s="10"/>
      <c r="G914" s="11"/>
      <c r="H914" s="6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9.5" customHeight="1">
      <c r="A915" s="8"/>
      <c r="B915" s="13"/>
      <c r="C915" s="8"/>
      <c r="D915" s="14"/>
      <c r="E915" s="3"/>
      <c r="F915" s="10"/>
      <c r="G915" s="11"/>
      <c r="H915" s="6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9.5" customHeight="1">
      <c r="A916" s="8"/>
      <c r="B916" s="13"/>
      <c r="C916" s="8"/>
      <c r="D916" s="14"/>
      <c r="E916" s="3"/>
      <c r="F916" s="10"/>
      <c r="G916" s="11"/>
      <c r="H916" s="6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9.5" customHeight="1">
      <c r="A917" s="8"/>
      <c r="B917" s="13"/>
      <c r="C917" s="8"/>
      <c r="D917" s="14"/>
      <c r="E917" s="3"/>
      <c r="F917" s="10"/>
      <c r="G917" s="11"/>
      <c r="H917" s="6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9.5" customHeight="1">
      <c r="A918" s="8"/>
      <c r="B918" s="13"/>
      <c r="C918" s="8"/>
      <c r="D918" s="14"/>
      <c r="E918" s="3"/>
      <c r="F918" s="10"/>
      <c r="G918" s="11"/>
      <c r="H918" s="6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9.5" customHeight="1">
      <c r="A919" s="8"/>
      <c r="B919" s="13"/>
      <c r="C919" s="8"/>
      <c r="D919" s="14"/>
      <c r="E919" s="3"/>
      <c r="F919" s="10"/>
      <c r="G919" s="11"/>
      <c r="H919" s="6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9.5" customHeight="1">
      <c r="A920" s="8"/>
      <c r="B920" s="13"/>
      <c r="C920" s="8"/>
      <c r="D920" s="14"/>
      <c r="E920" s="3"/>
      <c r="F920" s="10"/>
      <c r="G920" s="11"/>
      <c r="H920" s="6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9.5" customHeight="1">
      <c r="A921" s="8"/>
      <c r="B921" s="13"/>
      <c r="C921" s="8"/>
      <c r="D921" s="14"/>
      <c r="E921" s="3"/>
      <c r="F921" s="10"/>
      <c r="G921" s="11"/>
      <c r="H921" s="6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9.5" customHeight="1">
      <c r="A922" s="8"/>
      <c r="B922" s="13"/>
      <c r="C922" s="8"/>
      <c r="D922" s="14"/>
      <c r="E922" s="3"/>
      <c r="F922" s="10"/>
      <c r="G922" s="11"/>
      <c r="H922" s="6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9.5" customHeight="1">
      <c r="A923" s="8"/>
      <c r="B923" s="13"/>
      <c r="C923" s="8"/>
      <c r="D923" s="14"/>
      <c r="E923" s="3"/>
      <c r="F923" s="10"/>
      <c r="G923" s="11"/>
      <c r="H923" s="6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9.5" customHeight="1">
      <c r="A924" s="8"/>
      <c r="B924" s="13"/>
      <c r="C924" s="8"/>
      <c r="D924" s="14"/>
      <c r="E924" s="3"/>
      <c r="F924" s="10"/>
      <c r="G924" s="11"/>
      <c r="H924" s="6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9.5" customHeight="1">
      <c r="A925" s="8"/>
      <c r="B925" s="13"/>
      <c r="C925" s="8"/>
      <c r="D925" s="14"/>
      <c r="E925" s="3"/>
      <c r="F925" s="10"/>
      <c r="G925" s="11"/>
      <c r="H925" s="6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9.5" customHeight="1">
      <c r="A926" s="8"/>
      <c r="B926" s="13"/>
      <c r="C926" s="8"/>
      <c r="D926" s="14"/>
      <c r="E926" s="3"/>
      <c r="F926" s="10"/>
      <c r="G926" s="11"/>
      <c r="H926" s="6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9.5" customHeight="1">
      <c r="A927" s="8"/>
      <c r="B927" s="13"/>
      <c r="C927" s="8"/>
      <c r="D927" s="14"/>
      <c r="E927" s="3"/>
      <c r="F927" s="10"/>
      <c r="G927" s="11"/>
      <c r="H927" s="6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9.5" customHeight="1">
      <c r="A928" s="8"/>
      <c r="B928" s="13"/>
      <c r="C928" s="8"/>
      <c r="D928" s="14"/>
      <c r="E928" s="3"/>
      <c r="F928" s="10"/>
      <c r="G928" s="11"/>
      <c r="H928" s="6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9.5" customHeight="1">
      <c r="A929" s="8"/>
      <c r="B929" s="13"/>
      <c r="C929" s="8"/>
      <c r="D929" s="14"/>
      <c r="E929" s="3"/>
      <c r="F929" s="10"/>
      <c r="G929" s="11"/>
      <c r="H929" s="6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9.5" customHeight="1">
      <c r="A930" s="8"/>
      <c r="B930" s="13"/>
      <c r="C930" s="8"/>
      <c r="D930" s="14"/>
      <c r="E930" s="3"/>
      <c r="F930" s="10"/>
      <c r="G930" s="11"/>
      <c r="H930" s="6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9.5" customHeight="1">
      <c r="A931" s="8"/>
      <c r="B931" s="13"/>
      <c r="C931" s="8"/>
      <c r="D931" s="14"/>
      <c r="E931" s="3"/>
      <c r="F931" s="10"/>
      <c r="G931" s="11"/>
      <c r="H931" s="6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9.5" customHeight="1">
      <c r="A932" s="8"/>
      <c r="B932" s="13"/>
      <c r="C932" s="8"/>
      <c r="D932" s="14"/>
      <c r="E932" s="3"/>
      <c r="F932" s="10"/>
      <c r="G932" s="11"/>
      <c r="H932" s="6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9.5" customHeight="1">
      <c r="A933" s="8"/>
      <c r="B933" s="13"/>
      <c r="C933" s="8"/>
      <c r="D933" s="14"/>
      <c r="E933" s="3"/>
      <c r="F933" s="10"/>
      <c r="G933" s="11"/>
      <c r="H933" s="6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9.5" customHeight="1">
      <c r="A934" s="8"/>
      <c r="B934" s="13"/>
      <c r="C934" s="8"/>
      <c r="D934" s="14"/>
      <c r="E934" s="3"/>
      <c r="F934" s="10"/>
      <c r="G934" s="11"/>
      <c r="H934" s="6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9.5" customHeight="1">
      <c r="A935" s="8"/>
      <c r="B935" s="13"/>
      <c r="C935" s="8"/>
      <c r="D935" s="14"/>
      <c r="E935" s="3"/>
      <c r="F935" s="10"/>
      <c r="G935" s="11"/>
      <c r="H935" s="6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9.5" customHeight="1">
      <c r="A936" s="8"/>
      <c r="B936" s="13"/>
      <c r="C936" s="8"/>
      <c r="D936" s="14"/>
      <c r="E936" s="3"/>
      <c r="F936" s="10"/>
      <c r="G936" s="11"/>
      <c r="H936" s="6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9.5" customHeight="1">
      <c r="A937" s="8"/>
      <c r="B937" s="13"/>
      <c r="C937" s="8"/>
      <c r="D937" s="14"/>
      <c r="E937" s="3"/>
      <c r="F937" s="10"/>
      <c r="G937" s="11"/>
      <c r="H937" s="6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9.5" customHeight="1">
      <c r="A938" s="8"/>
      <c r="B938" s="13"/>
      <c r="C938" s="8"/>
      <c r="D938" s="14"/>
      <c r="E938" s="3"/>
      <c r="F938" s="10"/>
      <c r="G938" s="11"/>
      <c r="H938" s="6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9.5" customHeight="1">
      <c r="A939" s="8"/>
      <c r="B939" s="13"/>
      <c r="C939" s="8"/>
      <c r="D939" s="14"/>
      <c r="E939" s="3"/>
      <c r="F939" s="10"/>
      <c r="G939" s="11"/>
      <c r="H939" s="6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9.5" customHeight="1">
      <c r="A940" s="8"/>
      <c r="B940" s="13"/>
      <c r="C940" s="8"/>
      <c r="D940" s="14"/>
      <c r="E940" s="3"/>
      <c r="F940" s="10"/>
      <c r="G940" s="11"/>
      <c r="H940" s="6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9.5" customHeight="1">
      <c r="A941" s="8"/>
      <c r="B941" s="13"/>
      <c r="C941" s="8"/>
      <c r="D941" s="14"/>
      <c r="E941" s="3"/>
      <c r="F941" s="10"/>
      <c r="G941" s="11"/>
      <c r="H941" s="6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9.5" customHeight="1">
      <c r="A942" s="8"/>
      <c r="B942" s="13"/>
      <c r="C942" s="8"/>
      <c r="D942" s="14"/>
      <c r="E942" s="3"/>
      <c r="F942" s="10"/>
      <c r="G942" s="11"/>
      <c r="H942" s="6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9.5" customHeight="1">
      <c r="A943" s="8"/>
      <c r="B943" s="13"/>
      <c r="C943" s="8"/>
      <c r="D943" s="14"/>
      <c r="E943" s="3"/>
      <c r="F943" s="10"/>
      <c r="G943" s="11"/>
      <c r="H943" s="6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9.5" customHeight="1">
      <c r="A944" s="8"/>
      <c r="B944" s="13"/>
      <c r="C944" s="8"/>
      <c r="D944" s="14"/>
      <c r="E944" s="3"/>
      <c r="F944" s="10"/>
      <c r="G944" s="11"/>
      <c r="H944" s="6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9.5" customHeight="1">
      <c r="A945" s="8"/>
      <c r="B945" s="13"/>
      <c r="C945" s="8"/>
      <c r="D945" s="14"/>
      <c r="E945" s="3"/>
      <c r="F945" s="10"/>
      <c r="G945" s="11"/>
      <c r="H945" s="6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9.5" customHeight="1">
      <c r="A946" s="8"/>
      <c r="B946" s="13"/>
      <c r="C946" s="8"/>
      <c r="D946" s="14"/>
      <c r="E946" s="3"/>
      <c r="F946" s="10"/>
      <c r="G946" s="11"/>
      <c r="H946" s="6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9.5" customHeight="1">
      <c r="A947" s="8"/>
      <c r="B947" s="13"/>
      <c r="C947" s="8"/>
      <c r="D947" s="14"/>
      <c r="E947" s="3"/>
      <c r="F947" s="10"/>
      <c r="G947" s="11"/>
      <c r="H947" s="6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9.5" customHeight="1">
      <c r="A948" s="8"/>
      <c r="B948" s="13"/>
      <c r="C948" s="8"/>
      <c r="D948" s="14"/>
      <c r="E948" s="3"/>
      <c r="F948" s="10"/>
      <c r="G948" s="11"/>
      <c r="H948" s="6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9.5" customHeight="1">
      <c r="A949" s="8"/>
      <c r="B949" s="13"/>
      <c r="C949" s="8"/>
      <c r="D949" s="14"/>
      <c r="E949" s="3"/>
      <c r="F949" s="10"/>
      <c r="G949" s="11"/>
      <c r="H949" s="6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9.5" customHeight="1">
      <c r="A950" s="8"/>
      <c r="B950" s="13"/>
      <c r="C950" s="8"/>
      <c r="D950" s="14"/>
      <c r="E950" s="3"/>
      <c r="F950" s="10"/>
      <c r="G950" s="11"/>
      <c r="H950" s="6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9.5" customHeight="1">
      <c r="A951" s="8"/>
      <c r="B951" s="13"/>
      <c r="C951" s="8"/>
      <c r="D951" s="14"/>
      <c r="E951" s="3"/>
      <c r="F951" s="10"/>
      <c r="G951" s="11"/>
      <c r="H951" s="6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9.5" customHeight="1">
      <c r="A952" s="8"/>
      <c r="B952" s="13"/>
      <c r="C952" s="8"/>
      <c r="D952" s="14"/>
      <c r="E952" s="3"/>
      <c r="F952" s="10"/>
      <c r="G952" s="11"/>
      <c r="H952" s="6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9.5" customHeight="1">
      <c r="A953" s="8"/>
      <c r="B953" s="13"/>
      <c r="C953" s="8"/>
      <c r="D953" s="14"/>
      <c r="E953" s="3"/>
      <c r="F953" s="10"/>
      <c r="G953" s="11"/>
      <c r="H953" s="6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9.5" customHeight="1">
      <c r="A954" s="8"/>
      <c r="B954" s="13"/>
      <c r="C954" s="8"/>
      <c r="D954" s="14"/>
      <c r="E954" s="3"/>
      <c r="F954" s="10"/>
      <c r="G954" s="11"/>
      <c r="H954" s="6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9.5" customHeight="1">
      <c r="A955" s="8"/>
      <c r="B955" s="13"/>
      <c r="C955" s="8"/>
      <c r="D955" s="14"/>
      <c r="E955" s="3"/>
      <c r="F955" s="10"/>
      <c r="G955" s="11"/>
      <c r="H955" s="6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9.5" customHeight="1">
      <c r="A956" s="8"/>
      <c r="B956" s="13"/>
      <c r="C956" s="8"/>
      <c r="D956" s="14"/>
      <c r="E956" s="3"/>
      <c r="F956" s="10"/>
      <c r="G956" s="11"/>
      <c r="H956" s="6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9.5" customHeight="1">
      <c r="A957" s="8"/>
      <c r="B957" s="13"/>
      <c r="C957" s="8"/>
      <c r="D957" s="14"/>
      <c r="E957" s="3"/>
      <c r="F957" s="10"/>
      <c r="G957" s="11"/>
      <c r="H957" s="6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9.5" customHeight="1">
      <c r="A958" s="8"/>
      <c r="B958" s="13"/>
      <c r="C958" s="8"/>
      <c r="D958" s="14"/>
      <c r="E958" s="3"/>
      <c r="F958" s="10"/>
      <c r="G958" s="11"/>
      <c r="H958" s="6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9.5" customHeight="1">
      <c r="A959" s="8"/>
      <c r="B959" s="13"/>
      <c r="C959" s="8"/>
      <c r="D959" s="14"/>
      <c r="E959" s="3"/>
      <c r="F959" s="10"/>
      <c r="G959" s="11"/>
      <c r="H959" s="6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9.5" customHeight="1">
      <c r="A960" s="8"/>
      <c r="B960" s="13"/>
      <c r="C960" s="8"/>
      <c r="D960" s="14"/>
      <c r="E960" s="3"/>
      <c r="F960" s="10"/>
      <c r="G960" s="11"/>
      <c r="H960" s="6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9.5" customHeight="1">
      <c r="A961" s="8"/>
      <c r="B961" s="13"/>
      <c r="C961" s="8"/>
      <c r="D961" s="14"/>
      <c r="E961" s="3"/>
      <c r="F961" s="10"/>
      <c r="G961" s="11"/>
      <c r="H961" s="6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9.5" customHeight="1">
      <c r="A962" s="8"/>
      <c r="B962" s="13"/>
      <c r="C962" s="8"/>
      <c r="D962" s="14"/>
      <c r="E962" s="3"/>
      <c r="F962" s="10"/>
      <c r="G962" s="11"/>
      <c r="H962" s="6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9.5" customHeight="1">
      <c r="A963" s="8"/>
      <c r="B963" s="13"/>
      <c r="C963" s="8"/>
      <c r="D963" s="14"/>
      <c r="E963" s="3"/>
      <c r="F963" s="10"/>
      <c r="G963" s="11"/>
      <c r="H963" s="6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9.5" customHeight="1">
      <c r="A964" s="8"/>
      <c r="B964" s="13"/>
      <c r="C964" s="8"/>
      <c r="D964" s="14"/>
      <c r="E964" s="3"/>
      <c r="F964" s="10"/>
      <c r="G964" s="11"/>
      <c r="H964" s="6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9.5" customHeight="1">
      <c r="A965" s="8"/>
      <c r="B965" s="13"/>
      <c r="C965" s="8"/>
      <c r="D965" s="14"/>
      <c r="E965" s="3"/>
      <c r="F965" s="10"/>
      <c r="G965" s="11"/>
      <c r="H965" s="6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9.5" customHeight="1">
      <c r="A966" s="8"/>
      <c r="B966" s="13"/>
      <c r="C966" s="8"/>
      <c r="D966" s="14"/>
      <c r="E966" s="3"/>
      <c r="F966" s="10"/>
      <c r="G966" s="11"/>
      <c r="H966" s="6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9.5" customHeight="1">
      <c r="A967" s="8"/>
      <c r="B967" s="13"/>
      <c r="C967" s="8"/>
      <c r="D967" s="14"/>
      <c r="E967" s="3"/>
      <c r="F967" s="10"/>
      <c r="G967" s="11"/>
      <c r="H967" s="6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9.5" customHeight="1">
      <c r="A968" s="8"/>
      <c r="B968" s="13"/>
      <c r="C968" s="8"/>
      <c r="D968" s="14"/>
      <c r="E968" s="3"/>
      <c r="F968" s="10"/>
      <c r="G968" s="11"/>
      <c r="H968" s="6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9.5" customHeight="1">
      <c r="A969" s="8"/>
      <c r="B969" s="13"/>
      <c r="C969" s="8"/>
      <c r="D969" s="14"/>
      <c r="E969" s="3"/>
      <c r="F969" s="10"/>
      <c r="G969" s="11"/>
      <c r="H969" s="6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9.5" customHeight="1">
      <c r="A970" s="8"/>
      <c r="B970" s="13"/>
      <c r="C970" s="8"/>
      <c r="D970" s="14"/>
      <c r="E970" s="3"/>
      <c r="F970" s="10"/>
      <c r="G970" s="11"/>
      <c r="H970" s="6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9.5" customHeight="1">
      <c r="A971" s="8"/>
      <c r="B971" s="13"/>
      <c r="C971" s="8"/>
      <c r="D971" s="14"/>
      <c r="E971" s="3"/>
      <c r="F971" s="10"/>
      <c r="G971" s="11"/>
      <c r="H971" s="6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9.5" customHeight="1">
      <c r="A972" s="8"/>
      <c r="B972" s="13"/>
      <c r="C972" s="8"/>
      <c r="D972" s="14"/>
      <c r="E972" s="3"/>
      <c r="F972" s="10"/>
      <c r="G972" s="11"/>
      <c r="H972" s="6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9.5" customHeight="1">
      <c r="A973" s="8"/>
      <c r="B973" s="13"/>
      <c r="C973" s="8"/>
      <c r="D973" s="14"/>
      <c r="E973" s="3"/>
      <c r="F973" s="10"/>
      <c r="G973" s="11"/>
      <c r="H973" s="6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9.5" customHeight="1">
      <c r="A974" s="8"/>
      <c r="B974" s="13"/>
      <c r="C974" s="8"/>
      <c r="D974" s="14"/>
      <c r="E974" s="3"/>
      <c r="F974" s="10"/>
      <c r="G974" s="11"/>
      <c r="H974" s="6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9.5" customHeight="1">
      <c r="A975" s="8"/>
      <c r="B975" s="13"/>
      <c r="C975" s="8"/>
      <c r="D975" s="14"/>
      <c r="E975" s="3"/>
      <c r="F975" s="10"/>
      <c r="G975" s="11"/>
      <c r="H975" s="6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9.5" customHeight="1">
      <c r="A976" s="8"/>
      <c r="B976" s="13"/>
      <c r="C976" s="8"/>
      <c r="D976" s="14"/>
      <c r="E976" s="3"/>
      <c r="F976" s="10"/>
      <c r="G976" s="11"/>
      <c r="H976" s="6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9.5" customHeight="1">
      <c r="A977" s="8"/>
      <c r="B977" s="13"/>
      <c r="C977" s="8"/>
      <c r="D977" s="14"/>
      <c r="E977" s="3"/>
      <c r="F977" s="10"/>
      <c r="G977" s="11"/>
      <c r="H977" s="6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9.5" customHeight="1">
      <c r="A978" s="8"/>
      <c r="B978" s="13"/>
      <c r="C978" s="8"/>
      <c r="D978" s="14"/>
      <c r="E978" s="3"/>
      <c r="F978" s="10"/>
      <c r="G978" s="11"/>
      <c r="H978" s="6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9.5" customHeight="1">
      <c r="A979" s="8"/>
      <c r="B979" s="13"/>
      <c r="C979" s="8"/>
      <c r="D979" s="14"/>
      <c r="E979" s="3"/>
      <c r="F979" s="10"/>
      <c r="G979" s="11"/>
      <c r="H979" s="6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9.5" customHeight="1">
      <c r="A980" s="8"/>
      <c r="B980" s="13"/>
      <c r="C980" s="8"/>
      <c r="D980" s="14"/>
      <c r="E980" s="3"/>
      <c r="F980" s="10"/>
      <c r="G980" s="11"/>
      <c r="H980" s="6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9.5" customHeight="1">
      <c r="A981" s="8"/>
      <c r="B981" s="13"/>
      <c r="C981" s="8"/>
      <c r="D981" s="14"/>
      <c r="E981" s="3"/>
      <c r="F981" s="10"/>
      <c r="G981" s="11"/>
      <c r="H981" s="6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9.5" customHeight="1">
      <c r="A982" s="8"/>
      <c r="B982" s="13"/>
      <c r="C982" s="8"/>
      <c r="D982" s="14"/>
      <c r="E982" s="3"/>
      <c r="F982" s="10"/>
      <c r="G982" s="11"/>
      <c r="H982" s="6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9.5" customHeight="1">
      <c r="A983" s="8"/>
      <c r="B983" s="13"/>
      <c r="C983" s="8"/>
      <c r="D983" s="14"/>
      <c r="E983" s="3"/>
      <c r="F983" s="10"/>
      <c r="G983" s="11"/>
      <c r="H983" s="6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9.5" customHeight="1">
      <c r="A984" s="8"/>
      <c r="B984" s="13"/>
      <c r="C984" s="8"/>
      <c r="D984" s="14"/>
      <c r="E984" s="3"/>
      <c r="F984" s="10"/>
      <c r="G984" s="11"/>
      <c r="H984" s="6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9.5" customHeight="1">
      <c r="A985" s="8"/>
      <c r="B985" s="13"/>
      <c r="C985" s="8"/>
      <c r="D985" s="14"/>
      <c r="E985" s="3"/>
      <c r="F985" s="10"/>
      <c r="G985" s="11"/>
      <c r="H985" s="6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9.5" customHeight="1">
      <c r="A986" s="8"/>
      <c r="B986" s="13"/>
      <c r="C986" s="8"/>
      <c r="D986" s="14"/>
      <c r="E986" s="3"/>
      <c r="F986" s="10"/>
      <c r="G986" s="11"/>
      <c r="H986" s="6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9.5" customHeight="1">
      <c r="A987" s="8"/>
      <c r="B987" s="13"/>
      <c r="C987" s="8"/>
      <c r="D987" s="14"/>
      <c r="E987" s="3"/>
      <c r="F987" s="10"/>
      <c r="G987" s="11"/>
      <c r="H987" s="6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9.5" customHeight="1">
      <c r="A988" s="8"/>
      <c r="B988" s="13"/>
      <c r="C988" s="8"/>
      <c r="D988" s="14"/>
      <c r="E988" s="3"/>
      <c r="F988" s="10"/>
      <c r="G988" s="11"/>
      <c r="H988" s="6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9.5" customHeight="1">
      <c r="A989" s="8"/>
      <c r="B989" s="13"/>
      <c r="C989" s="8"/>
      <c r="D989" s="14"/>
      <c r="E989" s="3"/>
      <c r="F989" s="10"/>
      <c r="G989" s="11"/>
      <c r="H989" s="6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9.5" customHeight="1">
      <c r="A990" s="8"/>
      <c r="B990" s="13"/>
      <c r="C990" s="8"/>
      <c r="D990" s="14"/>
      <c r="E990" s="3"/>
      <c r="F990" s="10"/>
      <c r="G990" s="11"/>
      <c r="H990" s="6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9.5" customHeight="1">
      <c r="A991" s="8"/>
      <c r="B991" s="13"/>
      <c r="C991" s="8"/>
      <c r="D991" s="14"/>
      <c r="E991" s="3"/>
      <c r="F991" s="10"/>
      <c r="G991" s="11"/>
      <c r="H991" s="6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9.5" customHeight="1">
      <c r="A992" s="8"/>
      <c r="B992" s="13"/>
      <c r="C992" s="8"/>
      <c r="D992" s="14"/>
      <c r="E992" s="3"/>
      <c r="F992" s="10"/>
      <c r="G992" s="11"/>
      <c r="H992" s="6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9.5" customHeight="1">
      <c r="A993" s="8"/>
      <c r="B993" s="13"/>
      <c r="C993" s="8"/>
      <c r="D993" s="14"/>
      <c r="E993" s="3"/>
      <c r="F993" s="10"/>
      <c r="G993" s="11"/>
      <c r="H993" s="6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9.5" customHeight="1">
      <c r="A994" s="8"/>
      <c r="B994" s="13"/>
      <c r="C994" s="8"/>
      <c r="D994" s="14"/>
      <c r="E994" s="3"/>
      <c r="F994" s="10"/>
      <c r="G994" s="11"/>
      <c r="H994" s="6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9.5" customHeight="1">
      <c r="A995" s="8"/>
      <c r="B995" s="13"/>
      <c r="C995" s="8"/>
      <c r="D995" s="14"/>
      <c r="E995" s="3"/>
      <c r="F995" s="10"/>
      <c r="G995" s="11"/>
      <c r="H995" s="6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9.5" customHeight="1">
      <c r="A996" s="8"/>
      <c r="B996" s="13"/>
      <c r="C996" s="8"/>
      <c r="D996" s="14"/>
      <c r="E996" s="3"/>
      <c r="F996" s="10"/>
      <c r="G996" s="11"/>
      <c r="H996" s="6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9.5" customHeight="1">
      <c r="A997" s="8"/>
      <c r="B997" s="13"/>
      <c r="C997" s="8"/>
      <c r="D997" s="14"/>
      <c r="E997" s="3"/>
      <c r="F997" s="10"/>
      <c r="G997" s="11"/>
      <c r="H997" s="6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9.5" customHeight="1">
      <c r="A998" s="8"/>
      <c r="B998" s="13"/>
      <c r="C998" s="8"/>
      <c r="D998" s="14"/>
      <c r="E998" s="3"/>
      <c r="F998" s="10"/>
      <c r="G998" s="11"/>
      <c r="H998" s="6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9.5" customHeight="1">
      <c r="A999" s="8"/>
      <c r="B999" s="13"/>
      <c r="C999" s="8"/>
      <c r="D999" s="14"/>
      <c r="E999" s="3"/>
      <c r="F999" s="10"/>
      <c r="G999" s="11"/>
      <c r="H999" s="6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9.5" customHeight="1">
      <c r="A1000" s="8"/>
      <c r="B1000" s="13"/>
      <c r="C1000" s="8"/>
      <c r="D1000" s="14"/>
      <c r="E1000" s="3"/>
      <c r="F1000" s="10"/>
      <c r="G1000" s="11"/>
      <c r="H1000" s="6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 ht="19.5" customHeight="1">
      <c r="A1001" s="8"/>
      <c r="B1001" s="13"/>
      <c r="C1001" s="8"/>
      <c r="D1001" s="14"/>
      <c r="E1001" s="3"/>
      <c r="F1001" s="10"/>
      <c r="G1001" s="11"/>
      <c r="H1001" s="6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 ht="19.5" customHeight="1">
      <c r="A1002" s="8"/>
      <c r="B1002" s="13"/>
      <c r="C1002" s="8"/>
      <c r="D1002" s="14"/>
      <c r="E1002" s="3"/>
      <c r="F1002" s="10"/>
      <c r="G1002" s="11"/>
      <c r="H1002" s="6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 ht="19.5" customHeight="1">
      <c r="A1003" s="8"/>
      <c r="B1003" s="13"/>
      <c r="C1003" s="8"/>
      <c r="D1003" s="14"/>
      <c r="E1003" s="3"/>
      <c r="F1003" s="10"/>
      <c r="G1003" s="11"/>
      <c r="H1003" s="6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 ht="19.5" customHeight="1">
      <c r="A1004" s="8"/>
      <c r="B1004" s="13"/>
      <c r="C1004" s="8"/>
      <c r="D1004" s="14"/>
      <c r="E1004" s="3"/>
      <c r="F1004" s="10"/>
      <c r="G1004" s="11"/>
      <c r="H1004" s="6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 ht="19.5" customHeight="1">
      <c r="A1005" s="8"/>
      <c r="B1005" s="13"/>
      <c r="C1005" s="8"/>
      <c r="D1005" s="14"/>
      <c r="E1005" s="3"/>
      <c r="F1005" s="10"/>
      <c r="G1005" s="11"/>
      <c r="H1005" s="6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 ht="19.5" customHeight="1">
      <c r="A1006" s="8"/>
      <c r="B1006" s="13"/>
      <c r="C1006" s="8"/>
      <c r="D1006" s="14"/>
      <c r="E1006" s="3"/>
      <c r="F1006" s="10"/>
      <c r="G1006" s="11"/>
      <c r="H1006" s="6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  <row r="1007" ht="19.5" customHeight="1">
      <c r="A1007" s="8"/>
      <c r="B1007" s="13"/>
      <c r="C1007" s="8"/>
      <c r="D1007" s="14"/>
      <c r="E1007" s="3"/>
      <c r="F1007" s="10"/>
      <c r="G1007" s="11"/>
      <c r="H1007" s="6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 ht="19.5" customHeight="1">
      <c r="A1008" s="8"/>
      <c r="B1008" s="13"/>
      <c r="C1008" s="8"/>
      <c r="D1008" s="14"/>
      <c r="E1008" s="3"/>
      <c r="F1008" s="10"/>
      <c r="G1008" s="11"/>
      <c r="H1008" s="6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</row>
    <row r="1009" ht="19.5" customHeight="1">
      <c r="A1009" s="8"/>
      <c r="B1009" s="13"/>
      <c r="C1009" s="8"/>
      <c r="D1009" s="14"/>
      <c r="E1009" s="3"/>
      <c r="F1009" s="10"/>
      <c r="G1009" s="11"/>
      <c r="H1009" s="6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 ht="19.5" customHeight="1">
      <c r="A1010" s="8"/>
      <c r="B1010" s="13"/>
      <c r="C1010" s="8"/>
      <c r="D1010" s="14"/>
      <c r="E1010" s="3"/>
      <c r="F1010" s="10"/>
      <c r="G1010" s="11"/>
      <c r="H1010" s="6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</row>
    <row r="1011" ht="19.5" customHeight="1">
      <c r="A1011" s="8"/>
      <c r="B1011" s="13"/>
      <c r="C1011" s="8"/>
      <c r="D1011" s="14"/>
      <c r="E1011" s="3"/>
      <c r="F1011" s="10"/>
      <c r="G1011" s="11"/>
      <c r="H1011" s="6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 ht="19.5" customHeight="1">
      <c r="A1012" s="8"/>
      <c r="B1012" s="13"/>
      <c r="C1012" s="8"/>
      <c r="D1012" s="14"/>
      <c r="E1012" s="3"/>
      <c r="F1012" s="10"/>
      <c r="G1012" s="11"/>
      <c r="H1012" s="6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</row>
    <row r="1013" ht="19.5" customHeight="1">
      <c r="A1013" s="8"/>
      <c r="B1013" s="13"/>
      <c r="C1013" s="8"/>
      <c r="D1013" s="14"/>
      <c r="E1013" s="3"/>
      <c r="F1013" s="10"/>
      <c r="G1013" s="11"/>
      <c r="H1013" s="6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 ht="19.5" customHeight="1">
      <c r="A1014" s="8"/>
      <c r="B1014" s="13"/>
      <c r="C1014" s="8"/>
      <c r="D1014" s="14"/>
      <c r="E1014" s="3"/>
      <c r="F1014" s="10"/>
      <c r="G1014" s="11"/>
      <c r="H1014" s="6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</row>
    <row r="1015" ht="19.5" customHeight="1">
      <c r="A1015" s="8"/>
      <c r="B1015" s="13"/>
      <c r="C1015" s="8"/>
      <c r="D1015" s="14"/>
      <c r="E1015" s="3"/>
      <c r="F1015" s="10"/>
      <c r="G1015" s="11"/>
      <c r="H1015" s="6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 ht="19.5" customHeight="1">
      <c r="A1016" s="8"/>
      <c r="B1016" s="13"/>
      <c r="C1016" s="8"/>
      <c r="D1016" s="14"/>
      <c r="E1016" s="3"/>
      <c r="F1016" s="10"/>
      <c r="G1016" s="11"/>
      <c r="H1016" s="6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</row>
    <row r="1017" ht="19.5" customHeight="1">
      <c r="A1017" s="8"/>
      <c r="B1017" s="13"/>
      <c r="C1017" s="8"/>
      <c r="D1017" s="14"/>
      <c r="E1017" s="3"/>
      <c r="F1017" s="10"/>
      <c r="G1017" s="11"/>
      <c r="H1017" s="6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 ht="19.5" customHeight="1">
      <c r="A1018" s="8"/>
      <c r="B1018" s="13"/>
      <c r="C1018" s="8"/>
      <c r="D1018" s="14"/>
      <c r="E1018" s="3"/>
      <c r="F1018" s="10"/>
      <c r="G1018" s="11"/>
      <c r="H1018" s="6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</row>
    <row r="1019" ht="19.5" customHeight="1">
      <c r="A1019" s="8"/>
      <c r="B1019" s="13"/>
      <c r="C1019" s="8"/>
      <c r="D1019" s="14"/>
      <c r="E1019" s="3"/>
      <c r="F1019" s="10"/>
      <c r="G1019" s="11"/>
      <c r="H1019" s="6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  <row r="1020" ht="19.5" customHeight="1">
      <c r="A1020" s="8"/>
      <c r="B1020" s="13"/>
      <c r="C1020" s="8"/>
      <c r="D1020" s="14"/>
      <c r="E1020" s="3"/>
      <c r="F1020" s="10"/>
      <c r="G1020" s="11"/>
      <c r="H1020" s="6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</row>
    <row r="1021" ht="19.5" customHeight="1">
      <c r="A1021" s="8"/>
      <c r="B1021" s="13"/>
      <c r="C1021" s="8"/>
      <c r="D1021" s="14"/>
      <c r="E1021" s="3"/>
      <c r="F1021" s="10"/>
      <c r="G1021" s="11"/>
      <c r="H1021" s="6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 ht="19.5" customHeight="1">
      <c r="A1022" s="8"/>
      <c r="B1022" s="13"/>
      <c r="C1022" s="8"/>
      <c r="D1022" s="14"/>
      <c r="E1022" s="3"/>
      <c r="F1022" s="10"/>
      <c r="G1022" s="11"/>
      <c r="H1022" s="6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</row>
    <row r="1023" ht="19.5" customHeight="1">
      <c r="A1023" s="8"/>
      <c r="B1023" s="13"/>
      <c r="C1023" s="8"/>
      <c r="D1023" s="14"/>
      <c r="E1023" s="3"/>
      <c r="F1023" s="10"/>
      <c r="G1023" s="11"/>
      <c r="H1023" s="6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</row>
    <row r="1024" ht="19.5" customHeight="1">
      <c r="A1024" s="8"/>
      <c r="B1024" s="13"/>
      <c r="C1024" s="8"/>
      <c r="D1024" s="14"/>
      <c r="E1024" s="3"/>
      <c r="F1024" s="10"/>
      <c r="G1024" s="11"/>
      <c r="H1024" s="6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</row>
    <row r="1025" ht="19.5" customHeight="1">
      <c r="A1025" s="8"/>
      <c r="B1025" s="13"/>
      <c r="C1025" s="8"/>
      <c r="D1025" s="14"/>
      <c r="E1025" s="3"/>
      <c r="F1025" s="10"/>
      <c r="G1025" s="11"/>
      <c r="H1025" s="6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 ht="19.5" customHeight="1">
      <c r="A1026" s="8"/>
      <c r="B1026" s="13"/>
      <c r="C1026" s="8"/>
      <c r="D1026" s="14"/>
      <c r="E1026" s="3"/>
      <c r="F1026" s="10"/>
      <c r="G1026" s="11"/>
      <c r="H1026" s="6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</row>
    <row r="1027" ht="19.5" customHeight="1">
      <c r="A1027" s="8"/>
      <c r="B1027" s="13"/>
      <c r="C1027" s="8"/>
      <c r="D1027" s="14"/>
      <c r="E1027" s="3"/>
      <c r="F1027" s="10"/>
      <c r="G1027" s="11"/>
      <c r="H1027" s="6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 ht="19.5" customHeight="1">
      <c r="A1028" s="8"/>
      <c r="B1028" s="13"/>
      <c r="C1028" s="8"/>
      <c r="D1028" s="14"/>
      <c r="E1028" s="3"/>
      <c r="F1028" s="10"/>
      <c r="G1028" s="11"/>
      <c r="H1028" s="6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</row>
    <row r="1029" ht="19.5" customHeight="1">
      <c r="A1029" s="8"/>
      <c r="B1029" s="13"/>
      <c r="C1029" s="8"/>
      <c r="D1029" s="14"/>
      <c r="E1029" s="3"/>
      <c r="F1029" s="10"/>
      <c r="G1029" s="11"/>
      <c r="H1029" s="6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</row>
    <row r="1030" ht="19.5" customHeight="1">
      <c r="A1030" s="8"/>
      <c r="B1030" s="13"/>
      <c r="C1030" s="8"/>
      <c r="D1030" s="14"/>
      <c r="E1030" s="3"/>
      <c r="F1030" s="10"/>
      <c r="G1030" s="11"/>
      <c r="H1030" s="6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</row>
    <row r="1031" ht="19.5" customHeight="1">
      <c r="A1031" s="8"/>
      <c r="B1031" s="13"/>
      <c r="C1031" s="8"/>
      <c r="D1031" s="14"/>
      <c r="E1031" s="3"/>
      <c r="F1031" s="10"/>
      <c r="G1031" s="11"/>
      <c r="H1031" s="6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 ht="19.5" customHeight="1">
      <c r="A1032" s="8"/>
      <c r="B1032" s="13"/>
      <c r="C1032" s="8"/>
      <c r="D1032" s="14"/>
      <c r="E1032" s="3"/>
      <c r="F1032" s="10"/>
      <c r="G1032" s="11"/>
      <c r="H1032" s="6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</row>
    <row r="1033" ht="19.5" customHeight="1">
      <c r="A1033" s="8"/>
      <c r="B1033" s="13"/>
      <c r="C1033" s="8"/>
      <c r="D1033" s="14"/>
      <c r="E1033" s="3"/>
      <c r="F1033" s="10"/>
      <c r="G1033" s="11"/>
      <c r="H1033" s="6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</row>
    <row r="1034" ht="19.5" customHeight="1">
      <c r="A1034" s="8"/>
      <c r="B1034" s="13"/>
      <c r="C1034" s="8"/>
      <c r="D1034" s="14"/>
      <c r="E1034" s="3"/>
      <c r="F1034" s="10"/>
      <c r="G1034" s="11"/>
      <c r="H1034" s="6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</row>
    <row r="1035" ht="19.5" customHeight="1">
      <c r="A1035" s="8"/>
      <c r="B1035" s="13"/>
      <c r="C1035" s="8"/>
      <c r="D1035" s="14"/>
      <c r="E1035" s="3"/>
      <c r="F1035" s="10"/>
      <c r="G1035" s="11"/>
      <c r="H1035" s="6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</row>
    <row r="1036" ht="19.5" customHeight="1">
      <c r="A1036" s="8"/>
      <c r="B1036" s="13"/>
      <c r="C1036" s="8"/>
      <c r="D1036" s="14"/>
      <c r="E1036" s="3"/>
      <c r="F1036" s="10"/>
      <c r="G1036" s="11"/>
      <c r="H1036" s="6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</row>
    <row r="1037" ht="19.5" customHeight="1">
      <c r="A1037" s="8"/>
      <c r="B1037" s="13"/>
      <c r="C1037" s="8"/>
      <c r="D1037" s="14"/>
      <c r="E1037" s="3"/>
      <c r="F1037" s="10"/>
      <c r="G1037" s="11"/>
      <c r="H1037" s="6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</row>
    <row r="1038" ht="19.5" customHeight="1">
      <c r="A1038" s="8"/>
      <c r="B1038" s="13"/>
      <c r="C1038" s="8"/>
      <c r="D1038" s="14"/>
      <c r="E1038" s="3"/>
      <c r="F1038" s="10"/>
      <c r="G1038" s="11"/>
      <c r="H1038" s="6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</row>
    <row r="1039" ht="19.5" customHeight="1">
      <c r="A1039" s="8"/>
      <c r="B1039" s="13"/>
      <c r="C1039" s="8"/>
      <c r="D1039" s="14"/>
      <c r="E1039" s="3"/>
      <c r="F1039" s="10"/>
      <c r="G1039" s="11"/>
      <c r="H1039" s="6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</row>
    <row r="1040" ht="19.5" customHeight="1">
      <c r="A1040" s="8"/>
      <c r="B1040" s="13"/>
      <c r="C1040" s="8"/>
      <c r="D1040" s="14"/>
      <c r="E1040" s="3"/>
      <c r="F1040" s="10"/>
      <c r="G1040" s="11"/>
      <c r="H1040" s="6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</row>
    <row r="1041" ht="19.5" customHeight="1">
      <c r="A1041" s="8"/>
      <c r="B1041" s="13"/>
      <c r="C1041" s="8"/>
      <c r="D1041" s="14"/>
      <c r="E1041" s="3"/>
      <c r="F1041" s="10"/>
      <c r="G1041" s="11"/>
      <c r="H1041" s="6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</row>
    <row r="1042" ht="19.5" customHeight="1">
      <c r="A1042" s="8"/>
      <c r="B1042" s="13"/>
      <c r="C1042" s="8"/>
      <c r="D1042" s="14"/>
      <c r="E1042" s="3"/>
      <c r="F1042" s="10"/>
      <c r="G1042" s="11"/>
      <c r="H1042" s="6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</row>
    <row r="1043" ht="19.5" customHeight="1">
      <c r="A1043" s="8"/>
      <c r="B1043" s="13"/>
      <c r="C1043" s="8"/>
      <c r="D1043" s="14"/>
      <c r="E1043" s="3"/>
      <c r="F1043" s="10"/>
      <c r="G1043" s="11"/>
      <c r="H1043" s="6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</row>
    <row r="1044" ht="19.5" customHeight="1">
      <c r="A1044" s="8"/>
      <c r="B1044" s="13"/>
      <c r="C1044" s="8"/>
      <c r="D1044" s="14"/>
      <c r="E1044" s="3"/>
      <c r="F1044" s="10"/>
      <c r="G1044" s="11"/>
      <c r="H1044" s="6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</row>
    <row r="1045" ht="19.5" customHeight="1">
      <c r="A1045" s="8"/>
      <c r="B1045" s="13"/>
      <c r="C1045" s="8"/>
      <c r="D1045" s="14"/>
      <c r="E1045" s="3"/>
      <c r="F1045" s="10"/>
      <c r="G1045" s="11"/>
      <c r="H1045" s="6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</row>
    <row r="1046" ht="19.5" customHeight="1">
      <c r="A1046" s="8"/>
      <c r="B1046" s="13"/>
      <c r="C1046" s="8"/>
      <c r="D1046" s="14"/>
      <c r="E1046" s="3"/>
      <c r="F1046" s="10"/>
      <c r="G1046" s="11"/>
      <c r="H1046" s="6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</row>
    <row r="1047" ht="19.5" customHeight="1">
      <c r="A1047" s="8"/>
      <c r="B1047" s="13"/>
      <c r="C1047" s="8"/>
      <c r="D1047" s="14"/>
      <c r="E1047" s="3"/>
      <c r="F1047" s="10"/>
      <c r="G1047" s="11"/>
      <c r="H1047" s="6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</row>
    <row r="1048" ht="19.5" customHeight="1">
      <c r="A1048" s="8"/>
      <c r="B1048" s="13"/>
      <c r="C1048" s="8"/>
      <c r="D1048" s="14"/>
      <c r="E1048" s="3"/>
      <c r="F1048" s="10"/>
      <c r="G1048" s="11"/>
      <c r="H1048" s="6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</row>
    <row r="1049" ht="19.5" customHeight="1">
      <c r="A1049" s="8"/>
      <c r="B1049" s="13"/>
      <c r="C1049" s="8"/>
      <c r="D1049" s="14"/>
      <c r="E1049" s="3"/>
      <c r="F1049" s="10"/>
      <c r="G1049" s="11"/>
      <c r="H1049" s="6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</row>
    <row r="1050" ht="19.5" customHeight="1">
      <c r="A1050" s="8"/>
      <c r="B1050" s="13"/>
      <c r="C1050" s="8"/>
      <c r="D1050" s="14"/>
      <c r="E1050" s="3"/>
      <c r="F1050" s="10"/>
      <c r="G1050" s="11"/>
      <c r="H1050" s="6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</row>
    <row r="1051" ht="19.5" customHeight="1">
      <c r="A1051" s="8"/>
      <c r="B1051" s="13"/>
      <c r="C1051" s="8"/>
      <c r="D1051" s="14"/>
      <c r="E1051" s="3"/>
      <c r="F1051" s="10"/>
      <c r="G1051" s="11"/>
      <c r="H1051" s="6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</row>
    <row r="1052" ht="19.5" customHeight="1">
      <c r="A1052" s="8"/>
      <c r="B1052" s="13"/>
      <c r="C1052" s="8"/>
      <c r="D1052" s="14"/>
      <c r="E1052" s="3"/>
      <c r="F1052" s="10"/>
      <c r="G1052" s="11"/>
      <c r="H1052" s="6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</row>
    <row r="1053" ht="19.5" customHeight="1">
      <c r="A1053" s="8"/>
      <c r="B1053" s="13"/>
      <c r="C1053" s="8"/>
      <c r="D1053" s="14"/>
      <c r="E1053" s="3"/>
      <c r="F1053" s="10"/>
      <c r="G1053" s="11"/>
      <c r="H1053" s="6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</row>
    <row r="1054" ht="19.5" customHeight="1">
      <c r="A1054" s="8"/>
      <c r="B1054" s="13"/>
      <c r="C1054" s="8"/>
      <c r="D1054" s="14"/>
      <c r="E1054" s="3"/>
      <c r="F1054" s="10"/>
      <c r="G1054" s="11"/>
      <c r="H1054" s="6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</row>
    <row r="1055" ht="19.5" customHeight="1">
      <c r="A1055" s="8"/>
      <c r="B1055" s="13"/>
      <c r="C1055" s="8"/>
      <c r="D1055" s="14"/>
      <c r="E1055" s="3"/>
      <c r="F1055" s="10"/>
      <c r="G1055" s="11"/>
      <c r="H1055" s="6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</row>
    <row r="1056" ht="19.5" customHeight="1">
      <c r="A1056" s="8"/>
      <c r="B1056" s="13"/>
      <c r="C1056" s="8"/>
      <c r="D1056" s="14"/>
      <c r="E1056" s="3"/>
      <c r="F1056" s="10"/>
      <c r="G1056" s="11"/>
      <c r="H1056" s="6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</row>
    <row r="1057" ht="19.5" customHeight="1">
      <c r="A1057" s="8"/>
      <c r="B1057" s="13"/>
      <c r="C1057" s="8"/>
      <c r="D1057" s="14"/>
      <c r="E1057" s="3"/>
      <c r="F1057" s="10"/>
      <c r="G1057" s="11"/>
      <c r="H1057" s="6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</row>
    <row r="1058" ht="19.5" customHeight="1">
      <c r="A1058" s="8"/>
      <c r="B1058" s="13"/>
      <c r="C1058" s="8"/>
      <c r="D1058" s="14"/>
      <c r="E1058" s="3"/>
      <c r="F1058" s="10"/>
      <c r="G1058" s="11"/>
      <c r="H1058" s="6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</row>
    <row r="1059" ht="19.5" customHeight="1">
      <c r="A1059" s="8"/>
      <c r="B1059" s="13"/>
      <c r="C1059" s="8"/>
      <c r="D1059" s="14"/>
      <c r="E1059" s="3"/>
      <c r="F1059" s="10"/>
      <c r="G1059" s="11"/>
      <c r="H1059" s="6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</row>
    <row r="1060" ht="19.5" customHeight="1">
      <c r="A1060" s="8"/>
      <c r="B1060" s="13"/>
      <c r="C1060" s="8"/>
      <c r="D1060" s="14"/>
      <c r="E1060" s="3"/>
      <c r="F1060" s="10"/>
      <c r="G1060" s="11"/>
      <c r="H1060" s="6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</row>
    <row r="1061" ht="19.5" customHeight="1">
      <c r="A1061" s="8"/>
      <c r="B1061" s="13"/>
      <c r="C1061" s="8"/>
      <c r="D1061" s="14"/>
      <c r="E1061" s="3"/>
      <c r="F1061" s="10"/>
      <c r="G1061" s="11"/>
      <c r="H1061" s="6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</row>
    <row r="1062" ht="19.5" customHeight="1">
      <c r="A1062" s="8"/>
      <c r="B1062" s="13"/>
      <c r="C1062" s="8"/>
      <c r="D1062" s="14"/>
      <c r="E1062" s="3"/>
      <c r="F1062" s="10"/>
      <c r="G1062" s="11"/>
      <c r="H1062" s="6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</row>
    <row r="1063" ht="19.5" customHeight="1">
      <c r="A1063" s="8"/>
      <c r="B1063" s="13"/>
      <c r="C1063" s="8"/>
      <c r="D1063" s="14"/>
      <c r="E1063" s="3"/>
      <c r="F1063" s="10"/>
      <c r="G1063" s="11"/>
      <c r="H1063" s="6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</row>
    <row r="1064" ht="19.5" customHeight="1">
      <c r="A1064" s="8"/>
      <c r="B1064" s="13"/>
      <c r="C1064" s="8"/>
      <c r="D1064" s="14"/>
      <c r="E1064" s="3"/>
      <c r="F1064" s="10"/>
      <c r="G1064" s="11"/>
      <c r="H1064" s="6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</row>
    <row r="1065" ht="19.5" customHeight="1">
      <c r="A1065" s="8"/>
      <c r="B1065" s="13"/>
      <c r="C1065" s="8"/>
      <c r="D1065" s="14"/>
      <c r="E1065" s="3"/>
      <c r="F1065" s="10"/>
      <c r="G1065" s="11"/>
      <c r="H1065" s="6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</row>
    <row r="1066" ht="19.5" customHeight="1">
      <c r="A1066" s="8"/>
      <c r="B1066" s="13"/>
      <c r="C1066" s="8"/>
      <c r="D1066" s="14"/>
      <c r="E1066" s="3"/>
      <c r="F1066" s="10"/>
      <c r="G1066" s="11"/>
      <c r="H1066" s="6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</row>
    <row r="1067" ht="19.5" customHeight="1">
      <c r="A1067" s="8"/>
      <c r="B1067" s="13"/>
      <c r="C1067" s="8"/>
      <c r="D1067" s="14"/>
      <c r="E1067" s="3"/>
      <c r="F1067" s="10"/>
      <c r="G1067" s="11"/>
      <c r="H1067" s="6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</row>
    <row r="1068" ht="19.5" customHeight="1">
      <c r="A1068" s="8"/>
      <c r="B1068" s="13"/>
      <c r="C1068" s="8"/>
      <c r="D1068" s="14"/>
      <c r="E1068" s="3"/>
      <c r="F1068" s="10"/>
      <c r="G1068" s="11"/>
      <c r="H1068" s="6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</row>
    <row r="1069" ht="19.5" customHeight="1">
      <c r="A1069" s="8"/>
      <c r="B1069" s="13"/>
      <c r="C1069" s="8"/>
      <c r="D1069" s="14"/>
      <c r="E1069" s="3"/>
      <c r="F1069" s="10"/>
      <c r="G1069" s="11"/>
      <c r="H1069" s="6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</row>
    <row r="1070" ht="19.5" customHeight="1">
      <c r="A1070" s="8"/>
      <c r="B1070" s="13"/>
      <c r="C1070" s="8"/>
      <c r="D1070" s="14"/>
      <c r="E1070" s="3"/>
      <c r="F1070" s="10"/>
      <c r="G1070" s="11"/>
      <c r="H1070" s="6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</row>
    <row r="1071" ht="19.5" customHeight="1">
      <c r="A1071" s="8"/>
      <c r="B1071" s="13"/>
      <c r="C1071" s="8"/>
      <c r="D1071" s="14"/>
      <c r="E1071" s="3"/>
      <c r="F1071" s="10"/>
      <c r="G1071" s="11"/>
      <c r="H1071" s="6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</row>
    <row r="1072" ht="19.5" customHeight="1">
      <c r="A1072" s="8"/>
      <c r="B1072" s="13"/>
      <c r="C1072" s="8"/>
      <c r="D1072" s="14"/>
      <c r="E1072" s="3"/>
      <c r="F1072" s="10"/>
      <c r="G1072" s="11"/>
      <c r="H1072" s="6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</row>
    <row r="1073" ht="19.5" customHeight="1">
      <c r="A1073" s="8"/>
      <c r="B1073" s="13"/>
      <c r="C1073" s="8"/>
      <c r="D1073" s="14"/>
      <c r="E1073" s="3"/>
      <c r="F1073" s="10"/>
      <c r="G1073" s="11"/>
      <c r="H1073" s="6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</row>
    <row r="1074" ht="19.5" customHeight="1">
      <c r="A1074" s="8"/>
      <c r="B1074" s="13"/>
      <c r="C1074" s="8"/>
      <c r="D1074" s="14"/>
      <c r="E1074" s="3"/>
      <c r="F1074" s="10"/>
      <c r="G1074" s="11"/>
      <c r="H1074" s="6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</row>
    <row r="1075" ht="19.5" customHeight="1">
      <c r="A1075" s="8"/>
      <c r="B1075" s="13"/>
      <c r="C1075" s="8"/>
      <c r="D1075" s="14"/>
      <c r="E1075" s="3"/>
      <c r="F1075" s="10"/>
      <c r="G1075" s="11"/>
      <c r="H1075" s="6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</row>
    <row r="1076" ht="19.5" customHeight="1">
      <c r="A1076" s="8"/>
      <c r="B1076" s="13"/>
      <c r="C1076" s="8"/>
      <c r="D1076" s="14"/>
      <c r="E1076" s="3"/>
      <c r="F1076" s="10"/>
      <c r="G1076" s="11"/>
      <c r="H1076" s="6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</row>
    <row r="1077" ht="19.5" customHeight="1">
      <c r="A1077" s="8"/>
      <c r="B1077" s="13"/>
      <c r="C1077" s="8"/>
      <c r="D1077" s="14"/>
      <c r="E1077" s="3"/>
      <c r="F1077" s="10"/>
      <c r="G1077" s="11"/>
      <c r="H1077" s="6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</row>
    <row r="1078" ht="19.5" customHeight="1">
      <c r="A1078" s="8"/>
      <c r="B1078" s="13"/>
      <c r="C1078" s="8"/>
      <c r="D1078" s="14"/>
      <c r="E1078" s="3"/>
      <c r="F1078" s="10"/>
      <c r="G1078" s="11"/>
      <c r="H1078" s="6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</row>
    <row r="1079" ht="19.5" customHeight="1">
      <c r="A1079" s="8"/>
      <c r="B1079" s="13"/>
      <c r="C1079" s="8"/>
      <c r="D1079" s="14"/>
      <c r="E1079" s="3"/>
      <c r="F1079" s="10"/>
      <c r="G1079" s="11"/>
      <c r="H1079" s="6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</row>
    <row r="1080" ht="19.5" customHeight="1">
      <c r="A1080" s="8"/>
      <c r="B1080" s="13"/>
      <c r="C1080" s="8"/>
      <c r="D1080" s="14"/>
      <c r="E1080" s="3"/>
      <c r="F1080" s="10"/>
      <c r="G1080" s="11"/>
      <c r="H1080" s="6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</row>
    <row r="1081" ht="19.5" customHeight="1">
      <c r="A1081" s="8"/>
      <c r="B1081" s="13"/>
      <c r="C1081" s="8"/>
      <c r="D1081" s="14"/>
      <c r="E1081" s="3"/>
      <c r="F1081" s="10"/>
      <c r="G1081" s="11"/>
      <c r="H1081" s="6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</row>
    <row r="1082" ht="19.5" customHeight="1">
      <c r="A1082" s="8"/>
      <c r="B1082" s="13"/>
      <c r="C1082" s="8"/>
      <c r="D1082" s="14"/>
      <c r="E1082" s="3"/>
      <c r="F1082" s="10"/>
      <c r="G1082" s="11"/>
      <c r="H1082" s="6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</row>
    <row r="1083" ht="19.5" customHeight="1">
      <c r="A1083" s="8"/>
      <c r="B1083" s="13"/>
      <c r="C1083" s="8"/>
      <c r="D1083" s="14"/>
      <c r="E1083" s="3"/>
      <c r="F1083" s="10"/>
      <c r="G1083" s="11"/>
      <c r="H1083" s="6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</row>
    <row r="1084" ht="19.5" customHeight="1">
      <c r="A1084" s="8"/>
      <c r="B1084" s="13"/>
      <c r="C1084" s="8"/>
      <c r="D1084" s="14"/>
      <c r="E1084" s="3"/>
      <c r="F1084" s="10"/>
      <c r="G1084" s="11"/>
      <c r="H1084" s="6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</row>
    <row r="1085" ht="19.5" customHeight="1">
      <c r="A1085" s="8"/>
      <c r="B1085" s="13"/>
      <c r="C1085" s="8"/>
      <c r="D1085" s="14"/>
      <c r="E1085" s="3"/>
      <c r="F1085" s="10"/>
      <c r="G1085" s="11"/>
      <c r="H1085" s="6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</row>
    <row r="1086" ht="19.5" customHeight="1">
      <c r="A1086" s="8"/>
      <c r="B1086" s="13"/>
      <c r="C1086" s="8"/>
      <c r="D1086" s="14"/>
      <c r="E1086" s="3"/>
      <c r="F1086" s="10"/>
      <c r="G1086" s="11"/>
      <c r="H1086" s="6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</row>
    <row r="1087" ht="19.5" customHeight="1">
      <c r="A1087" s="8"/>
      <c r="B1087" s="13"/>
      <c r="C1087" s="8"/>
      <c r="D1087" s="14"/>
      <c r="E1087" s="3"/>
      <c r="F1087" s="10"/>
      <c r="G1087" s="11"/>
      <c r="H1087" s="6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</row>
    <row r="1088" ht="19.5" customHeight="1">
      <c r="A1088" s="8"/>
      <c r="B1088" s="13"/>
      <c r="C1088" s="8"/>
      <c r="D1088" s="14"/>
      <c r="E1088" s="3"/>
      <c r="F1088" s="10"/>
      <c r="G1088" s="11"/>
      <c r="H1088" s="6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</row>
    <row r="1089" ht="19.5" customHeight="1">
      <c r="A1089" s="8"/>
      <c r="B1089" s="13"/>
      <c r="C1089" s="8"/>
      <c r="D1089" s="14"/>
      <c r="E1089" s="3"/>
      <c r="F1089" s="10"/>
      <c r="G1089" s="11"/>
      <c r="H1089" s="6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</row>
    <row r="1090" ht="19.5" customHeight="1">
      <c r="A1090" s="8"/>
      <c r="B1090" s="13"/>
      <c r="C1090" s="8"/>
      <c r="D1090" s="14"/>
      <c r="E1090" s="3"/>
      <c r="F1090" s="10"/>
      <c r="G1090" s="11"/>
      <c r="H1090" s="6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</row>
    <row r="1091" ht="19.5" customHeight="1">
      <c r="A1091" s="8"/>
      <c r="B1091" s="13"/>
      <c r="C1091" s="8"/>
      <c r="D1091" s="14"/>
      <c r="E1091" s="3"/>
      <c r="F1091" s="10"/>
      <c r="G1091" s="11"/>
      <c r="H1091" s="6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</row>
    <row r="1092" ht="19.5" customHeight="1">
      <c r="A1092" s="8"/>
      <c r="B1092" s="13"/>
      <c r="C1092" s="8"/>
      <c r="D1092" s="14"/>
      <c r="E1092" s="3"/>
      <c r="F1092" s="10"/>
      <c r="G1092" s="11"/>
      <c r="H1092" s="6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</row>
    <row r="1093" ht="19.5" customHeight="1">
      <c r="A1093" s="8"/>
      <c r="B1093" s="13"/>
      <c r="C1093" s="8"/>
      <c r="D1093" s="14"/>
      <c r="E1093" s="3"/>
      <c r="F1093" s="10"/>
      <c r="G1093" s="11"/>
      <c r="H1093" s="6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</row>
    <row r="1094" ht="19.5" customHeight="1">
      <c r="A1094" s="8"/>
      <c r="B1094" s="13"/>
      <c r="C1094" s="8"/>
      <c r="D1094" s="14"/>
      <c r="E1094" s="3"/>
      <c r="F1094" s="10"/>
      <c r="G1094" s="11"/>
      <c r="H1094" s="6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</row>
    <row r="1095" ht="19.5" customHeight="1">
      <c r="A1095" s="8"/>
      <c r="B1095" s="13"/>
      <c r="C1095" s="8"/>
      <c r="D1095" s="14"/>
      <c r="E1095" s="3"/>
      <c r="F1095" s="10"/>
      <c r="G1095" s="11"/>
      <c r="H1095" s="6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</row>
    <row r="1096" ht="19.5" customHeight="1">
      <c r="A1096" s="8"/>
      <c r="B1096" s="13"/>
      <c r="C1096" s="8"/>
      <c r="D1096" s="14"/>
      <c r="E1096" s="3"/>
      <c r="F1096" s="10"/>
      <c r="G1096" s="11"/>
      <c r="H1096" s="6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</row>
    <row r="1097" ht="19.5" customHeight="1">
      <c r="A1097" s="8"/>
      <c r="B1097" s="13"/>
      <c r="C1097" s="8"/>
      <c r="D1097" s="14"/>
      <c r="E1097" s="3"/>
      <c r="F1097" s="10"/>
      <c r="G1097" s="11"/>
      <c r="H1097" s="6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</row>
    <row r="1098" ht="19.5" customHeight="1">
      <c r="A1098" s="8"/>
      <c r="B1098" s="13"/>
      <c r="C1098" s="8"/>
      <c r="D1098" s="14"/>
      <c r="E1098" s="3"/>
      <c r="F1098" s="10"/>
      <c r="G1098" s="11"/>
      <c r="H1098" s="6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</row>
    <row r="1099" ht="19.5" customHeight="1">
      <c r="A1099" s="8"/>
      <c r="B1099" s="13"/>
      <c r="C1099" s="8"/>
      <c r="D1099" s="14"/>
      <c r="E1099" s="3"/>
      <c r="F1099" s="10"/>
      <c r="G1099" s="11"/>
      <c r="H1099" s="6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</row>
    <row r="1100" ht="19.5" customHeight="1">
      <c r="A1100" s="8"/>
      <c r="B1100" s="13"/>
      <c r="C1100" s="8"/>
      <c r="D1100" s="14"/>
      <c r="E1100" s="3"/>
      <c r="F1100" s="10"/>
      <c r="G1100" s="11"/>
      <c r="H1100" s="6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</row>
    <row r="1101" ht="19.5" customHeight="1">
      <c r="A1101" s="8"/>
      <c r="B1101" s="13"/>
      <c r="C1101" s="8"/>
      <c r="D1101" s="14"/>
      <c r="E1101" s="3"/>
      <c r="F1101" s="10"/>
      <c r="G1101" s="11"/>
      <c r="H1101" s="6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</row>
    <row r="1102" ht="19.5" customHeight="1">
      <c r="A1102" s="8"/>
      <c r="B1102" s="13"/>
      <c r="C1102" s="8"/>
      <c r="D1102" s="14"/>
      <c r="E1102" s="3"/>
      <c r="F1102" s="10"/>
      <c r="G1102" s="11"/>
      <c r="H1102" s="6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</row>
    <row r="1103" ht="19.5" customHeight="1">
      <c r="A1103" s="8"/>
      <c r="B1103" s="13"/>
      <c r="C1103" s="8"/>
      <c r="D1103" s="14"/>
      <c r="E1103" s="3"/>
      <c r="F1103" s="10"/>
      <c r="G1103" s="11"/>
      <c r="H1103" s="6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</row>
    <row r="1104" ht="19.5" customHeight="1">
      <c r="A1104" s="8"/>
      <c r="B1104" s="13"/>
      <c r="C1104" s="8"/>
      <c r="D1104" s="14"/>
      <c r="E1104" s="3"/>
      <c r="F1104" s="10"/>
      <c r="G1104" s="11"/>
      <c r="H1104" s="6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</row>
    <row r="1105" ht="19.5" customHeight="1">
      <c r="A1105" s="8"/>
      <c r="B1105" s="13"/>
      <c r="C1105" s="8"/>
      <c r="D1105" s="14"/>
      <c r="E1105" s="3"/>
      <c r="F1105" s="10"/>
      <c r="G1105" s="11"/>
      <c r="H1105" s="6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</row>
    <row r="1106" ht="19.5" customHeight="1">
      <c r="A1106" s="8"/>
      <c r="B1106" s="13"/>
      <c r="C1106" s="8"/>
      <c r="D1106" s="14"/>
      <c r="E1106" s="3"/>
      <c r="F1106" s="10"/>
      <c r="G1106" s="11"/>
      <c r="H1106" s="6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</row>
    <row r="1107" ht="19.5" customHeight="1">
      <c r="A1107" s="8"/>
      <c r="B1107" s="13"/>
      <c r="C1107" s="8"/>
      <c r="D1107" s="14"/>
      <c r="E1107" s="3"/>
      <c r="F1107" s="10"/>
      <c r="G1107" s="11"/>
      <c r="H1107" s="6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</row>
    <row r="1108" ht="19.5" customHeight="1">
      <c r="A1108" s="8"/>
      <c r="B1108" s="13"/>
      <c r="C1108" s="8"/>
      <c r="D1108" s="14"/>
      <c r="E1108" s="3"/>
      <c r="F1108" s="10"/>
      <c r="G1108" s="11"/>
      <c r="H1108" s="6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</row>
    <row r="1109" ht="19.5" customHeight="1">
      <c r="A1109" s="8"/>
      <c r="B1109" s="13"/>
      <c r="C1109" s="8"/>
      <c r="D1109" s="14"/>
      <c r="E1109" s="3"/>
      <c r="F1109" s="10"/>
      <c r="G1109" s="11"/>
      <c r="H1109" s="6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</row>
    <row r="1110" ht="19.5" customHeight="1">
      <c r="A1110" s="8"/>
      <c r="B1110" s="13"/>
      <c r="C1110" s="8"/>
      <c r="D1110" s="14"/>
      <c r="E1110" s="3"/>
      <c r="F1110" s="10"/>
      <c r="G1110" s="11"/>
      <c r="H1110" s="6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</row>
    <row r="1111" ht="19.5" customHeight="1">
      <c r="A1111" s="8"/>
      <c r="B1111" s="13"/>
      <c r="C1111" s="8"/>
      <c r="D1111" s="14"/>
      <c r="E1111" s="3"/>
      <c r="F1111" s="10"/>
      <c r="G1111" s="11"/>
      <c r="H1111" s="6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</row>
    <row r="1112" ht="19.5" customHeight="1">
      <c r="A1112" s="8"/>
      <c r="B1112" s="13"/>
      <c r="C1112" s="8"/>
      <c r="D1112" s="14"/>
      <c r="E1112" s="3"/>
      <c r="F1112" s="10"/>
      <c r="G1112" s="11"/>
      <c r="H1112" s="6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</row>
    <row r="1113" ht="19.5" customHeight="1">
      <c r="A1113" s="8"/>
      <c r="B1113" s="13"/>
      <c r="C1113" s="8"/>
      <c r="D1113" s="14"/>
      <c r="E1113" s="3"/>
      <c r="F1113" s="10"/>
      <c r="G1113" s="11"/>
      <c r="H1113" s="6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</row>
    <row r="1114" ht="19.5" customHeight="1">
      <c r="A1114" s="8"/>
      <c r="B1114" s="13"/>
      <c r="C1114" s="8"/>
      <c r="D1114" s="14"/>
      <c r="E1114" s="3"/>
      <c r="F1114" s="10"/>
      <c r="G1114" s="11"/>
      <c r="H1114" s="6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</row>
    <row r="1115" ht="19.5" customHeight="1">
      <c r="A1115" s="8"/>
      <c r="B1115" s="13"/>
      <c r="C1115" s="8"/>
      <c r="D1115" s="14"/>
      <c r="E1115" s="3"/>
      <c r="F1115" s="10"/>
      <c r="G1115" s="11"/>
      <c r="H1115" s="6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</row>
    <row r="1116" ht="19.5" customHeight="1">
      <c r="A1116" s="8"/>
      <c r="B1116" s="13"/>
      <c r="C1116" s="8"/>
      <c r="D1116" s="14"/>
      <c r="E1116" s="3"/>
      <c r="F1116" s="10"/>
      <c r="G1116" s="11"/>
      <c r="H1116" s="6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</row>
    <row r="1117" ht="19.5" customHeight="1">
      <c r="A1117" s="8"/>
      <c r="B1117" s="13"/>
      <c r="C1117" s="8"/>
      <c r="D1117" s="14"/>
      <c r="E1117" s="3"/>
      <c r="F1117" s="10"/>
      <c r="G1117" s="11"/>
      <c r="H1117" s="6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</row>
    <row r="1118" ht="19.5" customHeight="1">
      <c r="A1118" s="8"/>
      <c r="B1118" s="13"/>
      <c r="C1118" s="8"/>
      <c r="D1118" s="14"/>
      <c r="E1118" s="3"/>
      <c r="F1118" s="10"/>
      <c r="G1118" s="11"/>
      <c r="H1118" s="6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</row>
    <row r="1119" ht="19.5" customHeight="1">
      <c r="A1119" s="8"/>
      <c r="B1119" s="13"/>
      <c r="C1119" s="8"/>
      <c r="D1119" s="14"/>
      <c r="E1119" s="3"/>
      <c r="F1119" s="10"/>
      <c r="G1119" s="11"/>
      <c r="H1119" s="6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</row>
    <row r="1120" ht="19.5" customHeight="1">
      <c r="A1120" s="8"/>
      <c r="B1120" s="13"/>
      <c r="C1120" s="8"/>
      <c r="D1120" s="14"/>
      <c r="E1120" s="3"/>
      <c r="F1120" s="10"/>
      <c r="G1120" s="11"/>
      <c r="H1120" s="6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</row>
    <row r="1121" ht="19.5" customHeight="1">
      <c r="A1121" s="8"/>
      <c r="B1121" s="13"/>
      <c r="C1121" s="8"/>
      <c r="D1121" s="14"/>
      <c r="E1121" s="3"/>
      <c r="F1121" s="10"/>
      <c r="G1121" s="11"/>
      <c r="H1121" s="6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</row>
    <row r="1122" ht="19.5" customHeight="1">
      <c r="A1122" s="8"/>
      <c r="B1122" s="13"/>
      <c r="C1122" s="8"/>
      <c r="D1122" s="14"/>
      <c r="E1122" s="3"/>
      <c r="F1122" s="10"/>
      <c r="G1122" s="11"/>
      <c r="H1122" s="6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</row>
    <row r="1123" ht="19.5" customHeight="1">
      <c r="A1123" s="8"/>
      <c r="B1123" s="13"/>
      <c r="C1123" s="8"/>
      <c r="D1123" s="14"/>
      <c r="E1123" s="3"/>
      <c r="F1123" s="10"/>
      <c r="G1123" s="11"/>
      <c r="H1123" s="6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</row>
    <row r="1124" ht="19.5" customHeight="1">
      <c r="A1124" s="8"/>
      <c r="B1124" s="13"/>
      <c r="C1124" s="8"/>
      <c r="D1124" s="14"/>
      <c r="E1124" s="3"/>
      <c r="F1124" s="10"/>
      <c r="G1124" s="11"/>
      <c r="H1124" s="6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</row>
    <row r="1125" ht="19.5" customHeight="1">
      <c r="A1125" s="8"/>
      <c r="B1125" s="13"/>
      <c r="C1125" s="8"/>
      <c r="D1125" s="14"/>
      <c r="E1125" s="3"/>
      <c r="F1125" s="10"/>
      <c r="G1125" s="11"/>
      <c r="H1125" s="6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</row>
    <row r="1126" ht="19.5" customHeight="1">
      <c r="A1126" s="8"/>
      <c r="B1126" s="13"/>
      <c r="C1126" s="8"/>
      <c r="D1126" s="14"/>
      <c r="E1126" s="3"/>
      <c r="F1126" s="10"/>
      <c r="G1126" s="11"/>
      <c r="H1126" s="6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</row>
    <row r="1127" ht="19.5" customHeight="1">
      <c r="A1127" s="8"/>
      <c r="B1127" s="13"/>
      <c r="C1127" s="8"/>
      <c r="D1127" s="14"/>
      <c r="E1127" s="3"/>
      <c r="F1127" s="10"/>
      <c r="G1127" s="11"/>
      <c r="H1127" s="6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</row>
    <row r="1128" ht="19.5" customHeight="1">
      <c r="A1128" s="8"/>
      <c r="B1128" s="13"/>
      <c r="C1128" s="8"/>
      <c r="D1128" s="14"/>
      <c r="E1128" s="3"/>
      <c r="F1128" s="10"/>
      <c r="G1128" s="11"/>
      <c r="H1128" s="6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</row>
    <row r="1129" ht="19.5" customHeight="1">
      <c r="A1129" s="8"/>
      <c r="B1129" s="13"/>
      <c r="C1129" s="8"/>
      <c r="D1129" s="14"/>
      <c r="E1129" s="3"/>
      <c r="F1129" s="10"/>
      <c r="G1129" s="11"/>
      <c r="H1129" s="6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</row>
    <row r="1130" ht="19.5" customHeight="1">
      <c r="A1130" s="8"/>
      <c r="B1130" s="13"/>
      <c r="C1130" s="8"/>
      <c r="D1130" s="14"/>
      <c r="E1130" s="3"/>
      <c r="F1130" s="10"/>
      <c r="G1130" s="11"/>
      <c r="H1130" s="6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</row>
    <row r="1131" ht="19.5" customHeight="1">
      <c r="A1131" s="8"/>
      <c r="B1131" s="13"/>
      <c r="C1131" s="8"/>
      <c r="D1131" s="14"/>
      <c r="E1131" s="3"/>
      <c r="F1131" s="10"/>
      <c r="G1131" s="11"/>
      <c r="H1131" s="6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</row>
    <row r="1132" ht="19.5" customHeight="1">
      <c r="A1132" s="8"/>
      <c r="B1132" s="13"/>
      <c r="C1132" s="8"/>
      <c r="D1132" s="14"/>
      <c r="E1132" s="3"/>
      <c r="F1132" s="10"/>
      <c r="G1132" s="11"/>
      <c r="H1132" s="6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</row>
    <row r="1133" ht="19.5" customHeight="1">
      <c r="A1133" s="8"/>
      <c r="B1133" s="13"/>
      <c r="C1133" s="8"/>
      <c r="D1133" s="14"/>
      <c r="E1133" s="3"/>
      <c r="F1133" s="10"/>
      <c r="G1133" s="11"/>
      <c r="H1133" s="6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</row>
    <row r="1134" ht="19.5" customHeight="1">
      <c r="A1134" s="8"/>
      <c r="B1134" s="13"/>
      <c r="C1134" s="8"/>
      <c r="D1134" s="14"/>
      <c r="E1134" s="3"/>
      <c r="F1134" s="10"/>
      <c r="G1134" s="11"/>
      <c r="H1134" s="6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</row>
    <row r="1135" ht="19.5" customHeight="1">
      <c r="A1135" s="8"/>
      <c r="B1135" s="13"/>
      <c r="C1135" s="8"/>
      <c r="D1135" s="14"/>
      <c r="E1135" s="3"/>
      <c r="F1135" s="10"/>
      <c r="G1135" s="11"/>
      <c r="H1135" s="6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</row>
    <row r="1136" ht="19.5" customHeight="1">
      <c r="A1136" s="8"/>
      <c r="B1136" s="13"/>
      <c r="C1136" s="8"/>
      <c r="D1136" s="14"/>
      <c r="E1136" s="3"/>
      <c r="F1136" s="10"/>
      <c r="G1136" s="11"/>
      <c r="H1136" s="6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</row>
    <row r="1137" ht="19.5" customHeight="1">
      <c r="A1137" s="8"/>
      <c r="B1137" s="13"/>
      <c r="C1137" s="8"/>
      <c r="D1137" s="14"/>
      <c r="E1137" s="3"/>
      <c r="F1137" s="10"/>
      <c r="G1137" s="11"/>
      <c r="H1137" s="6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</row>
    <row r="1138" ht="19.5" customHeight="1">
      <c r="A1138" s="8"/>
      <c r="B1138" s="13"/>
      <c r="C1138" s="8"/>
      <c r="D1138" s="14"/>
      <c r="E1138" s="3"/>
      <c r="F1138" s="10"/>
      <c r="G1138" s="11"/>
      <c r="H1138" s="6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</row>
    <row r="1139" ht="19.5" customHeight="1">
      <c r="A1139" s="8"/>
      <c r="B1139" s="13"/>
      <c r="C1139" s="8"/>
      <c r="D1139" s="14"/>
      <c r="E1139" s="3"/>
      <c r="F1139" s="10"/>
      <c r="G1139" s="11"/>
      <c r="H1139" s="6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</row>
    <row r="1140" ht="19.5" customHeight="1">
      <c r="A1140" s="8"/>
      <c r="B1140" s="13"/>
      <c r="C1140" s="8"/>
      <c r="D1140" s="14"/>
      <c r="E1140" s="3"/>
      <c r="F1140" s="10"/>
      <c r="G1140" s="11"/>
      <c r="H1140" s="6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</row>
    <row r="1141" ht="19.5" customHeight="1">
      <c r="A1141" s="8"/>
      <c r="B1141" s="13"/>
      <c r="C1141" s="8"/>
      <c r="D1141" s="14"/>
      <c r="E1141" s="3"/>
      <c r="F1141" s="10"/>
      <c r="G1141" s="11"/>
      <c r="H1141" s="6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</row>
    <row r="1142" ht="19.5" customHeight="1">
      <c r="A1142" s="8"/>
      <c r="B1142" s="13"/>
      <c r="C1142" s="8"/>
      <c r="D1142" s="14"/>
      <c r="E1142" s="3"/>
      <c r="F1142" s="10"/>
      <c r="G1142" s="11"/>
      <c r="H1142" s="6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</row>
    <row r="1143" ht="19.5" customHeight="1">
      <c r="A1143" s="8"/>
      <c r="B1143" s="13"/>
      <c r="C1143" s="8"/>
      <c r="D1143" s="14"/>
      <c r="E1143" s="3"/>
      <c r="F1143" s="10"/>
      <c r="G1143" s="11"/>
      <c r="H1143" s="6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</row>
    <row r="1144" ht="19.5" customHeight="1">
      <c r="A1144" s="8"/>
      <c r="B1144" s="13"/>
      <c r="C1144" s="8"/>
      <c r="D1144" s="14"/>
      <c r="E1144" s="3"/>
      <c r="F1144" s="10"/>
      <c r="G1144" s="11"/>
      <c r="H1144" s="6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</row>
    <row r="1145" ht="19.5" customHeight="1">
      <c r="A1145" s="8"/>
      <c r="B1145" s="13"/>
      <c r="C1145" s="8"/>
      <c r="D1145" s="14"/>
      <c r="E1145" s="3"/>
      <c r="F1145" s="10"/>
      <c r="G1145" s="11"/>
      <c r="H1145" s="6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</row>
    <row r="1146" ht="19.5" customHeight="1">
      <c r="A1146" s="8"/>
      <c r="B1146" s="13"/>
      <c r="C1146" s="8"/>
      <c r="D1146" s="14"/>
      <c r="E1146" s="3"/>
      <c r="F1146" s="10"/>
      <c r="G1146" s="11"/>
      <c r="H1146" s="6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</row>
    <row r="1147" ht="19.5" customHeight="1">
      <c r="A1147" s="8"/>
      <c r="B1147" s="13"/>
      <c r="C1147" s="8"/>
      <c r="D1147" s="14"/>
      <c r="E1147" s="3"/>
      <c r="F1147" s="10"/>
      <c r="G1147" s="11"/>
      <c r="H1147" s="6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</row>
    <row r="1148" ht="19.5" customHeight="1">
      <c r="A1148" s="8"/>
      <c r="B1148" s="13"/>
      <c r="C1148" s="8"/>
      <c r="D1148" s="14"/>
      <c r="E1148" s="3"/>
      <c r="F1148" s="10"/>
      <c r="G1148" s="11"/>
      <c r="H1148" s="6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</row>
    <row r="1149" ht="19.5" customHeight="1">
      <c r="A1149" s="8"/>
      <c r="B1149" s="13"/>
      <c r="C1149" s="8"/>
      <c r="D1149" s="14"/>
      <c r="E1149" s="3"/>
      <c r="F1149" s="10"/>
      <c r="G1149" s="11"/>
      <c r="H1149" s="6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</row>
    <row r="1150" ht="19.5" customHeight="1">
      <c r="A1150" s="8"/>
      <c r="B1150" s="13"/>
      <c r="C1150" s="8"/>
      <c r="D1150" s="14"/>
      <c r="E1150" s="3"/>
      <c r="F1150" s="10"/>
      <c r="G1150" s="11"/>
      <c r="H1150" s="6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</row>
    <row r="1151" ht="19.5" customHeight="1">
      <c r="A1151" s="8"/>
      <c r="B1151" s="13"/>
      <c r="C1151" s="8"/>
      <c r="D1151" s="14"/>
      <c r="E1151" s="3"/>
      <c r="F1151" s="10"/>
      <c r="G1151" s="11"/>
      <c r="H1151" s="6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</row>
    <row r="1152" ht="19.5" customHeight="1">
      <c r="A1152" s="8"/>
      <c r="B1152" s="13"/>
      <c r="C1152" s="8"/>
      <c r="D1152" s="14"/>
      <c r="E1152" s="3"/>
      <c r="F1152" s="10"/>
      <c r="G1152" s="11"/>
      <c r="H1152" s="6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</row>
    <row r="1153" ht="19.5" customHeight="1">
      <c r="A1153" s="8"/>
      <c r="B1153" s="13"/>
      <c r="C1153" s="8"/>
      <c r="D1153" s="14"/>
      <c r="E1153" s="3"/>
      <c r="F1153" s="10"/>
      <c r="G1153" s="11"/>
      <c r="H1153" s="6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</row>
    <row r="1154" ht="19.5" customHeight="1">
      <c r="A1154" s="8"/>
      <c r="B1154" s="13"/>
      <c r="C1154" s="8"/>
      <c r="D1154" s="14"/>
      <c r="E1154" s="3"/>
      <c r="F1154" s="10"/>
      <c r="G1154" s="11"/>
      <c r="H1154" s="6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</row>
    <row r="1155" ht="19.5" customHeight="1">
      <c r="A1155" s="8"/>
      <c r="B1155" s="13"/>
      <c r="C1155" s="8"/>
      <c r="D1155" s="14"/>
      <c r="E1155" s="3"/>
      <c r="F1155" s="10"/>
      <c r="G1155" s="11"/>
      <c r="H1155" s="6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</row>
    <row r="1156" ht="19.5" customHeight="1">
      <c r="A1156" s="8"/>
      <c r="B1156" s="13"/>
      <c r="C1156" s="8"/>
      <c r="D1156" s="14"/>
      <c r="E1156" s="3"/>
      <c r="F1156" s="10"/>
      <c r="G1156" s="11"/>
      <c r="H1156" s="6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</row>
    <row r="1157" ht="19.5" customHeight="1">
      <c r="A1157" s="8"/>
      <c r="B1157" s="13"/>
      <c r="C1157" s="8"/>
      <c r="D1157" s="14"/>
      <c r="E1157" s="3"/>
      <c r="F1157" s="10"/>
      <c r="G1157" s="11"/>
      <c r="H1157" s="6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</row>
    <row r="1158" ht="19.5" customHeight="1">
      <c r="A1158" s="8"/>
      <c r="B1158" s="13"/>
      <c r="C1158" s="8"/>
      <c r="D1158" s="14"/>
      <c r="E1158" s="3"/>
      <c r="F1158" s="10"/>
      <c r="G1158" s="11"/>
      <c r="H1158" s="6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</row>
    <row r="1159" ht="19.5" customHeight="1">
      <c r="A1159" s="8"/>
      <c r="B1159" s="13"/>
      <c r="C1159" s="8"/>
      <c r="D1159" s="14"/>
      <c r="E1159" s="3"/>
      <c r="F1159" s="10"/>
      <c r="G1159" s="11"/>
      <c r="H1159" s="6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</row>
    <row r="1160" ht="19.5" customHeight="1">
      <c r="A1160" s="8"/>
      <c r="B1160" s="13"/>
      <c r="C1160" s="8"/>
      <c r="D1160" s="14"/>
      <c r="E1160" s="3"/>
      <c r="F1160" s="10"/>
      <c r="G1160" s="11"/>
      <c r="H1160" s="6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</row>
    <row r="1161" ht="19.5" customHeight="1">
      <c r="A1161" s="8"/>
      <c r="B1161" s="13"/>
      <c r="C1161" s="8"/>
      <c r="D1161" s="14"/>
      <c r="E1161" s="3"/>
      <c r="F1161" s="10"/>
      <c r="G1161" s="11"/>
      <c r="H1161" s="6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</row>
    <row r="1162" ht="19.5" customHeight="1">
      <c r="A1162" s="8"/>
      <c r="B1162" s="13"/>
      <c r="C1162" s="8"/>
      <c r="D1162" s="14"/>
      <c r="E1162" s="3"/>
      <c r="F1162" s="10"/>
      <c r="G1162" s="11"/>
      <c r="H1162" s="6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</row>
    <row r="1163" ht="19.5" customHeight="1">
      <c r="A1163" s="8"/>
      <c r="B1163" s="13"/>
      <c r="C1163" s="8"/>
      <c r="D1163" s="14"/>
      <c r="E1163" s="3"/>
      <c r="F1163" s="10"/>
      <c r="G1163" s="11"/>
      <c r="H1163" s="6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</row>
    <row r="1164" ht="19.5" customHeight="1">
      <c r="A1164" s="8"/>
      <c r="B1164" s="13"/>
      <c r="C1164" s="8"/>
      <c r="D1164" s="14"/>
      <c r="E1164" s="3"/>
      <c r="F1164" s="10"/>
      <c r="G1164" s="11"/>
      <c r="H1164" s="6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</row>
    <row r="1165" ht="19.5" customHeight="1">
      <c r="A1165" s="8"/>
      <c r="B1165" s="13"/>
      <c r="C1165" s="8"/>
      <c r="D1165" s="14"/>
      <c r="E1165" s="3"/>
      <c r="F1165" s="10"/>
      <c r="G1165" s="11"/>
      <c r="H1165" s="6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</row>
    <row r="1166" ht="19.5" customHeight="1">
      <c r="A1166" s="8"/>
      <c r="B1166" s="13"/>
      <c r="C1166" s="8"/>
      <c r="D1166" s="14"/>
      <c r="E1166" s="3"/>
      <c r="F1166" s="10"/>
      <c r="G1166" s="11"/>
      <c r="H1166" s="6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</row>
    <row r="1167" ht="19.5" customHeight="1">
      <c r="A1167" s="8"/>
      <c r="B1167" s="13"/>
      <c r="C1167" s="8"/>
      <c r="D1167" s="14"/>
      <c r="E1167" s="3"/>
      <c r="F1167" s="10"/>
      <c r="G1167" s="11"/>
      <c r="H1167" s="6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</row>
    <row r="1168" ht="19.5" customHeight="1">
      <c r="A1168" s="8"/>
      <c r="B1168" s="13"/>
      <c r="C1168" s="8"/>
      <c r="D1168" s="14"/>
      <c r="E1168" s="3"/>
      <c r="F1168" s="10"/>
      <c r="G1168" s="11"/>
      <c r="H1168" s="6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</row>
    <row r="1169" ht="19.5" customHeight="1">
      <c r="A1169" s="8"/>
      <c r="B1169" s="13"/>
      <c r="C1169" s="8"/>
      <c r="D1169" s="14"/>
      <c r="E1169" s="3"/>
      <c r="F1169" s="10"/>
      <c r="G1169" s="11"/>
      <c r="H1169" s="6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</row>
    <row r="1170" ht="19.5" customHeight="1">
      <c r="A1170" s="8"/>
      <c r="B1170" s="13"/>
      <c r="C1170" s="8"/>
      <c r="D1170" s="14"/>
      <c r="E1170" s="3"/>
      <c r="F1170" s="10"/>
      <c r="G1170" s="11"/>
      <c r="H1170" s="6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</row>
    <row r="1171" ht="19.5" customHeight="1">
      <c r="A1171" s="8"/>
      <c r="B1171" s="13"/>
      <c r="C1171" s="8"/>
      <c r="D1171" s="14"/>
      <c r="E1171" s="3"/>
      <c r="F1171" s="10"/>
      <c r="G1171" s="11"/>
      <c r="H1171" s="6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</row>
    <row r="1172" ht="19.5" customHeight="1">
      <c r="A1172" s="8"/>
      <c r="B1172" s="13"/>
      <c r="C1172" s="8"/>
      <c r="D1172" s="14"/>
      <c r="E1172" s="3"/>
      <c r="F1172" s="10"/>
      <c r="G1172" s="11"/>
      <c r="H1172" s="6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</row>
    <row r="1173" ht="19.5" customHeight="1">
      <c r="A1173" s="8"/>
      <c r="B1173" s="13"/>
      <c r="C1173" s="8"/>
      <c r="D1173" s="14"/>
      <c r="E1173" s="3"/>
      <c r="F1173" s="10"/>
      <c r="G1173" s="11"/>
      <c r="H1173" s="6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</row>
    <row r="1174" ht="19.5" customHeight="1">
      <c r="A1174" s="8"/>
      <c r="B1174" s="13"/>
      <c r="C1174" s="8"/>
      <c r="D1174" s="14"/>
      <c r="E1174" s="3"/>
      <c r="F1174" s="10"/>
      <c r="G1174" s="11"/>
      <c r="H1174" s="6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</row>
    <row r="1175" ht="19.5" customHeight="1">
      <c r="A1175" s="8"/>
      <c r="B1175" s="13"/>
      <c r="C1175" s="8"/>
      <c r="D1175" s="14"/>
      <c r="E1175" s="3"/>
      <c r="F1175" s="10"/>
      <c r="G1175" s="11"/>
      <c r="H1175" s="6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</row>
    <row r="1176" ht="19.5" customHeight="1">
      <c r="A1176" s="8"/>
      <c r="B1176" s="13"/>
      <c r="C1176" s="8"/>
      <c r="D1176" s="14"/>
      <c r="E1176" s="3"/>
      <c r="F1176" s="10"/>
      <c r="G1176" s="11"/>
      <c r="H1176" s="6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</row>
    <row r="1177" ht="19.5" customHeight="1">
      <c r="A1177" s="8"/>
      <c r="B1177" s="13"/>
      <c r="C1177" s="8"/>
      <c r="D1177" s="14"/>
      <c r="E1177" s="3"/>
      <c r="F1177" s="10"/>
      <c r="G1177" s="11"/>
      <c r="H1177" s="6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</row>
    <row r="1178" ht="19.5" customHeight="1">
      <c r="A1178" s="8"/>
      <c r="B1178" s="13"/>
      <c r="C1178" s="8"/>
      <c r="D1178" s="14"/>
      <c r="E1178" s="3"/>
      <c r="F1178" s="10"/>
      <c r="G1178" s="11"/>
      <c r="H1178" s="6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</row>
    <row r="1179" ht="19.5" customHeight="1">
      <c r="A1179" s="8"/>
      <c r="B1179" s="13"/>
      <c r="C1179" s="8"/>
      <c r="D1179" s="14"/>
      <c r="E1179" s="3"/>
      <c r="F1179" s="10"/>
      <c r="G1179" s="11"/>
      <c r="H1179" s="6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</row>
    <row r="1180" ht="19.5" customHeight="1">
      <c r="A1180" s="8"/>
      <c r="B1180" s="13"/>
      <c r="C1180" s="8"/>
      <c r="D1180" s="14"/>
      <c r="E1180" s="3"/>
      <c r="F1180" s="10"/>
      <c r="G1180" s="11"/>
      <c r="H1180" s="6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</row>
    <row r="1181" ht="19.5" customHeight="1">
      <c r="A1181" s="8"/>
      <c r="B1181" s="13"/>
      <c r="C1181" s="8"/>
      <c r="D1181" s="14"/>
      <c r="E1181" s="3"/>
      <c r="F1181" s="10"/>
      <c r="G1181" s="11"/>
      <c r="H1181" s="6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</row>
    <row r="1182" ht="19.5" customHeight="1">
      <c r="A1182" s="8"/>
      <c r="B1182" s="13"/>
      <c r="C1182" s="8"/>
      <c r="D1182" s="14"/>
      <c r="E1182" s="3"/>
      <c r="F1182" s="10"/>
      <c r="G1182" s="11"/>
      <c r="H1182" s="6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</row>
    <row r="1183" ht="19.5" customHeight="1">
      <c r="A1183" s="8"/>
      <c r="B1183" s="13"/>
      <c r="C1183" s="8"/>
      <c r="D1183" s="14"/>
      <c r="E1183" s="3"/>
      <c r="F1183" s="10"/>
      <c r="G1183" s="11"/>
      <c r="H1183" s="6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</row>
    <row r="1184" ht="19.5" customHeight="1">
      <c r="A1184" s="8"/>
      <c r="B1184" s="13"/>
      <c r="C1184" s="8"/>
      <c r="D1184" s="14"/>
      <c r="E1184" s="3"/>
      <c r="F1184" s="10"/>
      <c r="G1184" s="11"/>
      <c r="H1184" s="6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</row>
    <row r="1185" ht="19.5" customHeight="1">
      <c r="A1185" s="8"/>
      <c r="B1185" s="13"/>
      <c r="C1185" s="8"/>
      <c r="D1185" s="14"/>
      <c r="E1185" s="3"/>
      <c r="F1185" s="10"/>
      <c r="G1185" s="11"/>
      <c r="H1185" s="6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</row>
    <row r="1186" ht="19.5" customHeight="1">
      <c r="A1186" s="8"/>
      <c r="B1186" s="13"/>
      <c r="C1186" s="8"/>
      <c r="D1186" s="14"/>
      <c r="E1186" s="3"/>
      <c r="F1186" s="10"/>
      <c r="G1186" s="11"/>
      <c r="H1186" s="6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</row>
    <row r="1187" ht="19.5" customHeight="1">
      <c r="A1187" s="8"/>
      <c r="B1187" s="13"/>
      <c r="C1187" s="8"/>
      <c r="D1187" s="14"/>
      <c r="E1187" s="3"/>
      <c r="F1187" s="10"/>
      <c r="G1187" s="11"/>
      <c r="H1187" s="6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</row>
    <row r="1188" ht="19.5" customHeight="1">
      <c r="A1188" s="8"/>
      <c r="B1188" s="13"/>
      <c r="C1188" s="8"/>
      <c r="D1188" s="14"/>
      <c r="E1188" s="3"/>
      <c r="F1188" s="10"/>
      <c r="G1188" s="11"/>
      <c r="H1188" s="6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</row>
    <row r="1189" ht="19.5" customHeight="1">
      <c r="A1189" s="8"/>
      <c r="B1189" s="13"/>
      <c r="C1189" s="8"/>
      <c r="D1189" s="14"/>
      <c r="E1189" s="3"/>
      <c r="F1189" s="10"/>
      <c r="G1189" s="11"/>
      <c r="H1189" s="6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</row>
    <row r="1190" ht="19.5" customHeight="1">
      <c r="A1190" s="8"/>
      <c r="B1190" s="13"/>
      <c r="C1190" s="8"/>
      <c r="D1190" s="14"/>
      <c r="E1190" s="3"/>
      <c r="F1190" s="10"/>
      <c r="G1190" s="11"/>
      <c r="H1190" s="6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</row>
    <row r="1191" ht="19.5" customHeight="1">
      <c r="A1191" s="8"/>
      <c r="B1191" s="13"/>
      <c r="C1191" s="8"/>
      <c r="D1191" s="14"/>
      <c r="E1191" s="3"/>
      <c r="F1191" s="10"/>
      <c r="G1191" s="11"/>
      <c r="H1191" s="6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</row>
    <row r="1192" ht="19.5" customHeight="1">
      <c r="A1192" s="8"/>
      <c r="B1192" s="13"/>
      <c r="C1192" s="8"/>
      <c r="D1192" s="14"/>
      <c r="E1192" s="3"/>
      <c r="F1192" s="10"/>
      <c r="G1192" s="11"/>
      <c r="H1192" s="6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</row>
    <row r="1193" ht="19.5" customHeight="1">
      <c r="A1193" s="8"/>
      <c r="B1193" s="13"/>
      <c r="C1193" s="8"/>
      <c r="D1193" s="14"/>
      <c r="E1193" s="3"/>
      <c r="F1193" s="10"/>
      <c r="G1193" s="11"/>
      <c r="H1193" s="6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</row>
    <row r="1194" ht="19.5" customHeight="1">
      <c r="A1194" s="8"/>
      <c r="B1194" s="13"/>
      <c r="C1194" s="8"/>
      <c r="D1194" s="14"/>
      <c r="E1194" s="3"/>
      <c r="F1194" s="10"/>
      <c r="G1194" s="11"/>
      <c r="H1194" s="6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</row>
    <row r="1195" ht="19.5" customHeight="1">
      <c r="A1195" s="8"/>
      <c r="B1195" s="13"/>
      <c r="C1195" s="8"/>
      <c r="D1195" s="14"/>
      <c r="E1195" s="3"/>
      <c r="F1195" s="10"/>
      <c r="G1195" s="11"/>
      <c r="H1195" s="6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</row>
    <row r="1196" ht="19.5" customHeight="1">
      <c r="A1196" s="8"/>
      <c r="B1196" s="13"/>
      <c r="C1196" s="8"/>
      <c r="D1196" s="14"/>
      <c r="E1196" s="3"/>
      <c r="F1196" s="10"/>
      <c r="G1196" s="11"/>
      <c r="H1196" s="6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</row>
    <row r="1197" ht="19.5" customHeight="1">
      <c r="A1197" s="8"/>
      <c r="B1197" s="13"/>
      <c r="C1197" s="8"/>
      <c r="D1197" s="14"/>
      <c r="E1197" s="3"/>
      <c r="F1197" s="10"/>
      <c r="G1197" s="11"/>
      <c r="H1197" s="6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</row>
    <row r="1198" ht="19.5" customHeight="1">
      <c r="A1198" s="8"/>
      <c r="B1198" s="13"/>
      <c r="C1198" s="8"/>
      <c r="D1198" s="14"/>
      <c r="E1198" s="3"/>
      <c r="F1198" s="10"/>
      <c r="G1198" s="11"/>
      <c r="H1198" s="6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</row>
    <row r="1199" ht="19.5" customHeight="1">
      <c r="A1199" s="8"/>
      <c r="B1199" s="13"/>
      <c r="C1199" s="8"/>
      <c r="D1199" s="14"/>
      <c r="E1199" s="3"/>
      <c r="F1199" s="10"/>
      <c r="G1199" s="11"/>
      <c r="H1199" s="6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</row>
    <row r="1200" ht="19.5" customHeight="1">
      <c r="A1200" s="8"/>
      <c r="B1200" s="13"/>
      <c r="C1200" s="8"/>
      <c r="D1200" s="14"/>
      <c r="E1200" s="3"/>
      <c r="F1200" s="10"/>
      <c r="G1200" s="11"/>
      <c r="H1200" s="6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</row>
    <row r="1201" ht="19.5" customHeight="1">
      <c r="A1201" s="8"/>
      <c r="B1201" s="13"/>
      <c r="C1201" s="8"/>
      <c r="D1201" s="14"/>
      <c r="E1201" s="3"/>
      <c r="F1201" s="10"/>
      <c r="G1201" s="11"/>
      <c r="H1201" s="6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</row>
    <row r="1202" ht="19.5" customHeight="1">
      <c r="A1202" s="8"/>
      <c r="B1202" s="13"/>
      <c r="C1202" s="8"/>
      <c r="D1202" s="14"/>
      <c r="E1202" s="3"/>
      <c r="F1202" s="10"/>
      <c r="G1202" s="11"/>
      <c r="H1202" s="6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</row>
    <row r="1203" ht="19.5" customHeight="1">
      <c r="A1203" s="8"/>
      <c r="B1203" s="13"/>
      <c r="C1203" s="8"/>
      <c r="D1203" s="14"/>
      <c r="E1203" s="3"/>
      <c r="F1203" s="10"/>
      <c r="G1203" s="11"/>
      <c r="H1203" s="6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</row>
    <row r="1204" ht="19.5" customHeight="1">
      <c r="A1204" s="8"/>
      <c r="B1204" s="13"/>
      <c r="C1204" s="8"/>
      <c r="D1204" s="14"/>
      <c r="E1204" s="3"/>
      <c r="F1204" s="10"/>
      <c r="G1204" s="11"/>
      <c r="H1204" s="6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</row>
    <row r="1205" ht="19.5" customHeight="1">
      <c r="A1205" s="8"/>
      <c r="B1205" s="13"/>
      <c r="C1205" s="8"/>
      <c r="D1205" s="14"/>
      <c r="E1205" s="3"/>
      <c r="F1205" s="10"/>
      <c r="G1205" s="11"/>
      <c r="H1205" s="6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</row>
    <row r="1206" ht="19.5" customHeight="1">
      <c r="A1206" s="8"/>
      <c r="B1206" s="13"/>
      <c r="C1206" s="8"/>
      <c r="D1206" s="14"/>
      <c r="E1206" s="3"/>
      <c r="F1206" s="10"/>
      <c r="G1206" s="11"/>
      <c r="H1206" s="6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</row>
    <row r="1207" ht="19.5" customHeight="1">
      <c r="A1207" s="8"/>
      <c r="B1207" s="13"/>
      <c r="C1207" s="8"/>
      <c r="D1207" s="14"/>
      <c r="E1207" s="3"/>
      <c r="F1207" s="10"/>
      <c r="G1207" s="11"/>
      <c r="H1207" s="6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</row>
    <row r="1208" ht="19.5" customHeight="1">
      <c r="A1208" s="8"/>
      <c r="B1208" s="13"/>
      <c r="C1208" s="8"/>
      <c r="D1208" s="14"/>
      <c r="E1208" s="3"/>
      <c r="F1208" s="10"/>
      <c r="G1208" s="11"/>
      <c r="H1208" s="6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</row>
    <row r="1209" ht="19.5" customHeight="1">
      <c r="A1209" s="8"/>
      <c r="B1209" s="13"/>
      <c r="C1209" s="8"/>
      <c r="D1209" s="14"/>
      <c r="E1209" s="3"/>
      <c r="F1209" s="10"/>
      <c r="G1209" s="11"/>
      <c r="H1209" s="6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</row>
    <row r="1210" ht="19.5" customHeight="1">
      <c r="A1210" s="8"/>
      <c r="B1210" s="13"/>
      <c r="C1210" s="8"/>
      <c r="D1210" s="14"/>
      <c r="E1210" s="3"/>
      <c r="F1210" s="10"/>
      <c r="G1210" s="11"/>
      <c r="H1210" s="6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</row>
    <row r="1211" ht="19.5" customHeight="1">
      <c r="A1211" s="8"/>
      <c r="B1211" s="13"/>
      <c r="C1211" s="8"/>
      <c r="D1211" s="14"/>
      <c r="E1211" s="3"/>
      <c r="F1211" s="10"/>
      <c r="G1211" s="11"/>
      <c r="H1211" s="6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</row>
    <row r="1212" ht="19.5" customHeight="1">
      <c r="A1212" s="8"/>
      <c r="B1212" s="13"/>
      <c r="C1212" s="8"/>
      <c r="D1212" s="14"/>
      <c r="E1212" s="3"/>
      <c r="F1212" s="10"/>
      <c r="G1212" s="11"/>
      <c r="H1212" s="6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</row>
    <row r="1213" ht="19.5" customHeight="1">
      <c r="A1213" s="8"/>
      <c r="B1213" s="13"/>
      <c r="C1213" s="8"/>
      <c r="D1213" s="14"/>
      <c r="E1213" s="3"/>
      <c r="F1213" s="10"/>
      <c r="G1213" s="11"/>
      <c r="H1213" s="6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</row>
    <row r="1214" ht="19.5" customHeight="1">
      <c r="A1214" s="8"/>
      <c r="B1214" s="13"/>
      <c r="C1214" s="8"/>
      <c r="D1214" s="14"/>
      <c r="E1214" s="3"/>
      <c r="F1214" s="10"/>
      <c r="G1214" s="11"/>
      <c r="H1214" s="6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</row>
    <row r="1215" ht="19.5" customHeight="1">
      <c r="A1215" s="8"/>
      <c r="B1215" s="13"/>
      <c r="C1215" s="8"/>
      <c r="D1215" s="14"/>
      <c r="E1215" s="3"/>
      <c r="F1215" s="10"/>
      <c r="G1215" s="11"/>
      <c r="H1215" s="6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</row>
    <row r="1216" ht="19.5" customHeight="1">
      <c r="A1216" s="8"/>
      <c r="B1216" s="13"/>
      <c r="C1216" s="8"/>
      <c r="D1216" s="14"/>
      <c r="E1216" s="3"/>
      <c r="F1216" s="10"/>
      <c r="G1216" s="11"/>
      <c r="H1216" s="6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</row>
    <row r="1217" ht="19.5" customHeight="1">
      <c r="A1217" s="8"/>
      <c r="B1217" s="13"/>
      <c r="C1217" s="8"/>
      <c r="D1217" s="14"/>
      <c r="E1217" s="3"/>
      <c r="F1217" s="10"/>
      <c r="G1217" s="11"/>
      <c r="H1217" s="6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</row>
    <row r="1218" ht="19.5" customHeight="1">
      <c r="A1218" s="8"/>
      <c r="B1218" s="13"/>
      <c r="C1218" s="8"/>
      <c r="D1218" s="14"/>
      <c r="E1218" s="3"/>
      <c r="F1218" s="10"/>
      <c r="G1218" s="11"/>
      <c r="H1218" s="6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</row>
    <row r="1219" ht="19.5" customHeight="1">
      <c r="A1219" s="8"/>
      <c r="B1219" s="13"/>
      <c r="C1219" s="8"/>
      <c r="D1219" s="14"/>
      <c r="E1219" s="3"/>
      <c r="F1219" s="10"/>
      <c r="G1219" s="11"/>
      <c r="H1219" s="6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</row>
    <row r="1220" ht="19.5" customHeight="1">
      <c r="A1220" s="8"/>
      <c r="B1220" s="13"/>
      <c r="C1220" s="8"/>
      <c r="D1220" s="14"/>
      <c r="E1220" s="3"/>
      <c r="F1220" s="10"/>
      <c r="G1220" s="11"/>
      <c r="H1220" s="6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</row>
    <row r="1221" ht="19.5" customHeight="1">
      <c r="A1221" s="8"/>
      <c r="B1221" s="13"/>
      <c r="C1221" s="8"/>
      <c r="D1221" s="14"/>
      <c r="E1221" s="3"/>
      <c r="F1221" s="10"/>
      <c r="G1221" s="11"/>
      <c r="H1221" s="6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</row>
    <row r="1222" ht="19.5" customHeight="1">
      <c r="A1222" s="8"/>
      <c r="B1222" s="13"/>
      <c r="C1222" s="8"/>
      <c r="D1222" s="14"/>
      <c r="E1222" s="3"/>
      <c r="F1222" s="10"/>
      <c r="G1222" s="11"/>
      <c r="H1222" s="6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</row>
    <row r="1223" ht="19.5" customHeight="1">
      <c r="A1223" s="8"/>
      <c r="B1223" s="13"/>
      <c r="C1223" s="8"/>
      <c r="D1223" s="14"/>
      <c r="E1223" s="3"/>
      <c r="F1223" s="10"/>
      <c r="G1223" s="11"/>
      <c r="H1223" s="6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</row>
    <row r="1224" ht="19.5" customHeight="1">
      <c r="A1224" s="8"/>
      <c r="B1224" s="13"/>
      <c r="C1224" s="8"/>
      <c r="D1224" s="14"/>
      <c r="E1224" s="3"/>
      <c r="F1224" s="10"/>
      <c r="G1224" s="11"/>
      <c r="H1224" s="6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</row>
    <row r="1225" ht="19.5" customHeight="1">
      <c r="A1225" s="8"/>
      <c r="B1225" s="13"/>
      <c r="C1225" s="8"/>
      <c r="D1225" s="14"/>
      <c r="E1225" s="3"/>
      <c r="F1225" s="10"/>
      <c r="G1225" s="11"/>
      <c r="H1225" s="6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</row>
    <row r="1226" ht="19.5" customHeight="1">
      <c r="A1226" s="8"/>
      <c r="B1226" s="13"/>
      <c r="C1226" s="8"/>
      <c r="D1226" s="14"/>
      <c r="E1226" s="3"/>
      <c r="F1226" s="10"/>
      <c r="G1226" s="11"/>
      <c r="H1226" s="6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</row>
    <row r="1227" ht="19.5" customHeight="1">
      <c r="A1227" s="8"/>
      <c r="B1227" s="13"/>
      <c r="C1227" s="8"/>
      <c r="D1227" s="14"/>
      <c r="E1227" s="3"/>
      <c r="F1227" s="10"/>
      <c r="G1227" s="11"/>
      <c r="H1227" s="6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</row>
    <row r="1228" ht="19.5" customHeight="1">
      <c r="A1228" s="8"/>
      <c r="B1228" s="13"/>
      <c r="C1228" s="8"/>
      <c r="D1228" s="14"/>
      <c r="E1228" s="3"/>
      <c r="F1228" s="10"/>
      <c r="G1228" s="11"/>
      <c r="H1228" s="6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</row>
    <row r="1229" ht="19.5" customHeight="1">
      <c r="A1229" s="8"/>
      <c r="B1229" s="13"/>
      <c r="C1229" s="8"/>
      <c r="D1229" s="14"/>
      <c r="E1229" s="3"/>
      <c r="F1229" s="10"/>
      <c r="G1229" s="11"/>
      <c r="H1229" s="6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</row>
    <row r="1230" ht="19.5" customHeight="1">
      <c r="A1230" s="8"/>
      <c r="B1230" s="13"/>
      <c r="C1230" s="8"/>
      <c r="D1230" s="14"/>
      <c r="E1230" s="3"/>
      <c r="F1230" s="10"/>
      <c r="G1230" s="11"/>
      <c r="H1230" s="6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</row>
    <row r="1231" ht="19.5" customHeight="1">
      <c r="A1231" s="8"/>
      <c r="B1231" s="13"/>
      <c r="C1231" s="8"/>
      <c r="D1231" s="14"/>
      <c r="E1231" s="3"/>
      <c r="F1231" s="10"/>
      <c r="G1231" s="11"/>
      <c r="H1231" s="6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</row>
    <row r="1232" ht="19.5" customHeight="1">
      <c r="A1232" s="8"/>
      <c r="B1232" s="13"/>
      <c r="C1232" s="8"/>
      <c r="D1232" s="14"/>
      <c r="E1232" s="3"/>
      <c r="F1232" s="10"/>
      <c r="G1232" s="11"/>
      <c r="H1232" s="6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</row>
    <row r="1233" ht="19.5" customHeight="1">
      <c r="A1233" s="8"/>
      <c r="B1233" s="13"/>
      <c r="C1233" s="8"/>
      <c r="D1233" s="14"/>
      <c r="E1233" s="3"/>
      <c r="F1233" s="10"/>
      <c r="G1233" s="11"/>
      <c r="H1233" s="6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</row>
    <row r="1234" ht="19.5" customHeight="1">
      <c r="A1234" s="8"/>
      <c r="B1234" s="13"/>
      <c r="C1234" s="8"/>
      <c r="D1234" s="14"/>
      <c r="E1234" s="3"/>
      <c r="F1234" s="10"/>
      <c r="G1234" s="11"/>
      <c r="H1234" s="6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</row>
    <row r="1235" ht="19.5" customHeight="1">
      <c r="A1235" s="8"/>
      <c r="B1235" s="13"/>
      <c r="C1235" s="8"/>
      <c r="D1235" s="14"/>
      <c r="E1235" s="3"/>
      <c r="F1235" s="10"/>
      <c r="G1235" s="11"/>
      <c r="H1235" s="6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</row>
    <row r="1236" ht="19.5" customHeight="1">
      <c r="A1236" s="8"/>
      <c r="B1236" s="13"/>
      <c r="C1236" s="8"/>
      <c r="D1236" s="14"/>
      <c r="E1236" s="3"/>
      <c r="F1236" s="10"/>
      <c r="G1236" s="11"/>
      <c r="H1236" s="6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</row>
    <row r="1237" ht="19.5" customHeight="1">
      <c r="A1237" s="8"/>
      <c r="B1237" s="13"/>
      <c r="C1237" s="8"/>
      <c r="D1237" s="14"/>
      <c r="E1237" s="3"/>
      <c r="F1237" s="10"/>
      <c r="G1237" s="11"/>
      <c r="H1237" s="6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</row>
    <row r="1238" ht="19.5" customHeight="1">
      <c r="A1238" s="8"/>
      <c r="B1238" s="13"/>
      <c r="C1238" s="8"/>
      <c r="D1238" s="14"/>
      <c r="E1238" s="3"/>
      <c r="F1238" s="10"/>
      <c r="G1238" s="11"/>
      <c r="H1238" s="6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</row>
    <row r="1239" ht="19.5" customHeight="1">
      <c r="A1239" s="8"/>
      <c r="B1239" s="13"/>
      <c r="C1239" s="8"/>
      <c r="D1239" s="14"/>
      <c r="E1239" s="3"/>
      <c r="F1239" s="10"/>
      <c r="G1239" s="11"/>
      <c r="H1239" s="6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</row>
    <row r="1240" ht="19.5" customHeight="1">
      <c r="A1240" s="8"/>
      <c r="B1240" s="13"/>
      <c r="C1240" s="8"/>
      <c r="D1240" s="14"/>
      <c r="E1240" s="3"/>
      <c r="F1240" s="10"/>
      <c r="G1240" s="11"/>
      <c r="H1240" s="6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</row>
    <row r="1241" ht="19.5" customHeight="1">
      <c r="A1241" s="8"/>
      <c r="B1241" s="13"/>
      <c r="C1241" s="8"/>
      <c r="D1241" s="14"/>
      <c r="E1241" s="3"/>
      <c r="F1241" s="10"/>
      <c r="G1241" s="11"/>
      <c r="H1241" s="6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</row>
    <row r="1242" ht="19.5" customHeight="1">
      <c r="A1242" s="8"/>
      <c r="B1242" s="13"/>
      <c r="C1242" s="8"/>
      <c r="D1242" s="14"/>
      <c r="E1242" s="3"/>
      <c r="F1242" s="10"/>
      <c r="G1242" s="11"/>
      <c r="H1242" s="6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</row>
    <row r="1243" ht="19.5" customHeight="1">
      <c r="A1243" s="8"/>
      <c r="B1243" s="13"/>
      <c r="C1243" s="8"/>
      <c r="D1243" s="14"/>
      <c r="E1243" s="3"/>
      <c r="F1243" s="10"/>
      <c r="G1243" s="11"/>
      <c r="H1243" s="6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</row>
    <row r="1244" ht="19.5" customHeight="1">
      <c r="A1244" s="8"/>
      <c r="B1244" s="13"/>
      <c r="C1244" s="8"/>
      <c r="D1244" s="14"/>
      <c r="E1244" s="3"/>
      <c r="F1244" s="10"/>
      <c r="G1244" s="11"/>
      <c r="H1244" s="6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</row>
    <row r="1245" ht="19.5" customHeight="1">
      <c r="A1245" s="8"/>
      <c r="B1245" s="13"/>
      <c r="C1245" s="8"/>
      <c r="D1245" s="14"/>
      <c r="E1245" s="3"/>
      <c r="F1245" s="10"/>
      <c r="G1245" s="11"/>
      <c r="H1245" s="6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</row>
    <row r="1246" ht="19.5" customHeight="1">
      <c r="A1246" s="8"/>
      <c r="B1246" s="13"/>
      <c r="C1246" s="8"/>
      <c r="D1246" s="14"/>
      <c r="E1246" s="3"/>
      <c r="F1246" s="10"/>
      <c r="G1246" s="11"/>
      <c r="H1246" s="6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</row>
    <row r="1247" ht="19.5" customHeight="1">
      <c r="A1247" s="8"/>
      <c r="B1247" s="13"/>
      <c r="C1247" s="8"/>
      <c r="D1247" s="14"/>
      <c r="E1247" s="3"/>
      <c r="F1247" s="10"/>
      <c r="G1247" s="11"/>
      <c r="H1247" s="6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</row>
    <row r="1248" ht="19.5" customHeight="1">
      <c r="A1248" s="8"/>
      <c r="B1248" s="13"/>
      <c r="C1248" s="8"/>
      <c r="D1248" s="14"/>
      <c r="E1248" s="3"/>
      <c r="F1248" s="10"/>
      <c r="G1248" s="11"/>
      <c r="H1248" s="6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</row>
    <row r="1249" ht="19.5" customHeight="1">
      <c r="A1249" s="8"/>
      <c r="B1249" s="13"/>
      <c r="C1249" s="8"/>
      <c r="D1249" s="14"/>
      <c r="E1249" s="3"/>
      <c r="F1249" s="10"/>
      <c r="G1249" s="11"/>
      <c r="H1249" s="6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</row>
    <row r="1250" ht="19.5" customHeight="1">
      <c r="A1250" s="8"/>
      <c r="B1250" s="13"/>
      <c r="C1250" s="8"/>
      <c r="D1250" s="14"/>
      <c r="E1250" s="3"/>
      <c r="F1250" s="10"/>
      <c r="G1250" s="11"/>
      <c r="H1250" s="6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</row>
    <row r="1251" ht="19.5" customHeight="1">
      <c r="A1251" s="8"/>
      <c r="B1251" s="13"/>
      <c r="C1251" s="8"/>
      <c r="D1251" s="14"/>
      <c r="E1251" s="3"/>
      <c r="F1251" s="10"/>
      <c r="G1251" s="11"/>
      <c r="H1251" s="6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</row>
    <row r="1252" ht="19.5" customHeight="1">
      <c r="A1252" s="8"/>
      <c r="B1252" s="13"/>
      <c r="C1252" s="8"/>
      <c r="D1252" s="14"/>
      <c r="E1252" s="3"/>
      <c r="F1252" s="10"/>
      <c r="G1252" s="11"/>
      <c r="H1252" s="6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</row>
    <row r="1253" ht="19.5" customHeight="1">
      <c r="A1253" s="8"/>
      <c r="B1253" s="13"/>
      <c r="C1253" s="8"/>
      <c r="D1253" s="14"/>
      <c r="E1253" s="3"/>
      <c r="F1253" s="10"/>
      <c r="G1253" s="11"/>
      <c r="H1253" s="6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</row>
    <row r="1254" ht="19.5" customHeight="1">
      <c r="A1254" s="8"/>
      <c r="B1254" s="13"/>
      <c r="C1254" s="8"/>
      <c r="D1254" s="14"/>
      <c r="E1254" s="3"/>
      <c r="F1254" s="10"/>
      <c r="G1254" s="11"/>
      <c r="H1254" s="6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</row>
    <row r="1255" ht="19.5" customHeight="1">
      <c r="A1255" s="8"/>
      <c r="B1255" s="13"/>
      <c r="C1255" s="8"/>
      <c r="D1255" s="14"/>
      <c r="E1255" s="3"/>
      <c r="F1255" s="10"/>
      <c r="G1255" s="11"/>
      <c r="H1255" s="6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</row>
    <row r="1256" ht="19.5" customHeight="1">
      <c r="A1256" s="8"/>
      <c r="B1256" s="13"/>
      <c r="C1256" s="8"/>
      <c r="D1256" s="14"/>
      <c r="E1256" s="3"/>
      <c r="F1256" s="10"/>
      <c r="G1256" s="11"/>
      <c r="H1256" s="6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</row>
    <row r="1257" ht="19.5" customHeight="1">
      <c r="A1257" s="8"/>
      <c r="B1257" s="13"/>
      <c r="C1257" s="8"/>
      <c r="D1257" s="14"/>
      <c r="E1257" s="3"/>
      <c r="F1257" s="10"/>
      <c r="G1257" s="11"/>
      <c r="H1257" s="6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</row>
    <row r="1258" ht="19.5" customHeight="1">
      <c r="A1258" s="8"/>
      <c r="B1258" s="13"/>
      <c r="C1258" s="8"/>
      <c r="D1258" s="14"/>
      <c r="E1258" s="3"/>
      <c r="F1258" s="10"/>
      <c r="G1258" s="11"/>
      <c r="H1258" s="6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</row>
    <row r="1259" ht="19.5" customHeight="1">
      <c r="A1259" s="8"/>
      <c r="B1259" s="13"/>
      <c r="C1259" s="8"/>
      <c r="D1259" s="14"/>
      <c r="E1259" s="3"/>
      <c r="F1259" s="10"/>
      <c r="G1259" s="11"/>
      <c r="H1259" s="6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</row>
    <row r="1260" ht="19.5" customHeight="1">
      <c r="A1260" s="8"/>
      <c r="B1260" s="13"/>
      <c r="C1260" s="8"/>
      <c r="D1260" s="14"/>
      <c r="E1260" s="3"/>
      <c r="F1260" s="10"/>
      <c r="G1260" s="11"/>
      <c r="H1260" s="6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</row>
    <row r="1261" ht="19.5" customHeight="1">
      <c r="A1261" s="8"/>
      <c r="B1261" s="13"/>
      <c r="C1261" s="8"/>
      <c r="D1261" s="14"/>
      <c r="E1261" s="3"/>
      <c r="F1261" s="10"/>
      <c r="G1261" s="11"/>
      <c r="H1261" s="6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</row>
    <row r="1262" ht="19.5" customHeight="1">
      <c r="A1262" s="8"/>
      <c r="B1262" s="13"/>
      <c r="C1262" s="8"/>
      <c r="D1262" s="14"/>
      <c r="E1262" s="3"/>
      <c r="F1262" s="10"/>
      <c r="G1262" s="11"/>
      <c r="H1262" s="6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</row>
    <row r="1263" ht="19.5" customHeight="1">
      <c r="A1263" s="8"/>
      <c r="B1263" s="13"/>
      <c r="C1263" s="8"/>
      <c r="D1263" s="14"/>
      <c r="E1263" s="3"/>
      <c r="F1263" s="10"/>
      <c r="G1263" s="11"/>
      <c r="H1263" s="6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</row>
    <row r="1264" ht="19.5" customHeight="1">
      <c r="A1264" s="8"/>
      <c r="B1264" s="13"/>
      <c r="C1264" s="8"/>
      <c r="D1264" s="14"/>
      <c r="E1264" s="3"/>
      <c r="F1264" s="10"/>
      <c r="G1264" s="11"/>
      <c r="H1264" s="6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</row>
    <row r="1265" ht="19.5" customHeight="1">
      <c r="A1265" s="8"/>
      <c r="B1265" s="13"/>
      <c r="C1265" s="8"/>
      <c r="D1265" s="14"/>
      <c r="E1265" s="3"/>
      <c r="F1265" s="10"/>
      <c r="G1265" s="11"/>
      <c r="H1265" s="6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</row>
    <row r="1266" ht="19.5" customHeight="1">
      <c r="A1266" s="8"/>
      <c r="B1266" s="13"/>
      <c r="C1266" s="8"/>
      <c r="D1266" s="14"/>
      <c r="E1266" s="3"/>
      <c r="F1266" s="10"/>
      <c r="G1266" s="11"/>
      <c r="H1266" s="6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</row>
    <row r="1267" ht="19.5" customHeight="1">
      <c r="A1267" s="8"/>
      <c r="B1267" s="13"/>
      <c r="C1267" s="8"/>
      <c r="D1267" s="14"/>
      <c r="E1267" s="3"/>
      <c r="F1267" s="10"/>
      <c r="G1267" s="11"/>
      <c r="H1267" s="6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</row>
    <row r="1268" ht="19.5" customHeight="1">
      <c r="A1268" s="8"/>
      <c r="B1268" s="13"/>
      <c r="C1268" s="8"/>
      <c r="D1268" s="14"/>
      <c r="E1268" s="3"/>
      <c r="F1268" s="10"/>
      <c r="G1268" s="11"/>
      <c r="H1268" s="6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</row>
    <row r="1269" ht="19.5" customHeight="1">
      <c r="A1269" s="8"/>
      <c r="B1269" s="13"/>
      <c r="C1269" s="8"/>
      <c r="D1269" s="14"/>
      <c r="E1269" s="3"/>
      <c r="F1269" s="10"/>
      <c r="G1269" s="11"/>
      <c r="H1269" s="6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</row>
    <row r="1270" ht="19.5" customHeight="1">
      <c r="A1270" s="8"/>
      <c r="B1270" s="13"/>
      <c r="C1270" s="8"/>
      <c r="D1270" s="14"/>
      <c r="E1270" s="3"/>
      <c r="F1270" s="10"/>
      <c r="G1270" s="11"/>
      <c r="H1270" s="6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</row>
    <row r="1271" ht="19.5" customHeight="1">
      <c r="A1271" s="8"/>
      <c r="B1271" s="13"/>
      <c r="C1271" s="8"/>
      <c r="D1271" s="14"/>
      <c r="E1271" s="3"/>
      <c r="F1271" s="10"/>
      <c r="G1271" s="11"/>
      <c r="H1271" s="6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</row>
    <row r="1272" ht="19.5" customHeight="1">
      <c r="A1272" s="8"/>
      <c r="B1272" s="13"/>
      <c r="C1272" s="8"/>
      <c r="D1272" s="14"/>
      <c r="E1272" s="3"/>
      <c r="F1272" s="10"/>
      <c r="G1272" s="11"/>
      <c r="H1272" s="6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</row>
    <row r="1273" ht="19.5" customHeight="1">
      <c r="A1273" s="8"/>
      <c r="B1273" s="13"/>
      <c r="C1273" s="8"/>
      <c r="D1273" s="14"/>
      <c r="E1273" s="3"/>
      <c r="F1273" s="10"/>
      <c r="G1273" s="11"/>
      <c r="H1273" s="6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</row>
    <row r="1274" ht="19.5" customHeight="1">
      <c r="A1274" s="8"/>
      <c r="B1274" s="13"/>
      <c r="C1274" s="8"/>
      <c r="D1274" s="14"/>
      <c r="E1274" s="3"/>
      <c r="F1274" s="10"/>
      <c r="G1274" s="11"/>
      <c r="H1274" s="6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</row>
    <row r="1275" ht="19.5" customHeight="1">
      <c r="A1275" s="8"/>
      <c r="B1275" s="13"/>
      <c r="C1275" s="8"/>
      <c r="D1275" s="14"/>
      <c r="E1275" s="3"/>
      <c r="F1275" s="10"/>
      <c r="G1275" s="11"/>
      <c r="H1275" s="6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</row>
    <row r="1276" ht="19.5" customHeight="1">
      <c r="A1276" s="8"/>
      <c r="B1276" s="13"/>
      <c r="C1276" s="8"/>
      <c r="D1276" s="14"/>
      <c r="E1276" s="3"/>
      <c r="F1276" s="10"/>
      <c r="G1276" s="11"/>
      <c r="H1276" s="6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</row>
    <row r="1277" ht="19.5" customHeight="1">
      <c r="A1277" s="8"/>
      <c r="B1277" s="13"/>
      <c r="C1277" s="8"/>
      <c r="D1277" s="14"/>
      <c r="E1277" s="3"/>
      <c r="F1277" s="10"/>
      <c r="G1277" s="11"/>
      <c r="H1277" s="6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</row>
    <row r="1278" ht="19.5" customHeight="1">
      <c r="A1278" s="8"/>
      <c r="B1278" s="13"/>
      <c r="C1278" s="8"/>
      <c r="D1278" s="14"/>
      <c r="E1278" s="3"/>
      <c r="F1278" s="10"/>
      <c r="G1278" s="11"/>
      <c r="H1278" s="6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</row>
    <row r="1279" ht="19.5" customHeight="1">
      <c r="A1279" s="8"/>
      <c r="B1279" s="13"/>
      <c r="C1279" s="8"/>
      <c r="D1279" s="14"/>
      <c r="E1279" s="3"/>
      <c r="F1279" s="10"/>
      <c r="G1279" s="11"/>
      <c r="H1279" s="6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</row>
    <row r="1280" ht="19.5" customHeight="1">
      <c r="A1280" s="8"/>
      <c r="B1280" s="13"/>
      <c r="C1280" s="8"/>
      <c r="D1280" s="14"/>
      <c r="E1280" s="3"/>
      <c r="F1280" s="10"/>
      <c r="G1280" s="11"/>
      <c r="H1280" s="6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</row>
    <row r="1281" ht="19.5" customHeight="1">
      <c r="A1281" s="8"/>
      <c r="B1281" s="13"/>
      <c r="C1281" s="8"/>
      <c r="D1281" s="14"/>
      <c r="E1281" s="3"/>
      <c r="F1281" s="10"/>
      <c r="G1281" s="11"/>
      <c r="H1281" s="6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</row>
    <row r="1282" ht="19.5" customHeight="1">
      <c r="A1282" s="8"/>
      <c r="B1282" s="13"/>
      <c r="C1282" s="8"/>
      <c r="D1282" s="14"/>
      <c r="E1282" s="3"/>
      <c r="F1282" s="10"/>
      <c r="G1282" s="11"/>
      <c r="H1282" s="6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</row>
    <row r="1283" ht="19.5" customHeight="1">
      <c r="A1283" s="8"/>
      <c r="B1283" s="13"/>
      <c r="C1283" s="8"/>
      <c r="D1283" s="14"/>
      <c r="E1283" s="3"/>
      <c r="F1283" s="10"/>
      <c r="G1283" s="11"/>
      <c r="H1283" s="6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</row>
    <row r="1284" ht="19.5" customHeight="1">
      <c r="A1284" s="8"/>
      <c r="B1284" s="13"/>
      <c r="C1284" s="8"/>
      <c r="D1284" s="14"/>
      <c r="E1284" s="3"/>
      <c r="F1284" s="10"/>
      <c r="G1284" s="11"/>
      <c r="H1284" s="6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</row>
    <row r="1285" ht="19.5" customHeight="1">
      <c r="A1285" s="8"/>
      <c r="B1285" s="13"/>
      <c r="C1285" s="8"/>
      <c r="D1285" s="14"/>
      <c r="E1285" s="3"/>
      <c r="F1285" s="10"/>
      <c r="G1285" s="11"/>
      <c r="H1285" s="6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</row>
    <row r="1286" ht="19.5" customHeight="1">
      <c r="A1286" s="8"/>
      <c r="B1286" s="13"/>
      <c r="C1286" s="8"/>
      <c r="D1286" s="14"/>
      <c r="E1286" s="3"/>
      <c r="F1286" s="10"/>
      <c r="G1286" s="11"/>
      <c r="H1286" s="6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</row>
    <row r="1287" ht="19.5" customHeight="1">
      <c r="A1287" s="8"/>
      <c r="B1287" s="13"/>
      <c r="C1287" s="8"/>
      <c r="D1287" s="14"/>
      <c r="E1287" s="3"/>
      <c r="F1287" s="10"/>
      <c r="G1287" s="11"/>
      <c r="H1287" s="6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</row>
    <row r="1288" ht="19.5" customHeight="1">
      <c r="A1288" s="8"/>
      <c r="B1288" s="13"/>
      <c r="C1288" s="8"/>
      <c r="D1288" s="14"/>
      <c r="E1288" s="3"/>
      <c r="F1288" s="10"/>
      <c r="G1288" s="11"/>
      <c r="H1288" s="6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</row>
    <row r="1289" ht="19.5" customHeight="1">
      <c r="A1289" s="8"/>
      <c r="B1289" s="13"/>
      <c r="C1289" s="8"/>
      <c r="D1289" s="14"/>
      <c r="E1289" s="3"/>
      <c r="F1289" s="10"/>
      <c r="G1289" s="11"/>
      <c r="H1289" s="6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</row>
    <row r="1290" ht="19.5" customHeight="1">
      <c r="A1290" s="8"/>
      <c r="B1290" s="13"/>
      <c r="C1290" s="8"/>
      <c r="D1290" s="14"/>
      <c r="E1290" s="3"/>
      <c r="F1290" s="10"/>
      <c r="G1290" s="11"/>
      <c r="H1290" s="6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</row>
    <row r="1291" ht="19.5" customHeight="1">
      <c r="A1291" s="8"/>
      <c r="B1291" s="13"/>
      <c r="C1291" s="8"/>
      <c r="D1291" s="14"/>
      <c r="E1291" s="3"/>
      <c r="F1291" s="10"/>
      <c r="G1291" s="11"/>
      <c r="H1291" s="6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</row>
    <row r="1292" ht="19.5" customHeight="1">
      <c r="A1292" s="8"/>
      <c r="B1292" s="13"/>
      <c r="C1292" s="8"/>
      <c r="D1292" s="14"/>
      <c r="E1292" s="3"/>
      <c r="F1292" s="10"/>
      <c r="G1292" s="11"/>
      <c r="H1292" s="6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</row>
    <row r="1293" ht="19.5" customHeight="1">
      <c r="A1293" s="8"/>
      <c r="B1293" s="13"/>
      <c r="C1293" s="8"/>
      <c r="D1293" s="14"/>
      <c r="E1293" s="3"/>
      <c r="F1293" s="10"/>
      <c r="G1293" s="11"/>
      <c r="H1293" s="6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</row>
    <row r="1294" ht="19.5" customHeight="1">
      <c r="A1294" s="8"/>
      <c r="B1294" s="13"/>
      <c r="C1294" s="8"/>
      <c r="D1294" s="14"/>
      <c r="E1294" s="3"/>
      <c r="F1294" s="10"/>
      <c r="G1294" s="11"/>
      <c r="H1294" s="6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</row>
    <row r="1295" ht="19.5" customHeight="1">
      <c r="A1295" s="8"/>
      <c r="B1295" s="13"/>
      <c r="C1295" s="8"/>
      <c r="D1295" s="14"/>
      <c r="E1295" s="3"/>
      <c r="F1295" s="10"/>
      <c r="G1295" s="11"/>
      <c r="H1295" s="6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</row>
    <row r="1296" ht="19.5" customHeight="1">
      <c r="A1296" s="8"/>
      <c r="B1296" s="13"/>
      <c r="C1296" s="8"/>
      <c r="D1296" s="14"/>
      <c r="E1296" s="3"/>
      <c r="F1296" s="10"/>
      <c r="G1296" s="11"/>
      <c r="H1296" s="6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</row>
    <row r="1297" ht="19.5" customHeight="1">
      <c r="A1297" s="8"/>
      <c r="B1297" s="13"/>
      <c r="C1297" s="8"/>
      <c r="D1297" s="14"/>
      <c r="E1297" s="3"/>
      <c r="F1297" s="10"/>
      <c r="G1297" s="11"/>
      <c r="H1297" s="6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</row>
    <row r="1298" ht="19.5" customHeight="1">
      <c r="A1298" s="8"/>
      <c r="B1298" s="13"/>
      <c r="C1298" s="8"/>
      <c r="D1298" s="14"/>
      <c r="E1298" s="3"/>
      <c r="F1298" s="10"/>
      <c r="G1298" s="11"/>
      <c r="H1298" s="6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</row>
    <row r="1299" ht="19.5" customHeight="1">
      <c r="A1299" s="8"/>
      <c r="B1299" s="13"/>
      <c r="C1299" s="8"/>
      <c r="D1299" s="14"/>
      <c r="E1299" s="3"/>
      <c r="F1299" s="10"/>
      <c r="G1299" s="11"/>
      <c r="H1299" s="6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</row>
    <row r="1300" ht="19.5" customHeight="1">
      <c r="A1300" s="8"/>
      <c r="B1300" s="13"/>
      <c r="C1300" s="8"/>
      <c r="D1300" s="14"/>
      <c r="E1300" s="3"/>
      <c r="F1300" s="10"/>
      <c r="G1300" s="11"/>
      <c r="H1300" s="6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</row>
    <row r="1301" ht="19.5" customHeight="1">
      <c r="A1301" s="8"/>
      <c r="B1301" s="13"/>
      <c r="C1301" s="8"/>
      <c r="D1301" s="14"/>
      <c r="E1301" s="3"/>
      <c r="F1301" s="10"/>
      <c r="G1301" s="11"/>
      <c r="H1301" s="6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</row>
    <row r="1302" ht="19.5" customHeight="1">
      <c r="A1302" s="8"/>
      <c r="B1302" s="13"/>
      <c r="C1302" s="8"/>
      <c r="D1302" s="14"/>
      <c r="E1302" s="3"/>
      <c r="F1302" s="10"/>
      <c r="G1302" s="11"/>
      <c r="H1302" s="6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</row>
    <row r="1303" ht="19.5" customHeight="1">
      <c r="A1303" s="8"/>
      <c r="B1303" s="13"/>
      <c r="C1303" s="8"/>
      <c r="D1303" s="14"/>
      <c r="E1303" s="3"/>
      <c r="F1303" s="10"/>
      <c r="G1303" s="11"/>
      <c r="H1303" s="6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</row>
    <row r="1304" ht="19.5" customHeight="1">
      <c r="A1304" s="8"/>
      <c r="B1304" s="13"/>
      <c r="C1304" s="8"/>
      <c r="D1304" s="14"/>
      <c r="E1304" s="3"/>
      <c r="F1304" s="10"/>
      <c r="G1304" s="11"/>
      <c r="H1304" s="6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</row>
    <row r="1305" ht="19.5" customHeight="1">
      <c r="A1305" s="8"/>
      <c r="B1305" s="13"/>
      <c r="C1305" s="8"/>
      <c r="D1305" s="14"/>
      <c r="E1305" s="3"/>
      <c r="F1305" s="10"/>
      <c r="G1305" s="11"/>
      <c r="H1305" s="6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</row>
    <row r="1306" ht="19.5" customHeight="1">
      <c r="A1306" s="8"/>
      <c r="B1306" s="13"/>
      <c r="C1306" s="8"/>
      <c r="D1306" s="14"/>
      <c r="E1306" s="3"/>
      <c r="F1306" s="10"/>
      <c r="G1306" s="11"/>
      <c r="H1306" s="6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</row>
    <row r="1307" ht="19.5" customHeight="1">
      <c r="A1307" s="8"/>
      <c r="B1307" s="13"/>
      <c r="C1307" s="8"/>
      <c r="D1307" s="14"/>
      <c r="E1307" s="3"/>
      <c r="F1307" s="10"/>
      <c r="G1307" s="11"/>
      <c r="H1307" s="6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</row>
    <row r="1308" ht="19.5" customHeight="1">
      <c r="A1308" s="8"/>
      <c r="B1308" s="13"/>
      <c r="C1308" s="8"/>
      <c r="D1308" s="14"/>
      <c r="E1308" s="3"/>
      <c r="F1308" s="10"/>
      <c r="G1308" s="11"/>
      <c r="H1308" s="6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</row>
    <row r="1309" ht="19.5" customHeight="1">
      <c r="A1309" s="8"/>
      <c r="B1309" s="13"/>
      <c r="C1309" s="8"/>
      <c r="D1309" s="14"/>
      <c r="E1309" s="3"/>
      <c r="F1309" s="10"/>
      <c r="G1309" s="11"/>
      <c r="H1309" s="6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</row>
    <row r="1310" ht="19.5" customHeight="1">
      <c r="A1310" s="8"/>
      <c r="B1310" s="13"/>
      <c r="C1310" s="8"/>
      <c r="D1310" s="14"/>
      <c r="E1310" s="3"/>
      <c r="F1310" s="10"/>
      <c r="G1310" s="11"/>
      <c r="H1310" s="6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</row>
    <row r="1311" ht="19.5" customHeight="1">
      <c r="A1311" s="8"/>
      <c r="B1311" s="13"/>
      <c r="C1311" s="8"/>
      <c r="D1311" s="14"/>
      <c r="E1311" s="3"/>
      <c r="F1311" s="10"/>
      <c r="G1311" s="11"/>
      <c r="H1311" s="6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</row>
    <row r="1312" ht="19.5" customHeight="1">
      <c r="A1312" s="8"/>
      <c r="B1312" s="13"/>
      <c r="C1312" s="8"/>
      <c r="D1312" s="14"/>
      <c r="E1312" s="3"/>
      <c r="F1312" s="10"/>
      <c r="G1312" s="11"/>
      <c r="H1312" s="6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</row>
    <row r="1313" ht="19.5" customHeight="1">
      <c r="A1313" s="8"/>
      <c r="B1313" s="13"/>
      <c r="C1313" s="8"/>
      <c r="D1313" s="14"/>
      <c r="E1313" s="3"/>
      <c r="F1313" s="10"/>
      <c r="G1313" s="11"/>
      <c r="H1313" s="6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</row>
    <row r="1314" ht="19.5" customHeight="1">
      <c r="A1314" s="8"/>
      <c r="B1314" s="13"/>
      <c r="C1314" s="8"/>
      <c r="D1314" s="14"/>
      <c r="E1314" s="3"/>
      <c r="F1314" s="10"/>
      <c r="G1314" s="11"/>
      <c r="H1314" s="6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</row>
    <row r="1315" ht="19.5" customHeight="1">
      <c r="A1315" s="8"/>
      <c r="B1315" s="13"/>
      <c r="C1315" s="8"/>
      <c r="D1315" s="14"/>
      <c r="E1315" s="3"/>
      <c r="F1315" s="10"/>
      <c r="G1315" s="11"/>
      <c r="H1315" s="6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</row>
    <row r="1316" ht="19.5" customHeight="1">
      <c r="A1316" s="8"/>
      <c r="B1316" s="13"/>
      <c r="C1316" s="8"/>
      <c r="D1316" s="14"/>
      <c r="E1316" s="3"/>
      <c r="F1316" s="10"/>
      <c r="G1316" s="11"/>
      <c r="H1316" s="6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</row>
    <row r="1317" ht="19.5" customHeight="1">
      <c r="A1317" s="8"/>
      <c r="B1317" s="13"/>
      <c r="C1317" s="8"/>
      <c r="D1317" s="14"/>
      <c r="E1317" s="3"/>
      <c r="F1317" s="10"/>
      <c r="G1317" s="11"/>
      <c r="H1317" s="6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</row>
    <row r="1318" ht="19.5" customHeight="1">
      <c r="A1318" s="8"/>
      <c r="B1318" s="13"/>
      <c r="C1318" s="8"/>
      <c r="D1318" s="14"/>
      <c r="E1318" s="3"/>
      <c r="F1318" s="10"/>
      <c r="G1318" s="11"/>
      <c r="H1318" s="6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</row>
    <row r="1319" ht="19.5" customHeight="1">
      <c r="A1319" s="8"/>
      <c r="B1319" s="13"/>
      <c r="C1319" s="8"/>
      <c r="D1319" s="14"/>
      <c r="E1319" s="3"/>
      <c r="F1319" s="10"/>
      <c r="G1319" s="11"/>
      <c r="H1319" s="6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</row>
    <row r="1320" ht="19.5" customHeight="1">
      <c r="A1320" s="8"/>
      <c r="B1320" s="13"/>
      <c r="C1320" s="8"/>
      <c r="D1320" s="14"/>
      <c r="E1320" s="3"/>
      <c r="F1320" s="10"/>
      <c r="G1320" s="11"/>
      <c r="H1320" s="6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</row>
    <row r="1321" ht="19.5" customHeight="1">
      <c r="A1321" s="8"/>
      <c r="B1321" s="13"/>
      <c r="C1321" s="8"/>
      <c r="D1321" s="14"/>
      <c r="E1321" s="3"/>
      <c r="F1321" s="10"/>
      <c r="G1321" s="11"/>
      <c r="H1321" s="6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</row>
    <row r="1322" ht="19.5" customHeight="1">
      <c r="A1322" s="8"/>
      <c r="B1322" s="13"/>
      <c r="C1322" s="8"/>
      <c r="D1322" s="14"/>
      <c r="E1322" s="3"/>
      <c r="F1322" s="10"/>
      <c r="G1322" s="11"/>
      <c r="H1322" s="6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</row>
    <row r="1323" ht="19.5" customHeight="1">
      <c r="A1323" s="8"/>
      <c r="B1323" s="13"/>
      <c r="C1323" s="8"/>
      <c r="D1323" s="14"/>
      <c r="E1323" s="3"/>
      <c r="F1323" s="10"/>
      <c r="G1323" s="11"/>
      <c r="H1323" s="6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</row>
    <row r="1324" ht="19.5" customHeight="1">
      <c r="A1324" s="8"/>
      <c r="B1324" s="13"/>
      <c r="C1324" s="8"/>
      <c r="D1324" s="14"/>
      <c r="E1324" s="3"/>
      <c r="F1324" s="10"/>
      <c r="G1324" s="11"/>
      <c r="H1324" s="6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</row>
    <row r="1325" ht="19.5" customHeight="1">
      <c r="A1325" s="8"/>
      <c r="B1325" s="13"/>
      <c r="C1325" s="8"/>
      <c r="D1325" s="14"/>
      <c r="E1325" s="3"/>
      <c r="F1325" s="10"/>
      <c r="G1325" s="11"/>
      <c r="H1325" s="6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</row>
    <row r="1326" ht="19.5" customHeight="1">
      <c r="A1326" s="8"/>
      <c r="B1326" s="13"/>
      <c r="C1326" s="8"/>
      <c r="D1326" s="14"/>
      <c r="E1326" s="3"/>
      <c r="F1326" s="10"/>
      <c r="G1326" s="11"/>
      <c r="H1326" s="6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</row>
    <row r="1327" ht="19.5" customHeight="1">
      <c r="A1327" s="8"/>
      <c r="B1327" s="13"/>
      <c r="C1327" s="8"/>
      <c r="D1327" s="14"/>
      <c r="E1327" s="3"/>
      <c r="F1327" s="10"/>
      <c r="G1327" s="11"/>
      <c r="H1327" s="6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</row>
    <row r="1328" ht="19.5" customHeight="1">
      <c r="A1328" s="8"/>
      <c r="B1328" s="13"/>
      <c r="C1328" s="8"/>
      <c r="D1328" s="14"/>
      <c r="E1328" s="3"/>
      <c r="F1328" s="10"/>
      <c r="G1328" s="11"/>
      <c r="H1328" s="6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</row>
    <row r="1329" ht="19.5" customHeight="1">
      <c r="A1329" s="8"/>
      <c r="B1329" s="13"/>
      <c r="C1329" s="8"/>
      <c r="D1329" s="14"/>
      <c r="E1329" s="3"/>
      <c r="F1329" s="10"/>
      <c r="G1329" s="11"/>
      <c r="H1329" s="6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</row>
    <row r="1330" ht="19.5" customHeight="1">
      <c r="A1330" s="8"/>
      <c r="B1330" s="13"/>
      <c r="C1330" s="8"/>
      <c r="D1330" s="14"/>
      <c r="E1330" s="3"/>
      <c r="F1330" s="10"/>
      <c r="G1330" s="11"/>
      <c r="H1330" s="6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</row>
    <row r="1331" ht="19.5" customHeight="1">
      <c r="A1331" s="8"/>
      <c r="B1331" s="13"/>
      <c r="C1331" s="8"/>
      <c r="D1331" s="14"/>
      <c r="E1331" s="3"/>
      <c r="F1331" s="10"/>
      <c r="G1331" s="11"/>
      <c r="H1331" s="6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</row>
    <row r="1332" ht="19.5" customHeight="1">
      <c r="A1332" s="8"/>
      <c r="B1332" s="13"/>
      <c r="C1332" s="8"/>
      <c r="D1332" s="14"/>
      <c r="E1332" s="3"/>
      <c r="F1332" s="10"/>
      <c r="G1332" s="11"/>
      <c r="H1332" s="6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</row>
    <row r="1333" ht="19.5" customHeight="1">
      <c r="A1333" s="8"/>
      <c r="B1333" s="13"/>
      <c r="C1333" s="8"/>
      <c r="D1333" s="14"/>
      <c r="E1333" s="3"/>
      <c r="F1333" s="10"/>
      <c r="G1333" s="11"/>
      <c r="H1333" s="6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</row>
    <row r="1334" ht="19.5" customHeight="1">
      <c r="A1334" s="8"/>
      <c r="B1334" s="13"/>
      <c r="C1334" s="8"/>
      <c r="D1334" s="14"/>
      <c r="E1334" s="3"/>
      <c r="F1334" s="10"/>
      <c r="G1334" s="11"/>
      <c r="H1334" s="6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</row>
    <row r="1335" ht="19.5" customHeight="1">
      <c r="A1335" s="8"/>
      <c r="B1335" s="13"/>
      <c r="C1335" s="8"/>
      <c r="D1335" s="14"/>
      <c r="E1335" s="3"/>
      <c r="F1335" s="10"/>
      <c r="G1335" s="11"/>
      <c r="H1335" s="6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</row>
    <row r="1336" ht="19.5" customHeight="1">
      <c r="A1336" s="8"/>
      <c r="B1336" s="13"/>
      <c r="C1336" s="8"/>
      <c r="D1336" s="14"/>
      <c r="E1336" s="3"/>
      <c r="F1336" s="10"/>
      <c r="G1336" s="11"/>
      <c r="H1336" s="6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</row>
    <row r="1337" ht="19.5" customHeight="1">
      <c r="A1337" s="8"/>
      <c r="B1337" s="13"/>
      <c r="C1337" s="8"/>
      <c r="D1337" s="14"/>
      <c r="E1337" s="3"/>
      <c r="F1337" s="10"/>
      <c r="G1337" s="11"/>
      <c r="H1337" s="6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</row>
    <row r="1338" ht="19.5" customHeight="1">
      <c r="A1338" s="8"/>
      <c r="B1338" s="13"/>
      <c r="C1338" s="8"/>
      <c r="D1338" s="14"/>
      <c r="E1338" s="3"/>
      <c r="F1338" s="10"/>
      <c r="G1338" s="11"/>
      <c r="H1338" s="6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</row>
    <row r="1339" ht="19.5" customHeight="1">
      <c r="A1339" s="8"/>
      <c r="B1339" s="13"/>
      <c r="C1339" s="8"/>
      <c r="D1339" s="14"/>
      <c r="E1339" s="3"/>
      <c r="F1339" s="10"/>
      <c r="G1339" s="11"/>
      <c r="H1339" s="6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</row>
    <row r="1340" ht="19.5" customHeight="1">
      <c r="A1340" s="8"/>
      <c r="B1340" s="13"/>
      <c r="C1340" s="8"/>
      <c r="D1340" s="14"/>
      <c r="E1340" s="3"/>
      <c r="F1340" s="10"/>
      <c r="G1340" s="11"/>
      <c r="H1340" s="6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</row>
    <row r="1341" ht="19.5" customHeight="1">
      <c r="A1341" s="8"/>
      <c r="B1341" s="13"/>
      <c r="C1341" s="8"/>
      <c r="D1341" s="14"/>
      <c r="E1341" s="3"/>
      <c r="F1341" s="10"/>
      <c r="G1341" s="11"/>
      <c r="H1341" s="6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</row>
    <row r="1342" ht="19.5" customHeight="1">
      <c r="A1342" s="8"/>
      <c r="B1342" s="13"/>
      <c r="C1342" s="8"/>
      <c r="D1342" s="14"/>
      <c r="E1342" s="3"/>
      <c r="F1342" s="10"/>
      <c r="G1342" s="11"/>
      <c r="H1342" s="6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</row>
    <row r="1343" ht="19.5" customHeight="1">
      <c r="A1343" s="8"/>
      <c r="B1343" s="13"/>
      <c r="C1343" s="8"/>
      <c r="D1343" s="14"/>
      <c r="E1343" s="3"/>
      <c r="F1343" s="10"/>
      <c r="G1343" s="11"/>
      <c r="H1343" s="6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</row>
    <row r="1344" ht="19.5" customHeight="1">
      <c r="A1344" s="8"/>
      <c r="B1344" s="13"/>
      <c r="C1344" s="8"/>
      <c r="D1344" s="14"/>
      <c r="E1344" s="3"/>
      <c r="F1344" s="10"/>
      <c r="G1344" s="11"/>
      <c r="H1344" s="6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</row>
    <row r="1345" ht="19.5" customHeight="1">
      <c r="A1345" s="8"/>
      <c r="B1345" s="13"/>
      <c r="C1345" s="8"/>
      <c r="D1345" s="14"/>
      <c r="E1345" s="3"/>
      <c r="F1345" s="10"/>
      <c r="G1345" s="11"/>
      <c r="H1345" s="6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</row>
    <row r="1346" ht="19.5" customHeight="1">
      <c r="A1346" s="8"/>
      <c r="B1346" s="13"/>
      <c r="C1346" s="8"/>
      <c r="D1346" s="14"/>
      <c r="E1346" s="3"/>
      <c r="F1346" s="10"/>
      <c r="G1346" s="11"/>
      <c r="H1346" s="6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</row>
    <row r="1347" ht="19.5" customHeight="1">
      <c r="A1347" s="8"/>
      <c r="B1347" s="13"/>
      <c r="C1347" s="8"/>
      <c r="D1347" s="14"/>
      <c r="E1347" s="3"/>
      <c r="F1347" s="10"/>
      <c r="G1347" s="11"/>
      <c r="H1347" s="6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</row>
    <row r="1348" ht="19.5" customHeight="1">
      <c r="A1348" s="8"/>
      <c r="B1348" s="13"/>
      <c r="C1348" s="8"/>
      <c r="D1348" s="14"/>
      <c r="E1348" s="3"/>
      <c r="F1348" s="10"/>
      <c r="G1348" s="11"/>
      <c r="H1348" s="6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</row>
    <row r="1349" ht="19.5" customHeight="1">
      <c r="A1349" s="8"/>
      <c r="B1349" s="13"/>
      <c r="C1349" s="8"/>
      <c r="D1349" s="14"/>
      <c r="E1349" s="3"/>
      <c r="F1349" s="10"/>
      <c r="G1349" s="11"/>
      <c r="H1349" s="6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</row>
    <row r="1350" ht="19.5" customHeight="1">
      <c r="A1350" s="8"/>
      <c r="B1350" s="13"/>
      <c r="C1350" s="8"/>
      <c r="D1350" s="14"/>
      <c r="E1350" s="3"/>
      <c r="F1350" s="10"/>
      <c r="G1350" s="11"/>
      <c r="H1350" s="6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</row>
    <row r="1351" ht="19.5" customHeight="1">
      <c r="A1351" s="8"/>
      <c r="B1351" s="13"/>
      <c r="C1351" s="8"/>
      <c r="D1351" s="14"/>
      <c r="E1351" s="3"/>
      <c r="F1351" s="10"/>
      <c r="G1351" s="11"/>
      <c r="H1351" s="6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</row>
    <row r="1352" ht="19.5" customHeight="1">
      <c r="A1352" s="8"/>
      <c r="B1352" s="13"/>
      <c r="C1352" s="8"/>
      <c r="D1352" s="14"/>
      <c r="E1352" s="3"/>
      <c r="F1352" s="10"/>
      <c r="G1352" s="11"/>
      <c r="H1352" s="6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</row>
    <row r="1353" ht="19.5" customHeight="1">
      <c r="A1353" s="8"/>
      <c r="B1353" s="13"/>
      <c r="C1353" s="8"/>
      <c r="D1353" s="14"/>
      <c r="E1353" s="3"/>
      <c r="F1353" s="10"/>
      <c r="G1353" s="11"/>
      <c r="H1353" s="6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</row>
    <row r="1354" ht="19.5" customHeight="1">
      <c r="A1354" s="8"/>
      <c r="B1354" s="13"/>
      <c r="C1354" s="8"/>
      <c r="D1354" s="14"/>
      <c r="E1354" s="3"/>
      <c r="F1354" s="10"/>
      <c r="G1354" s="11"/>
      <c r="H1354" s="6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</row>
    <row r="1355" ht="19.5" customHeight="1">
      <c r="A1355" s="8"/>
      <c r="B1355" s="13"/>
      <c r="C1355" s="8"/>
      <c r="D1355" s="14"/>
      <c r="E1355" s="3"/>
      <c r="F1355" s="10"/>
      <c r="G1355" s="11"/>
      <c r="H1355" s="6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</row>
    <row r="1356" ht="19.5" customHeight="1">
      <c r="A1356" s="8"/>
      <c r="B1356" s="13"/>
      <c r="C1356" s="8"/>
      <c r="D1356" s="14"/>
      <c r="E1356" s="3"/>
      <c r="F1356" s="10"/>
      <c r="G1356" s="11"/>
      <c r="H1356" s="6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</row>
    <row r="1357" ht="19.5" customHeight="1">
      <c r="A1357" s="8"/>
      <c r="B1357" s="13"/>
      <c r="C1357" s="8"/>
      <c r="D1357" s="14"/>
      <c r="E1357" s="3"/>
      <c r="F1357" s="10"/>
      <c r="G1357" s="11"/>
      <c r="H1357" s="6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</row>
    <row r="1358" ht="19.5" customHeight="1">
      <c r="A1358" s="8"/>
      <c r="B1358" s="13"/>
      <c r="C1358" s="8"/>
      <c r="D1358" s="14"/>
      <c r="E1358" s="3"/>
      <c r="F1358" s="10"/>
      <c r="G1358" s="11"/>
      <c r="H1358" s="6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</row>
    <row r="1359" ht="19.5" customHeight="1">
      <c r="A1359" s="8"/>
      <c r="B1359" s="13"/>
      <c r="C1359" s="8"/>
      <c r="D1359" s="14"/>
      <c r="E1359" s="3"/>
      <c r="F1359" s="10"/>
      <c r="G1359" s="11"/>
      <c r="H1359" s="6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</row>
    <row r="1360" ht="19.5" customHeight="1">
      <c r="A1360" s="8"/>
      <c r="B1360" s="13"/>
      <c r="C1360" s="8"/>
      <c r="D1360" s="14"/>
      <c r="E1360" s="3"/>
      <c r="F1360" s="10"/>
      <c r="G1360" s="11"/>
      <c r="H1360" s="6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</row>
    <row r="1361" ht="19.5" customHeight="1">
      <c r="A1361" s="8"/>
      <c r="B1361" s="13"/>
      <c r="C1361" s="8"/>
      <c r="D1361" s="14"/>
      <c r="E1361" s="3"/>
      <c r="F1361" s="10"/>
      <c r="G1361" s="11"/>
      <c r="H1361" s="6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</row>
    <row r="1362" ht="19.5" customHeight="1">
      <c r="A1362" s="8"/>
      <c r="B1362" s="13"/>
      <c r="C1362" s="8"/>
      <c r="D1362" s="14"/>
      <c r="E1362" s="3"/>
      <c r="F1362" s="10"/>
      <c r="G1362" s="11"/>
      <c r="H1362" s="6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</row>
    <row r="1363" ht="19.5" customHeight="1">
      <c r="A1363" s="8"/>
      <c r="B1363" s="13"/>
      <c r="C1363" s="8"/>
      <c r="D1363" s="14"/>
      <c r="E1363" s="3"/>
      <c r="F1363" s="10"/>
      <c r="G1363" s="11"/>
      <c r="H1363" s="6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</row>
    <row r="1364" ht="19.5" customHeight="1">
      <c r="A1364" s="8"/>
      <c r="B1364" s="13"/>
      <c r="C1364" s="8"/>
      <c r="D1364" s="14"/>
      <c r="E1364" s="3"/>
      <c r="F1364" s="10"/>
      <c r="G1364" s="11"/>
      <c r="H1364" s="6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</row>
    <row r="1365" ht="19.5" customHeight="1">
      <c r="A1365" s="8"/>
      <c r="B1365" s="13"/>
      <c r="C1365" s="8"/>
      <c r="D1365" s="14"/>
      <c r="E1365" s="3"/>
      <c r="F1365" s="10"/>
      <c r="G1365" s="11"/>
      <c r="H1365" s="6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</row>
    <row r="1366" ht="19.5" customHeight="1">
      <c r="A1366" s="8"/>
      <c r="B1366" s="13"/>
      <c r="C1366" s="8"/>
      <c r="D1366" s="14"/>
      <c r="E1366" s="3"/>
      <c r="F1366" s="10"/>
      <c r="G1366" s="11"/>
      <c r="H1366" s="6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</row>
    <row r="1367" ht="19.5" customHeight="1">
      <c r="A1367" s="8"/>
      <c r="B1367" s="13"/>
      <c r="C1367" s="8"/>
      <c r="D1367" s="14"/>
      <c r="E1367" s="3"/>
      <c r="F1367" s="10"/>
      <c r="G1367" s="11"/>
      <c r="H1367" s="6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</row>
    <row r="1368" ht="19.5" customHeight="1">
      <c r="A1368" s="8"/>
      <c r="B1368" s="13"/>
      <c r="C1368" s="8"/>
      <c r="D1368" s="14"/>
      <c r="E1368" s="3"/>
      <c r="F1368" s="10"/>
      <c r="G1368" s="11"/>
      <c r="H1368" s="6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</row>
    <row r="1369" ht="19.5" customHeight="1">
      <c r="A1369" s="8"/>
      <c r="B1369" s="13"/>
      <c r="C1369" s="8"/>
      <c r="D1369" s="14"/>
      <c r="E1369" s="3"/>
      <c r="F1369" s="10"/>
      <c r="G1369" s="11"/>
      <c r="H1369" s="6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</row>
    <row r="1370" ht="19.5" customHeight="1">
      <c r="A1370" s="8"/>
      <c r="B1370" s="13"/>
      <c r="C1370" s="8"/>
      <c r="D1370" s="14"/>
      <c r="E1370" s="3"/>
      <c r="F1370" s="10"/>
      <c r="G1370" s="11"/>
      <c r="H1370" s="6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</row>
    <row r="1371" ht="19.5" customHeight="1">
      <c r="A1371" s="8"/>
      <c r="B1371" s="13"/>
      <c r="C1371" s="8"/>
      <c r="D1371" s="14"/>
      <c r="E1371" s="3"/>
      <c r="F1371" s="10"/>
      <c r="G1371" s="11"/>
      <c r="H1371" s="6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</row>
    <row r="1372" ht="19.5" customHeight="1">
      <c r="A1372" s="8"/>
      <c r="B1372" s="13"/>
      <c r="C1372" s="8"/>
      <c r="D1372" s="14"/>
      <c r="E1372" s="3"/>
      <c r="F1372" s="10"/>
      <c r="G1372" s="11"/>
      <c r="H1372" s="6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</row>
    <row r="1373" ht="19.5" customHeight="1">
      <c r="A1373" s="8"/>
      <c r="B1373" s="13"/>
      <c r="C1373" s="8"/>
      <c r="D1373" s="14"/>
      <c r="E1373" s="3"/>
      <c r="F1373" s="10"/>
      <c r="G1373" s="11"/>
      <c r="H1373" s="6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</row>
    <row r="1374" ht="19.5" customHeight="1">
      <c r="A1374" s="8"/>
      <c r="B1374" s="13"/>
      <c r="C1374" s="8"/>
      <c r="D1374" s="14"/>
      <c r="E1374" s="3"/>
      <c r="F1374" s="10"/>
      <c r="G1374" s="11"/>
      <c r="H1374" s="6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</row>
    <row r="1375" ht="19.5" customHeight="1">
      <c r="A1375" s="8"/>
      <c r="B1375" s="13"/>
      <c r="C1375" s="8"/>
      <c r="D1375" s="14"/>
      <c r="E1375" s="3"/>
      <c r="F1375" s="10"/>
      <c r="G1375" s="11"/>
      <c r="H1375" s="6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</row>
    <row r="1376" ht="19.5" customHeight="1">
      <c r="A1376" s="8"/>
      <c r="B1376" s="13"/>
      <c r="C1376" s="8"/>
      <c r="D1376" s="14"/>
      <c r="E1376" s="3"/>
      <c r="F1376" s="10"/>
      <c r="G1376" s="11"/>
      <c r="H1376" s="6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</row>
    <row r="1377" ht="19.5" customHeight="1">
      <c r="A1377" s="8"/>
      <c r="B1377" s="13"/>
      <c r="C1377" s="8"/>
      <c r="D1377" s="14"/>
      <c r="E1377" s="3"/>
      <c r="F1377" s="10"/>
      <c r="G1377" s="11"/>
      <c r="H1377" s="6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</row>
    <row r="1378" ht="19.5" customHeight="1">
      <c r="A1378" s="8"/>
      <c r="B1378" s="13"/>
      <c r="C1378" s="8"/>
      <c r="D1378" s="14"/>
      <c r="E1378" s="3"/>
      <c r="F1378" s="10"/>
      <c r="G1378" s="11"/>
      <c r="H1378" s="6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</row>
    <row r="1379" ht="19.5" customHeight="1">
      <c r="A1379" s="8"/>
      <c r="B1379" s="13"/>
      <c r="C1379" s="8"/>
      <c r="D1379" s="14"/>
      <c r="E1379" s="3"/>
      <c r="F1379" s="10"/>
      <c r="G1379" s="11"/>
      <c r="H1379" s="6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</row>
    <row r="1380" ht="19.5" customHeight="1">
      <c r="A1380" s="8"/>
      <c r="B1380" s="13"/>
      <c r="C1380" s="8"/>
      <c r="D1380" s="14"/>
      <c r="E1380" s="3"/>
      <c r="F1380" s="10"/>
      <c r="G1380" s="11"/>
      <c r="H1380" s="6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</row>
    <row r="1381" ht="19.5" customHeight="1">
      <c r="A1381" s="8"/>
      <c r="B1381" s="13"/>
      <c r="C1381" s="8"/>
      <c r="D1381" s="14"/>
      <c r="E1381" s="3"/>
      <c r="F1381" s="10"/>
      <c r="G1381" s="11"/>
      <c r="H1381" s="6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</row>
    <row r="1382" ht="19.5" customHeight="1">
      <c r="A1382" s="8"/>
      <c r="B1382" s="13"/>
      <c r="C1382" s="8"/>
      <c r="D1382" s="14"/>
      <c r="E1382" s="3"/>
      <c r="F1382" s="10"/>
      <c r="G1382" s="11"/>
      <c r="H1382" s="6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</row>
    <row r="1383" ht="19.5" customHeight="1">
      <c r="A1383" s="8"/>
      <c r="B1383" s="13"/>
      <c r="C1383" s="8"/>
      <c r="D1383" s="14"/>
      <c r="E1383" s="3"/>
      <c r="F1383" s="10"/>
      <c r="G1383" s="11"/>
      <c r="H1383" s="6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</row>
    <row r="1384" ht="19.5" customHeight="1">
      <c r="A1384" s="8"/>
      <c r="B1384" s="13"/>
      <c r="C1384" s="8"/>
      <c r="D1384" s="14"/>
      <c r="E1384" s="3"/>
      <c r="F1384" s="10"/>
      <c r="G1384" s="11"/>
      <c r="H1384" s="6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</row>
    <row r="1385" ht="19.5" customHeight="1">
      <c r="A1385" s="8"/>
      <c r="B1385" s="13"/>
      <c r="C1385" s="8"/>
      <c r="D1385" s="14"/>
      <c r="E1385" s="3"/>
      <c r="F1385" s="10"/>
      <c r="G1385" s="11"/>
      <c r="H1385" s="6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</row>
    <row r="1386" ht="19.5" customHeight="1">
      <c r="A1386" s="8"/>
      <c r="B1386" s="13"/>
      <c r="C1386" s="8"/>
      <c r="D1386" s="14"/>
      <c r="E1386" s="3"/>
      <c r="F1386" s="10"/>
      <c r="G1386" s="11"/>
      <c r="H1386" s="6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</row>
    <row r="1387" ht="19.5" customHeight="1">
      <c r="A1387" s="8"/>
      <c r="B1387" s="13"/>
      <c r="C1387" s="8"/>
      <c r="D1387" s="14"/>
      <c r="E1387" s="3"/>
      <c r="F1387" s="10"/>
      <c r="G1387" s="11"/>
      <c r="H1387" s="6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</row>
    <row r="1388" ht="19.5" customHeight="1">
      <c r="A1388" s="8"/>
      <c r="B1388" s="13"/>
      <c r="C1388" s="8"/>
      <c r="D1388" s="14"/>
      <c r="E1388" s="3"/>
      <c r="F1388" s="10"/>
      <c r="G1388" s="11"/>
      <c r="H1388" s="6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</row>
    <row r="1389" ht="19.5" customHeight="1">
      <c r="A1389" s="8"/>
      <c r="B1389" s="13"/>
      <c r="C1389" s="8"/>
      <c r="D1389" s="14"/>
      <c r="E1389" s="3"/>
      <c r="F1389" s="10"/>
      <c r="G1389" s="11"/>
      <c r="H1389" s="6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</row>
    <row r="1390" ht="19.5" customHeight="1">
      <c r="A1390" s="8"/>
      <c r="B1390" s="13"/>
      <c r="C1390" s="8"/>
      <c r="D1390" s="14"/>
      <c r="E1390" s="3"/>
      <c r="F1390" s="10"/>
      <c r="G1390" s="11"/>
      <c r="H1390" s="6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</row>
    <row r="1391" ht="19.5" customHeight="1">
      <c r="A1391" s="8"/>
      <c r="B1391" s="13"/>
      <c r="C1391" s="8"/>
      <c r="D1391" s="14"/>
      <c r="E1391" s="3"/>
      <c r="F1391" s="10"/>
      <c r="G1391" s="11"/>
      <c r="H1391" s="6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</row>
    <row r="1392" ht="19.5" customHeight="1">
      <c r="A1392" s="8"/>
      <c r="B1392" s="13"/>
      <c r="C1392" s="8"/>
      <c r="D1392" s="14"/>
      <c r="E1392" s="3"/>
      <c r="F1392" s="10"/>
      <c r="G1392" s="11"/>
      <c r="H1392" s="6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</row>
    <row r="1393" ht="19.5" customHeight="1">
      <c r="A1393" s="8"/>
      <c r="B1393" s="13"/>
      <c r="C1393" s="8"/>
      <c r="D1393" s="14"/>
      <c r="E1393" s="3"/>
      <c r="F1393" s="10"/>
      <c r="G1393" s="11"/>
      <c r="H1393" s="6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</row>
    <row r="1394" ht="19.5" customHeight="1">
      <c r="A1394" s="8"/>
      <c r="B1394" s="13"/>
      <c r="C1394" s="8"/>
      <c r="D1394" s="14"/>
      <c r="E1394" s="3"/>
      <c r="F1394" s="10"/>
      <c r="G1394" s="11"/>
      <c r="H1394" s="6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</row>
    <row r="1395" ht="19.5" customHeight="1">
      <c r="A1395" s="8"/>
      <c r="B1395" s="13"/>
      <c r="C1395" s="8"/>
      <c r="D1395" s="14"/>
      <c r="E1395" s="3"/>
      <c r="F1395" s="10"/>
      <c r="G1395" s="11"/>
      <c r="H1395" s="6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</row>
    <row r="1396" ht="19.5" customHeight="1">
      <c r="A1396" s="8"/>
      <c r="B1396" s="13"/>
      <c r="C1396" s="8"/>
      <c r="D1396" s="14"/>
      <c r="E1396" s="3"/>
      <c r="F1396" s="10"/>
      <c r="G1396" s="11"/>
      <c r="H1396" s="6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</row>
    <row r="1397" ht="19.5" customHeight="1">
      <c r="A1397" s="8"/>
      <c r="B1397" s="13"/>
      <c r="C1397" s="8"/>
      <c r="D1397" s="14"/>
      <c r="E1397" s="3"/>
      <c r="F1397" s="10"/>
      <c r="G1397" s="11"/>
      <c r="H1397" s="6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</row>
    <row r="1398" ht="19.5" customHeight="1">
      <c r="A1398" s="8"/>
      <c r="B1398" s="13"/>
      <c r="C1398" s="8"/>
      <c r="D1398" s="14"/>
      <c r="E1398" s="3"/>
      <c r="F1398" s="10"/>
      <c r="G1398" s="11"/>
      <c r="H1398" s="6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</row>
    <row r="1399" ht="19.5" customHeight="1">
      <c r="A1399" s="8"/>
      <c r="B1399" s="13"/>
      <c r="C1399" s="8"/>
      <c r="D1399" s="14"/>
      <c r="E1399" s="3"/>
      <c r="F1399" s="10"/>
      <c r="G1399" s="11"/>
      <c r="H1399" s="6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</row>
    <row r="1400" ht="19.5" customHeight="1">
      <c r="A1400" s="8"/>
      <c r="B1400" s="13"/>
      <c r="C1400" s="8"/>
      <c r="D1400" s="14"/>
      <c r="E1400" s="3"/>
      <c r="F1400" s="10"/>
      <c r="G1400" s="11"/>
      <c r="H1400" s="6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</row>
    <row r="1401" ht="19.5" customHeight="1">
      <c r="A1401" s="8"/>
      <c r="B1401" s="13"/>
      <c r="C1401" s="8"/>
      <c r="D1401" s="14"/>
      <c r="E1401" s="3"/>
      <c r="F1401" s="10"/>
      <c r="G1401" s="11"/>
      <c r="H1401" s="6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</row>
    <row r="1402" ht="19.5" customHeight="1">
      <c r="A1402" s="8"/>
      <c r="B1402" s="13"/>
      <c r="C1402" s="8"/>
      <c r="D1402" s="14"/>
      <c r="E1402" s="3"/>
      <c r="F1402" s="10"/>
      <c r="G1402" s="11"/>
      <c r="H1402" s="6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</row>
    <row r="1403" ht="19.5" customHeight="1">
      <c r="A1403" s="8"/>
      <c r="B1403" s="13"/>
      <c r="C1403" s="8"/>
      <c r="D1403" s="14"/>
      <c r="E1403" s="3"/>
      <c r="F1403" s="10"/>
      <c r="G1403" s="11"/>
      <c r="H1403" s="6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</row>
    <row r="1404" ht="19.5" customHeight="1">
      <c r="A1404" s="8"/>
      <c r="B1404" s="13"/>
      <c r="C1404" s="8"/>
      <c r="D1404" s="14"/>
      <c r="E1404" s="3"/>
      <c r="F1404" s="10"/>
      <c r="G1404" s="11"/>
      <c r="H1404" s="6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</row>
    <row r="1405" ht="19.5" customHeight="1">
      <c r="A1405" s="8"/>
      <c r="B1405" s="13"/>
      <c r="C1405" s="8"/>
      <c r="D1405" s="14"/>
      <c r="E1405" s="3"/>
      <c r="F1405" s="10"/>
      <c r="G1405" s="11"/>
      <c r="H1405" s="6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</row>
    <row r="1406" ht="19.5" customHeight="1">
      <c r="A1406" s="8"/>
      <c r="B1406" s="13"/>
      <c r="C1406" s="8"/>
      <c r="D1406" s="14"/>
      <c r="E1406" s="3"/>
      <c r="F1406" s="10"/>
      <c r="G1406" s="11"/>
      <c r="H1406" s="6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</row>
    <row r="1407" ht="19.5" customHeight="1">
      <c r="A1407" s="8"/>
      <c r="B1407" s="13"/>
      <c r="C1407" s="8"/>
      <c r="D1407" s="14"/>
      <c r="E1407" s="3"/>
      <c r="F1407" s="10"/>
      <c r="G1407" s="11"/>
      <c r="H1407" s="6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</row>
    <row r="1408" ht="19.5" customHeight="1">
      <c r="A1408" s="8"/>
      <c r="B1408" s="13"/>
      <c r="C1408" s="8"/>
      <c r="D1408" s="14"/>
      <c r="E1408" s="3"/>
      <c r="F1408" s="10"/>
      <c r="G1408" s="11"/>
      <c r="H1408" s="6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</row>
    <row r="1409" ht="19.5" customHeight="1">
      <c r="A1409" s="8"/>
      <c r="B1409" s="13"/>
      <c r="C1409" s="8"/>
      <c r="D1409" s="14"/>
      <c r="E1409" s="3"/>
      <c r="F1409" s="10"/>
      <c r="G1409" s="11"/>
      <c r="H1409" s="6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</row>
    <row r="1410" ht="19.5" customHeight="1">
      <c r="A1410" s="8"/>
      <c r="B1410" s="13"/>
      <c r="C1410" s="8"/>
      <c r="D1410" s="14"/>
      <c r="E1410" s="3"/>
      <c r="F1410" s="10"/>
      <c r="G1410" s="11"/>
      <c r="H1410" s="6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</row>
    <row r="1411" ht="19.5" customHeight="1">
      <c r="A1411" s="8"/>
      <c r="B1411" s="13"/>
      <c r="C1411" s="8"/>
      <c r="D1411" s="14"/>
      <c r="E1411" s="3"/>
      <c r="F1411" s="10"/>
      <c r="G1411" s="11"/>
      <c r="H1411" s="6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</row>
    <row r="1412" ht="19.5" customHeight="1">
      <c r="A1412" s="8"/>
      <c r="B1412" s="13"/>
      <c r="C1412" s="8"/>
      <c r="D1412" s="14"/>
      <c r="E1412" s="3"/>
      <c r="F1412" s="10"/>
      <c r="G1412" s="11"/>
      <c r="H1412" s="6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</row>
    <row r="1413" ht="19.5" customHeight="1">
      <c r="A1413" s="8"/>
      <c r="B1413" s="13"/>
      <c r="C1413" s="8"/>
      <c r="D1413" s="14"/>
      <c r="E1413" s="3"/>
      <c r="F1413" s="10"/>
      <c r="G1413" s="11"/>
      <c r="H1413" s="6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</row>
    <row r="1414" ht="19.5" customHeight="1">
      <c r="A1414" s="8"/>
      <c r="B1414" s="13"/>
      <c r="C1414" s="8"/>
      <c r="D1414" s="14"/>
      <c r="E1414" s="3"/>
      <c r="F1414" s="10"/>
      <c r="G1414" s="11"/>
      <c r="H1414" s="6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</row>
    <row r="1415" ht="19.5" customHeight="1">
      <c r="A1415" s="8"/>
      <c r="B1415" s="13"/>
      <c r="C1415" s="8"/>
      <c r="D1415" s="14"/>
      <c r="E1415" s="3"/>
      <c r="F1415" s="10"/>
      <c r="G1415" s="11"/>
      <c r="H1415" s="6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</row>
    <row r="1416" ht="19.5" customHeight="1">
      <c r="A1416" s="8"/>
      <c r="B1416" s="13"/>
      <c r="C1416" s="8"/>
      <c r="D1416" s="14"/>
      <c r="E1416" s="3"/>
      <c r="F1416" s="10"/>
      <c r="G1416" s="11"/>
      <c r="H1416" s="6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</row>
    <row r="1417" ht="19.5" customHeight="1">
      <c r="A1417" s="8"/>
      <c r="B1417" s="13"/>
      <c r="C1417" s="8"/>
      <c r="D1417" s="14"/>
      <c r="E1417" s="3"/>
      <c r="F1417" s="10"/>
      <c r="G1417" s="11"/>
      <c r="H1417" s="6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</row>
    <row r="1418" ht="19.5" customHeight="1">
      <c r="A1418" s="8"/>
      <c r="B1418" s="13"/>
      <c r="C1418" s="8"/>
      <c r="D1418" s="14"/>
      <c r="E1418" s="3"/>
      <c r="F1418" s="10"/>
      <c r="G1418" s="11"/>
      <c r="H1418" s="6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</row>
    <row r="1419" ht="19.5" customHeight="1">
      <c r="A1419" s="8"/>
      <c r="B1419" s="13"/>
      <c r="C1419" s="8"/>
      <c r="D1419" s="14"/>
      <c r="E1419" s="3"/>
      <c r="F1419" s="10"/>
      <c r="G1419" s="11"/>
      <c r="H1419" s="6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</row>
    <row r="1420" ht="19.5" customHeight="1">
      <c r="A1420" s="8"/>
      <c r="B1420" s="13"/>
      <c r="C1420" s="8"/>
      <c r="D1420" s="14"/>
      <c r="E1420" s="3"/>
      <c r="F1420" s="10"/>
      <c r="G1420" s="11"/>
      <c r="H1420" s="6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</row>
    <row r="1421" ht="19.5" customHeight="1">
      <c r="A1421" s="8"/>
      <c r="B1421" s="13"/>
      <c r="C1421" s="8"/>
      <c r="D1421" s="14"/>
      <c r="E1421" s="3"/>
      <c r="F1421" s="10"/>
      <c r="G1421" s="11"/>
      <c r="H1421" s="6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</row>
    <row r="1422" ht="19.5" customHeight="1">
      <c r="A1422" s="8"/>
      <c r="B1422" s="13"/>
      <c r="C1422" s="8"/>
      <c r="D1422" s="14"/>
      <c r="E1422" s="3"/>
      <c r="F1422" s="10"/>
      <c r="G1422" s="11"/>
      <c r="H1422" s="6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</row>
    <row r="1423" ht="19.5" customHeight="1">
      <c r="A1423" s="8"/>
      <c r="B1423" s="13"/>
      <c r="C1423" s="8"/>
      <c r="D1423" s="14"/>
      <c r="E1423" s="3"/>
      <c r="F1423" s="10"/>
      <c r="G1423" s="11"/>
      <c r="H1423" s="6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</row>
    <row r="1424" ht="19.5" customHeight="1">
      <c r="A1424" s="8"/>
      <c r="B1424" s="13"/>
      <c r="C1424" s="8"/>
      <c r="D1424" s="14"/>
      <c r="E1424" s="3"/>
      <c r="F1424" s="10"/>
      <c r="G1424" s="11"/>
      <c r="H1424" s="6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</row>
    <row r="1425" ht="19.5" customHeight="1">
      <c r="A1425" s="8"/>
      <c r="B1425" s="13"/>
      <c r="C1425" s="8"/>
      <c r="D1425" s="14"/>
      <c r="E1425" s="3"/>
      <c r="F1425" s="10"/>
      <c r="G1425" s="11"/>
      <c r="H1425" s="6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</row>
    <row r="1426" ht="19.5" customHeight="1">
      <c r="A1426" s="8"/>
      <c r="B1426" s="13"/>
      <c r="C1426" s="8"/>
      <c r="D1426" s="14"/>
      <c r="E1426" s="3"/>
      <c r="F1426" s="10"/>
      <c r="G1426" s="11"/>
      <c r="H1426" s="6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</row>
    <row r="1427" ht="19.5" customHeight="1">
      <c r="A1427" s="8"/>
      <c r="B1427" s="13"/>
      <c r="C1427" s="8"/>
      <c r="D1427" s="14"/>
      <c r="E1427" s="3"/>
      <c r="F1427" s="10"/>
      <c r="G1427" s="11"/>
      <c r="H1427" s="6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</row>
    <row r="1428" ht="19.5" customHeight="1">
      <c r="A1428" s="8"/>
      <c r="B1428" s="13"/>
      <c r="C1428" s="8"/>
      <c r="D1428" s="14"/>
      <c r="E1428" s="3"/>
      <c r="F1428" s="10"/>
      <c r="G1428" s="11"/>
      <c r="H1428" s="6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</row>
    <row r="1429" ht="19.5" customHeight="1">
      <c r="A1429" s="8"/>
      <c r="B1429" s="13"/>
      <c r="C1429" s="8"/>
      <c r="D1429" s="14"/>
      <c r="E1429" s="3"/>
      <c r="F1429" s="10"/>
      <c r="G1429" s="11"/>
      <c r="H1429" s="6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</row>
    <row r="1430" ht="19.5" customHeight="1">
      <c r="A1430" s="8"/>
      <c r="B1430" s="13"/>
      <c r="C1430" s="8"/>
      <c r="D1430" s="14"/>
      <c r="E1430" s="3"/>
      <c r="F1430" s="10"/>
      <c r="G1430" s="11"/>
      <c r="H1430" s="6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</row>
    <row r="1431" ht="19.5" customHeight="1">
      <c r="A1431" s="8"/>
      <c r="B1431" s="13"/>
      <c r="C1431" s="8"/>
      <c r="D1431" s="14"/>
      <c r="E1431" s="3"/>
      <c r="F1431" s="10"/>
      <c r="G1431" s="11"/>
      <c r="H1431" s="6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</row>
    <row r="1432" ht="19.5" customHeight="1">
      <c r="A1432" s="8"/>
      <c r="B1432" s="13"/>
      <c r="C1432" s="8"/>
      <c r="D1432" s="14"/>
      <c r="E1432" s="3"/>
      <c r="F1432" s="10"/>
      <c r="G1432" s="11"/>
      <c r="H1432" s="6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</row>
    <row r="1433" ht="19.5" customHeight="1">
      <c r="A1433" s="8"/>
      <c r="B1433" s="13"/>
      <c r="C1433" s="8"/>
      <c r="D1433" s="14"/>
      <c r="E1433" s="3"/>
      <c r="F1433" s="10"/>
      <c r="G1433" s="11"/>
      <c r="H1433" s="6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</row>
    <row r="1434" ht="19.5" customHeight="1">
      <c r="A1434" s="8"/>
      <c r="B1434" s="13"/>
      <c r="C1434" s="8"/>
      <c r="D1434" s="14"/>
      <c r="E1434" s="3"/>
      <c r="F1434" s="10"/>
      <c r="G1434" s="11"/>
      <c r="H1434" s="6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</row>
    <row r="1435" ht="19.5" customHeight="1">
      <c r="A1435" s="8"/>
      <c r="B1435" s="13"/>
      <c r="C1435" s="8"/>
      <c r="D1435" s="14"/>
      <c r="E1435" s="3"/>
      <c r="F1435" s="10"/>
      <c r="G1435" s="11"/>
      <c r="H1435" s="6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</row>
    <row r="1436" ht="19.5" customHeight="1">
      <c r="A1436" s="8"/>
      <c r="B1436" s="13"/>
      <c r="C1436" s="8"/>
      <c r="D1436" s="14"/>
      <c r="E1436" s="3"/>
      <c r="F1436" s="10"/>
      <c r="G1436" s="11"/>
      <c r="H1436" s="6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</row>
    <row r="1437" ht="19.5" customHeight="1">
      <c r="A1437" s="8"/>
      <c r="B1437" s="13"/>
      <c r="C1437" s="8"/>
      <c r="D1437" s="14"/>
      <c r="E1437" s="3"/>
      <c r="F1437" s="10"/>
      <c r="G1437" s="11"/>
      <c r="H1437" s="6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</row>
    <row r="1438" ht="19.5" customHeight="1">
      <c r="A1438" s="8"/>
      <c r="B1438" s="13"/>
      <c r="C1438" s="8"/>
      <c r="D1438" s="14"/>
      <c r="E1438" s="3"/>
      <c r="F1438" s="10"/>
      <c r="G1438" s="11"/>
      <c r="H1438" s="6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</row>
    <row r="1439" ht="19.5" customHeight="1">
      <c r="A1439" s="8"/>
      <c r="B1439" s="13"/>
      <c r="C1439" s="8"/>
      <c r="D1439" s="14"/>
      <c r="E1439" s="3"/>
      <c r="F1439" s="10"/>
      <c r="G1439" s="11"/>
      <c r="H1439" s="6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</row>
    <row r="1440" ht="19.5" customHeight="1">
      <c r="A1440" s="8"/>
      <c r="B1440" s="13"/>
      <c r="C1440" s="8"/>
      <c r="D1440" s="14"/>
      <c r="E1440" s="3"/>
      <c r="F1440" s="10"/>
      <c r="G1440" s="11"/>
      <c r="H1440" s="6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</row>
    <row r="1441" ht="19.5" customHeight="1">
      <c r="A1441" s="8"/>
      <c r="B1441" s="13"/>
      <c r="C1441" s="8"/>
      <c r="D1441" s="14"/>
      <c r="E1441" s="3"/>
      <c r="F1441" s="10"/>
      <c r="G1441" s="11"/>
      <c r="H1441" s="6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</row>
    <row r="1442" ht="19.5" customHeight="1">
      <c r="A1442" s="8"/>
      <c r="B1442" s="13"/>
      <c r="C1442" s="8"/>
      <c r="D1442" s="14"/>
      <c r="E1442" s="3"/>
      <c r="F1442" s="10"/>
      <c r="G1442" s="11"/>
      <c r="H1442" s="6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</row>
    <row r="1443" ht="19.5" customHeight="1">
      <c r="A1443" s="8"/>
      <c r="B1443" s="13"/>
      <c r="C1443" s="8"/>
      <c r="D1443" s="14"/>
      <c r="E1443" s="3"/>
      <c r="F1443" s="10"/>
      <c r="G1443" s="11"/>
      <c r="H1443" s="6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</row>
    <row r="1444" ht="19.5" customHeight="1">
      <c r="A1444" s="8"/>
      <c r="B1444" s="13"/>
      <c r="C1444" s="8"/>
      <c r="D1444" s="14"/>
      <c r="E1444" s="3"/>
      <c r="F1444" s="10"/>
      <c r="G1444" s="11"/>
      <c r="H1444" s="6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</row>
    <row r="1445" ht="19.5" customHeight="1">
      <c r="A1445" s="8"/>
      <c r="B1445" s="13"/>
      <c r="C1445" s="8"/>
      <c r="D1445" s="14"/>
      <c r="E1445" s="3"/>
      <c r="F1445" s="10"/>
      <c r="G1445" s="11"/>
      <c r="H1445" s="6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</row>
    <row r="1446" ht="19.5" customHeight="1">
      <c r="A1446" s="8"/>
      <c r="B1446" s="13"/>
      <c r="C1446" s="8"/>
      <c r="D1446" s="14"/>
      <c r="E1446" s="3"/>
      <c r="F1446" s="10"/>
      <c r="G1446" s="11"/>
      <c r="H1446" s="6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</row>
    <row r="1447" ht="19.5" customHeight="1">
      <c r="A1447" s="8"/>
      <c r="B1447" s="13"/>
      <c r="C1447" s="8"/>
      <c r="D1447" s="14"/>
      <c r="E1447" s="3"/>
      <c r="F1447" s="10"/>
      <c r="G1447" s="11"/>
      <c r="H1447" s="6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</row>
    <row r="1448" ht="19.5" customHeight="1">
      <c r="A1448" s="8"/>
      <c r="B1448" s="13"/>
      <c r="C1448" s="8"/>
      <c r="D1448" s="14"/>
      <c r="E1448" s="3"/>
      <c r="F1448" s="10"/>
      <c r="G1448" s="11"/>
      <c r="H1448" s="6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</row>
    <row r="1449" ht="19.5" customHeight="1">
      <c r="A1449" s="8"/>
      <c r="B1449" s="13"/>
      <c r="C1449" s="8"/>
      <c r="D1449" s="14"/>
      <c r="E1449" s="3"/>
      <c r="F1449" s="10"/>
      <c r="G1449" s="11"/>
      <c r="H1449" s="6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</row>
    <row r="1450" ht="19.5" customHeight="1">
      <c r="A1450" s="8"/>
      <c r="B1450" s="13"/>
      <c r="C1450" s="8"/>
      <c r="D1450" s="14"/>
      <c r="E1450" s="3"/>
      <c r="F1450" s="10"/>
      <c r="G1450" s="11"/>
      <c r="H1450" s="6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</row>
    <row r="1451" ht="19.5" customHeight="1">
      <c r="A1451" s="8"/>
      <c r="B1451" s="13"/>
      <c r="C1451" s="8"/>
      <c r="D1451" s="14"/>
      <c r="E1451" s="3"/>
      <c r="F1451" s="10"/>
      <c r="G1451" s="11"/>
      <c r="H1451" s="6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</row>
    <row r="1452" ht="19.5" customHeight="1">
      <c r="A1452" s="8"/>
      <c r="B1452" s="13"/>
      <c r="C1452" s="8"/>
      <c r="D1452" s="14"/>
      <c r="E1452" s="3"/>
      <c r="F1452" s="10"/>
      <c r="G1452" s="11"/>
      <c r="H1452" s="6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</row>
    <row r="1453" ht="19.5" customHeight="1">
      <c r="A1453" s="8"/>
      <c r="B1453" s="13"/>
      <c r="C1453" s="8"/>
      <c r="D1453" s="14"/>
      <c r="E1453" s="3"/>
      <c r="F1453" s="10"/>
      <c r="G1453" s="11"/>
      <c r="H1453" s="6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</row>
    <row r="1454" ht="19.5" customHeight="1">
      <c r="A1454" s="8"/>
      <c r="B1454" s="13"/>
      <c r="C1454" s="8"/>
      <c r="D1454" s="14"/>
      <c r="E1454" s="3"/>
      <c r="F1454" s="10"/>
      <c r="G1454" s="11"/>
      <c r="H1454" s="6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</row>
    <row r="1455" ht="19.5" customHeight="1">
      <c r="A1455" s="8"/>
      <c r="B1455" s="13"/>
      <c r="C1455" s="8"/>
      <c r="D1455" s="14"/>
      <c r="E1455" s="3"/>
      <c r="F1455" s="10"/>
      <c r="G1455" s="11"/>
      <c r="H1455" s="6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</row>
    <row r="1456" ht="19.5" customHeight="1">
      <c r="A1456" s="8"/>
      <c r="B1456" s="13"/>
      <c r="C1456" s="8"/>
      <c r="D1456" s="14"/>
      <c r="E1456" s="3"/>
      <c r="F1456" s="10"/>
      <c r="G1456" s="11"/>
      <c r="H1456" s="6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</row>
    <row r="1457" ht="19.5" customHeight="1">
      <c r="A1457" s="8"/>
      <c r="B1457" s="13"/>
      <c r="C1457" s="8"/>
      <c r="D1457" s="14"/>
      <c r="E1457" s="3"/>
      <c r="F1457" s="10"/>
      <c r="G1457" s="11"/>
      <c r="H1457" s="6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</row>
    <row r="1458" ht="19.5" customHeight="1">
      <c r="A1458" s="8"/>
      <c r="B1458" s="13"/>
      <c r="C1458" s="8"/>
      <c r="D1458" s="14"/>
      <c r="E1458" s="3"/>
      <c r="F1458" s="10"/>
      <c r="G1458" s="11"/>
      <c r="H1458" s="6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</row>
    <row r="1459" ht="19.5" customHeight="1">
      <c r="A1459" s="8"/>
      <c r="B1459" s="13"/>
      <c r="C1459" s="8"/>
      <c r="D1459" s="14"/>
      <c r="E1459" s="3"/>
      <c r="F1459" s="10"/>
      <c r="G1459" s="11"/>
      <c r="H1459" s="6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</row>
    <row r="1460" ht="19.5" customHeight="1">
      <c r="A1460" s="8"/>
      <c r="B1460" s="13"/>
      <c r="C1460" s="8"/>
      <c r="D1460" s="14"/>
      <c r="E1460" s="3"/>
      <c r="F1460" s="10"/>
      <c r="G1460" s="11"/>
      <c r="H1460" s="6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</row>
    <row r="1461" ht="19.5" customHeight="1">
      <c r="A1461" s="8"/>
      <c r="B1461" s="13"/>
      <c r="C1461" s="8"/>
      <c r="D1461" s="14"/>
      <c r="E1461" s="3"/>
      <c r="F1461" s="10"/>
      <c r="G1461" s="11"/>
      <c r="H1461" s="6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</row>
    <row r="1462" ht="19.5" customHeight="1">
      <c r="A1462" s="8"/>
      <c r="B1462" s="13"/>
      <c r="C1462" s="8"/>
      <c r="D1462" s="14"/>
      <c r="E1462" s="3"/>
      <c r="F1462" s="10"/>
      <c r="G1462" s="11"/>
      <c r="H1462" s="6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</row>
    <row r="1463" ht="19.5" customHeight="1">
      <c r="A1463" s="8"/>
      <c r="B1463" s="13"/>
      <c r="C1463" s="8"/>
      <c r="D1463" s="14"/>
      <c r="E1463" s="3"/>
      <c r="F1463" s="10"/>
      <c r="G1463" s="11"/>
      <c r="H1463" s="6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</row>
    <row r="1464" ht="19.5" customHeight="1">
      <c r="A1464" s="8"/>
      <c r="B1464" s="13"/>
      <c r="C1464" s="8"/>
      <c r="D1464" s="14"/>
      <c r="E1464" s="3"/>
      <c r="F1464" s="10"/>
      <c r="G1464" s="11"/>
      <c r="H1464" s="6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</row>
    <row r="1465" ht="19.5" customHeight="1">
      <c r="A1465" s="8"/>
      <c r="B1465" s="13"/>
      <c r="C1465" s="8"/>
      <c r="D1465" s="14"/>
      <c r="E1465" s="3"/>
      <c r="F1465" s="10"/>
      <c r="G1465" s="11"/>
      <c r="H1465" s="6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</row>
    <row r="1466" ht="19.5" customHeight="1">
      <c r="A1466" s="8"/>
      <c r="B1466" s="13"/>
      <c r="C1466" s="8"/>
      <c r="D1466" s="14"/>
      <c r="E1466" s="3"/>
      <c r="F1466" s="10"/>
      <c r="G1466" s="11"/>
      <c r="H1466" s="6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</row>
    <row r="1467" ht="19.5" customHeight="1">
      <c r="A1467" s="8"/>
      <c r="B1467" s="13"/>
      <c r="C1467" s="8"/>
      <c r="D1467" s="14"/>
      <c r="E1467" s="3"/>
      <c r="F1467" s="10"/>
      <c r="G1467" s="11"/>
      <c r="H1467" s="6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</row>
    <row r="1468" ht="19.5" customHeight="1">
      <c r="A1468" s="8"/>
      <c r="B1468" s="13"/>
      <c r="C1468" s="8"/>
      <c r="D1468" s="14"/>
      <c r="E1468" s="3"/>
      <c r="F1468" s="10"/>
      <c r="G1468" s="11"/>
      <c r="H1468" s="6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</row>
    <row r="1469" ht="19.5" customHeight="1">
      <c r="A1469" s="8"/>
      <c r="B1469" s="13"/>
      <c r="C1469" s="8"/>
      <c r="D1469" s="14"/>
      <c r="E1469" s="3"/>
      <c r="F1469" s="10"/>
      <c r="G1469" s="11"/>
      <c r="H1469" s="6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</row>
    <row r="1470" ht="19.5" customHeight="1">
      <c r="A1470" s="8"/>
      <c r="B1470" s="13"/>
      <c r="C1470" s="8"/>
      <c r="D1470" s="14"/>
      <c r="E1470" s="3"/>
      <c r="F1470" s="10"/>
      <c r="G1470" s="11"/>
      <c r="H1470" s="6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</row>
    <row r="1471" ht="19.5" customHeight="1">
      <c r="A1471" s="8"/>
      <c r="B1471" s="13"/>
      <c r="C1471" s="8"/>
      <c r="D1471" s="14"/>
      <c r="E1471" s="3"/>
      <c r="F1471" s="10"/>
      <c r="G1471" s="11"/>
      <c r="H1471" s="6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</row>
    <row r="1472" ht="19.5" customHeight="1">
      <c r="A1472" s="8"/>
      <c r="B1472" s="13"/>
      <c r="C1472" s="8"/>
      <c r="D1472" s="14"/>
      <c r="E1472" s="3"/>
      <c r="F1472" s="10"/>
      <c r="G1472" s="11"/>
      <c r="H1472" s="6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</row>
    <row r="1473" ht="19.5" customHeight="1">
      <c r="A1473" s="8"/>
      <c r="B1473" s="13"/>
      <c r="C1473" s="8"/>
      <c r="D1473" s="14"/>
      <c r="E1473" s="3"/>
      <c r="F1473" s="10"/>
      <c r="G1473" s="11"/>
      <c r="H1473" s="6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</row>
    <row r="1474" ht="19.5" customHeight="1">
      <c r="A1474" s="8"/>
      <c r="B1474" s="13"/>
      <c r="C1474" s="8"/>
      <c r="D1474" s="14"/>
      <c r="E1474" s="3"/>
      <c r="F1474" s="10"/>
      <c r="G1474" s="11"/>
      <c r="H1474" s="6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</row>
    <row r="1475" ht="19.5" customHeight="1">
      <c r="A1475" s="8"/>
      <c r="B1475" s="13"/>
      <c r="C1475" s="8"/>
      <c r="D1475" s="14"/>
      <c r="E1475" s="3"/>
      <c r="F1475" s="10"/>
      <c r="G1475" s="11"/>
      <c r="H1475" s="6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</row>
    <row r="1476" ht="19.5" customHeight="1">
      <c r="A1476" s="8"/>
      <c r="B1476" s="13"/>
      <c r="C1476" s="8"/>
      <c r="D1476" s="14"/>
      <c r="E1476" s="3"/>
      <c r="F1476" s="10"/>
      <c r="G1476" s="11"/>
      <c r="H1476" s="6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</row>
    <row r="1477" ht="19.5" customHeight="1">
      <c r="A1477" s="8"/>
      <c r="B1477" s="13"/>
      <c r="C1477" s="8"/>
      <c r="D1477" s="14"/>
      <c r="E1477" s="3"/>
      <c r="F1477" s="10"/>
      <c r="G1477" s="11"/>
      <c r="H1477" s="6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</row>
    <row r="1478" ht="19.5" customHeight="1">
      <c r="A1478" s="8"/>
      <c r="B1478" s="13"/>
      <c r="C1478" s="8"/>
      <c r="D1478" s="14"/>
      <c r="E1478" s="3"/>
      <c r="F1478" s="10"/>
      <c r="G1478" s="11"/>
      <c r="H1478" s="6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</row>
    <row r="1479" ht="19.5" customHeight="1">
      <c r="A1479" s="8"/>
      <c r="B1479" s="13"/>
      <c r="C1479" s="8"/>
      <c r="D1479" s="14"/>
      <c r="E1479" s="3"/>
      <c r="F1479" s="10"/>
      <c r="G1479" s="11"/>
      <c r="H1479" s="6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</row>
    <row r="1480" ht="19.5" customHeight="1">
      <c r="A1480" s="8"/>
      <c r="B1480" s="13"/>
      <c r="C1480" s="8"/>
      <c r="D1480" s="14"/>
      <c r="E1480" s="3"/>
      <c r="F1480" s="10"/>
      <c r="G1480" s="11"/>
      <c r="H1480" s="6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</row>
    <row r="1481" ht="19.5" customHeight="1">
      <c r="A1481" s="8"/>
      <c r="B1481" s="13"/>
      <c r="C1481" s="8"/>
      <c r="D1481" s="14"/>
      <c r="E1481" s="3"/>
      <c r="F1481" s="10"/>
      <c r="G1481" s="11"/>
      <c r="H1481" s="6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</row>
    <row r="1482" ht="19.5" customHeight="1">
      <c r="A1482" s="8"/>
      <c r="B1482" s="13"/>
      <c r="C1482" s="8"/>
      <c r="D1482" s="14"/>
      <c r="E1482" s="3"/>
      <c r="F1482" s="10"/>
      <c r="G1482" s="11"/>
      <c r="H1482" s="6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</row>
    <row r="1483" ht="19.5" customHeight="1">
      <c r="A1483" s="8"/>
      <c r="B1483" s="13"/>
      <c r="C1483" s="8"/>
      <c r="D1483" s="14"/>
      <c r="E1483" s="3"/>
      <c r="F1483" s="10"/>
      <c r="G1483" s="11"/>
      <c r="H1483" s="6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</row>
    <row r="1484" ht="19.5" customHeight="1">
      <c r="A1484" s="8"/>
      <c r="B1484" s="13"/>
      <c r="C1484" s="8"/>
      <c r="D1484" s="14"/>
      <c r="E1484" s="3"/>
      <c r="F1484" s="10"/>
      <c r="G1484" s="11"/>
      <c r="H1484" s="6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</row>
    <row r="1485" ht="19.5" customHeight="1">
      <c r="A1485" s="8"/>
      <c r="B1485" s="13"/>
      <c r="C1485" s="8"/>
      <c r="D1485" s="14"/>
      <c r="E1485" s="3"/>
      <c r="F1485" s="10"/>
      <c r="G1485" s="11"/>
      <c r="H1485" s="6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</row>
    <row r="1486" ht="19.5" customHeight="1">
      <c r="A1486" s="8"/>
      <c r="B1486" s="13"/>
      <c r="C1486" s="8"/>
      <c r="D1486" s="14"/>
      <c r="E1486" s="3"/>
      <c r="F1486" s="10"/>
      <c r="G1486" s="11"/>
      <c r="H1486" s="6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</row>
    <row r="1487" ht="19.5" customHeight="1">
      <c r="A1487" s="8"/>
      <c r="B1487" s="13"/>
      <c r="C1487" s="8"/>
      <c r="D1487" s="14"/>
      <c r="E1487" s="3"/>
      <c r="F1487" s="10"/>
      <c r="G1487" s="11"/>
      <c r="H1487" s="6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</row>
    <row r="1488" ht="19.5" customHeight="1">
      <c r="A1488" s="8"/>
      <c r="B1488" s="13"/>
      <c r="C1488" s="8"/>
      <c r="D1488" s="14"/>
      <c r="E1488" s="3"/>
      <c r="F1488" s="10"/>
      <c r="G1488" s="11"/>
      <c r="H1488" s="6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</row>
    <row r="1489" ht="19.5" customHeight="1">
      <c r="A1489" s="8"/>
      <c r="B1489" s="13"/>
      <c r="C1489" s="8"/>
      <c r="D1489" s="14"/>
      <c r="E1489" s="3"/>
      <c r="F1489" s="10"/>
      <c r="G1489" s="11"/>
      <c r="H1489" s="6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</row>
    <row r="1490" ht="19.5" customHeight="1">
      <c r="A1490" s="8"/>
      <c r="B1490" s="13"/>
      <c r="C1490" s="8"/>
      <c r="D1490" s="14"/>
      <c r="E1490" s="3"/>
      <c r="F1490" s="10"/>
      <c r="G1490" s="11"/>
      <c r="H1490" s="6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</row>
    <row r="1491" ht="19.5" customHeight="1">
      <c r="A1491" s="8"/>
      <c r="B1491" s="13"/>
      <c r="C1491" s="8"/>
      <c r="D1491" s="14"/>
      <c r="E1491" s="3"/>
      <c r="F1491" s="10"/>
      <c r="G1491" s="11"/>
      <c r="H1491" s="6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</row>
    <row r="1492" ht="19.5" customHeight="1">
      <c r="A1492" s="8"/>
      <c r="B1492" s="13"/>
      <c r="C1492" s="8"/>
      <c r="D1492" s="14"/>
      <c r="E1492" s="3"/>
      <c r="F1492" s="10"/>
      <c r="G1492" s="11"/>
      <c r="H1492" s="6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</row>
    <row r="1493" ht="19.5" customHeight="1">
      <c r="A1493" s="8"/>
      <c r="B1493" s="13"/>
      <c r="C1493" s="8"/>
      <c r="D1493" s="14"/>
      <c r="E1493" s="3"/>
      <c r="F1493" s="10"/>
      <c r="G1493" s="11"/>
      <c r="H1493" s="6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</row>
    <row r="1494" ht="19.5" customHeight="1">
      <c r="A1494" s="8"/>
      <c r="B1494" s="13"/>
      <c r="C1494" s="8"/>
      <c r="D1494" s="14"/>
      <c r="E1494" s="3"/>
      <c r="F1494" s="10"/>
      <c r="G1494" s="11"/>
      <c r="H1494" s="6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</row>
    <row r="1495" ht="19.5" customHeight="1">
      <c r="A1495" s="8"/>
      <c r="B1495" s="13"/>
      <c r="C1495" s="8"/>
      <c r="D1495" s="14"/>
      <c r="E1495" s="3"/>
      <c r="F1495" s="10"/>
      <c r="G1495" s="11"/>
      <c r="H1495" s="6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</row>
    <row r="1496" ht="19.5" customHeight="1">
      <c r="A1496" s="8"/>
      <c r="B1496" s="13"/>
      <c r="C1496" s="8"/>
      <c r="D1496" s="14"/>
      <c r="E1496" s="3"/>
      <c r="F1496" s="10"/>
      <c r="G1496" s="11"/>
      <c r="H1496" s="6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</row>
    <row r="1497" ht="19.5" customHeight="1">
      <c r="A1497" s="8"/>
      <c r="B1497" s="13"/>
      <c r="C1497" s="8"/>
      <c r="D1497" s="14"/>
      <c r="E1497" s="3"/>
      <c r="F1497" s="10"/>
      <c r="G1497" s="11"/>
      <c r="H1497" s="6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</row>
    <row r="1498" ht="19.5" customHeight="1">
      <c r="A1498" s="8"/>
      <c r="B1498" s="13"/>
      <c r="C1498" s="8"/>
      <c r="D1498" s="14"/>
      <c r="E1498" s="3"/>
      <c r="F1498" s="10"/>
      <c r="G1498" s="11"/>
      <c r="H1498" s="6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</row>
    <row r="1499" ht="19.5" customHeight="1">
      <c r="A1499" s="8"/>
      <c r="B1499" s="13"/>
      <c r="C1499" s="8"/>
      <c r="D1499" s="14"/>
      <c r="E1499" s="3"/>
      <c r="F1499" s="10"/>
      <c r="G1499" s="11"/>
      <c r="H1499" s="6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</row>
    <row r="1500" ht="19.5" customHeight="1">
      <c r="A1500" s="8"/>
      <c r="B1500" s="13"/>
      <c r="C1500" s="8"/>
      <c r="D1500" s="14"/>
      <c r="E1500" s="3"/>
      <c r="F1500" s="10"/>
      <c r="G1500" s="11"/>
      <c r="H1500" s="6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</row>
    <row r="1501" ht="19.5" customHeight="1">
      <c r="A1501" s="8"/>
      <c r="B1501" s="13"/>
      <c r="C1501" s="8"/>
      <c r="D1501" s="14"/>
      <c r="E1501" s="3"/>
      <c r="F1501" s="10"/>
      <c r="G1501" s="11"/>
      <c r="H1501" s="6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</row>
    <row r="1502" ht="19.5" customHeight="1">
      <c r="A1502" s="8"/>
      <c r="B1502" s="13"/>
      <c r="C1502" s="8"/>
      <c r="D1502" s="14"/>
      <c r="E1502" s="3"/>
      <c r="F1502" s="10"/>
      <c r="G1502" s="11"/>
      <c r="H1502" s="6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</row>
    <row r="1503" ht="19.5" customHeight="1">
      <c r="A1503" s="8"/>
      <c r="B1503" s="13"/>
      <c r="C1503" s="8"/>
      <c r="D1503" s="14"/>
      <c r="E1503" s="3"/>
      <c r="F1503" s="10"/>
      <c r="G1503" s="11"/>
      <c r="H1503" s="6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</row>
    <row r="1504" ht="19.5" customHeight="1">
      <c r="A1504" s="8"/>
      <c r="B1504" s="13"/>
      <c r="C1504" s="8"/>
      <c r="D1504" s="14"/>
      <c r="E1504" s="3"/>
      <c r="F1504" s="10"/>
      <c r="G1504" s="11"/>
      <c r="H1504" s="6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</row>
    <row r="1505" ht="19.5" customHeight="1">
      <c r="A1505" s="8"/>
      <c r="B1505" s="13"/>
      <c r="C1505" s="8"/>
      <c r="D1505" s="14"/>
      <c r="E1505" s="3"/>
      <c r="F1505" s="10"/>
      <c r="G1505" s="11"/>
      <c r="H1505" s="6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</row>
    <row r="1506" ht="19.5" customHeight="1">
      <c r="A1506" s="8"/>
      <c r="B1506" s="13"/>
      <c r="C1506" s="8"/>
      <c r="D1506" s="14"/>
      <c r="E1506" s="3"/>
      <c r="F1506" s="10"/>
      <c r="G1506" s="11"/>
      <c r="H1506" s="6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</row>
    <row r="1507" ht="19.5" customHeight="1">
      <c r="A1507" s="8"/>
      <c r="B1507" s="13"/>
      <c r="C1507" s="8"/>
      <c r="D1507" s="14"/>
      <c r="E1507" s="3"/>
      <c r="F1507" s="10"/>
      <c r="G1507" s="11"/>
      <c r="H1507" s="6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</row>
    <row r="1508" ht="19.5" customHeight="1">
      <c r="A1508" s="8"/>
      <c r="B1508" s="13"/>
      <c r="C1508" s="8"/>
      <c r="D1508" s="14"/>
      <c r="E1508" s="3"/>
      <c r="F1508" s="10"/>
      <c r="G1508" s="11"/>
      <c r="H1508" s="6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</row>
    <row r="1509" ht="19.5" customHeight="1">
      <c r="A1509" s="8"/>
      <c r="B1509" s="13"/>
      <c r="C1509" s="8"/>
      <c r="D1509" s="14"/>
      <c r="E1509" s="3"/>
      <c r="F1509" s="10"/>
      <c r="G1509" s="11"/>
      <c r="H1509" s="6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</row>
    <row r="1510" ht="19.5" customHeight="1">
      <c r="A1510" s="8"/>
      <c r="B1510" s="13"/>
      <c r="C1510" s="8"/>
      <c r="D1510" s="14"/>
      <c r="E1510" s="3"/>
      <c r="F1510" s="10"/>
      <c r="G1510" s="11"/>
      <c r="H1510" s="6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</row>
    <row r="1511" ht="19.5" customHeight="1">
      <c r="A1511" s="8"/>
      <c r="B1511" s="13"/>
      <c r="C1511" s="8"/>
      <c r="D1511" s="14"/>
      <c r="E1511" s="3"/>
      <c r="F1511" s="10"/>
      <c r="G1511" s="11"/>
      <c r="H1511" s="6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</row>
    <row r="1512" ht="19.5" customHeight="1">
      <c r="A1512" s="8"/>
      <c r="B1512" s="13"/>
      <c r="C1512" s="8"/>
      <c r="D1512" s="14"/>
      <c r="E1512" s="3"/>
      <c r="F1512" s="10"/>
      <c r="G1512" s="11"/>
      <c r="H1512" s="6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</row>
    <row r="1513" ht="19.5" customHeight="1">
      <c r="A1513" s="8"/>
      <c r="B1513" s="13"/>
      <c r="C1513" s="8"/>
      <c r="D1513" s="14"/>
      <c r="E1513" s="3"/>
      <c r="F1513" s="10"/>
      <c r="G1513" s="11"/>
      <c r="H1513" s="6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</row>
    <row r="1514" ht="19.5" customHeight="1">
      <c r="A1514" s="8"/>
      <c r="B1514" s="13"/>
      <c r="C1514" s="8"/>
      <c r="D1514" s="14"/>
      <c r="E1514" s="3"/>
      <c r="F1514" s="10"/>
      <c r="G1514" s="11"/>
      <c r="H1514" s="6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</row>
    <row r="1515" ht="19.5" customHeight="1">
      <c r="A1515" s="8"/>
      <c r="B1515" s="13"/>
      <c r="C1515" s="8"/>
      <c r="D1515" s="14"/>
      <c r="E1515" s="3"/>
      <c r="F1515" s="10"/>
      <c r="G1515" s="11"/>
      <c r="H1515" s="6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</row>
    <row r="1516" ht="19.5" customHeight="1">
      <c r="A1516" s="8"/>
      <c r="B1516" s="13"/>
      <c r="C1516" s="8"/>
      <c r="D1516" s="14"/>
      <c r="E1516" s="3"/>
      <c r="F1516" s="10"/>
      <c r="G1516" s="11"/>
      <c r="H1516" s="6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</row>
    <row r="1517" ht="19.5" customHeight="1">
      <c r="A1517" s="8"/>
      <c r="B1517" s="13"/>
      <c r="C1517" s="8"/>
      <c r="D1517" s="14"/>
      <c r="E1517" s="3"/>
      <c r="F1517" s="10"/>
      <c r="G1517" s="11"/>
      <c r="H1517" s="6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</row>
    <row r="1518" ht="19.5" customHeight="1">
      <c r="A1518" s="8"/>
      <c r="B1518" s="13"/>
      <c r="C1518" s="8"/>
      <c r="D1518" s="14"/>
      <c r="E1518" s="3"/>
      <c r="F1518" s="10"/>
      <c r="G1518" s="11"/>
      <c r="H1518" s="6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</row>
    <row r="1519" ht="19.5" customHeight="1">
      <c r="A1519" s="8"/>
      <c r="B1519" s="13"/>
      <c r="C1519" s="8"/>
      <c r="D1519" s="14"/>
      <c r="E1519" s="3"/>
      <c r="F1519" s="10"/>
      <c r="G1519" s="11"/>
      <c r="H1519" s="6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</row>
    <row r="1520" ht="19.5" customHeight="1">
      <c r="A1520" s="8"/>
      <c r="B1520" s="13"/>
      <c r="C1520" s="8"/>
      <c r="D1520" s="14"/>
      <c r="E1520" s="3"/>
      <c r="F1520" s="10"/>
      <c r="G1520" s="11"/>
      <c r="H1520" s="6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</row>
    <row r="1521" ht="19.5" customHeight="1">
      <c r="A1521" s="8"/>
      <c r="B1521" s="13"/>
      <c r="C1521" s="8"/>
      <c r="D1521" s="14"/>
      <c r="E1521" s="3"/>
      <c r="F1521" s="10"/>
      <c r="G1521" s="11"/>
      <c r="H1521" s="6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</row>
    <row r="1522" ht="19.5" customHeight="1">
      <c r="A1522" s="8"/>
      <c r="B1522" s="13"/>
      <c r="C1522" s="8"/>
      <c r="D1522" s="14"/>
      <c r="E1522" s="3"/>
      <c r="F1522" s="10"/>
      <c r="G1522" s="11"/>
      <c r="H1522" s="6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</row>
    <row r="1523" ht="19.5" customHeight="1">
      <c r="A1523" s="8"/>
      <c r="B1523" s="13"/>
      <c r="C1523" s="8"/>
      <c r="D1523" s="14"/>
      <c r="E1523" s="3"/>
      <c r="F1523" s="10"/>
      <c r="G1523" s="11"/>
      <c r="H1523" s="6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</row>
    <row r="1524" ht="19.5" customHeight="1">
      <c r="A1524" s="8"/>
      <c r="B1524" s="13"/>
      <c r="C1524" s="8"/>
      <c r="D1524" s="14"/>
      <c r="E1524" s="3"/>
      <c r="F1524" s="10"/>
      <c r="G1524" s="11"/>
      <c r="H1524" s="6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</row>
    <row r="1525" ht="19.5" customHeight="1">
      <c r="A1525" s="8"/>
      <c r="B1525" s="13"/>
      <c r="C1525" s="8"/>
      <c r="D1525" s="14"/>
      <c r="E1525" s="3"/>
      <c r="F1525" s="10"/>
      <c r="G1525" s="11"/>
      <c r="H1525" s="6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</row>
    <row r="1526" ht="19.5" customHeight="1">
      <c r="A1526" s="8"/>
      <c r="B1526" s="13"/>
      <c r="C1526" s="8"/>
      <c r="D1526" s="14"/>
      <c r="E1526" s="3"/>
      <c r="F1526" s="10"/>
      <c r="G1526" s="11"/>
      <c r="H1526" s="6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</row>
    <row r="1527" ht="19.5" customHeight="1">
      <c r="A1527" s="8"/>
      <c r="B1527" s="13"/>
      <c r="C1527" s="8"/>
      <c r="D1527" s="14"/>
      <c r="E1527" s="3"/>
      <c r="F1527" s="10"/>
      <c r="G1527" s="11"/>
      <c r="H1527" s="6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</row>
    <row r="1528" ht="19.5" customHeight="1">
      <c r="A1528" s="8"/>
      <c r="B1528" s="13"/>
      <c r="C1528" s="8"/>
      <c r="D1528" s="14"/>
      <c r="E1528" s="3"/>
      <c r="F1528" s="10"/>
      <c r="G1528" s="11"/>
      <c r="H1528" s="6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</row>
    <row r="1529" ht="19.5" customHeight="1">
      <c r="A1529" s="8"/>
      <c r="B1529" s="13"/>
      <c r="C1529" s="8"/>
      <c r="D1529" s="14"/>
      <c r="E1529" s="3"/>
      <c r="F1529" s="10"/>
      <c r="G1529" s="11"/>
      <c r="H1529" s="6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</row>
    <row r="1530" ht="19.5" customHeight="1">
      <c r="A1530" s="8"/>
      <c r="B1530" s="13"/>
      <c r="C1530" s="8"/>
      <c r="D1530" s="14"/>
      <c r="E1530" s="3"/>
      <c r="F1530" s="10"/>
      <c r="G1530" s="11"/>
      <c r="H1530" s="6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</row>
    <row r="1531" ht="19.5" customHeight="1">
      <c r="A1531" s="8"/>
      <c r="B1531" s="13"/>
      <c r="C1531" s="8"/>
      <c r="D1531" s="14"/>
      <c r="E1531" s="3"/>
      <c r="F1531" s="10"/>
      <c r="G1531" s="11"/>
      <c r="H1531" s="6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</row>
    <row r="1532" ht="19.5" customHeight="1">
      <c r="A1532" s="8"/>
      <c r="B1532" s="13"/>
      <c r="C1532" s="8"/>
      <c r="D1532" s="14"/>
      <c r="E1532" s="3"/>
      <c r="F1532" s="10"/>
      <c r="G1532" s="11"/>
      <c r="H1532" s="6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</row>
    <row r="1533" ht="19.5" customHeight="1">
      <c r="A1533" s="8"/>
      <c r="B1533" s="13"/>
      <c r="C1533" s="8"/>
      <c r="D1533" s="14"/>
      <c r="E1533" s="3"/>
      <c r="F1533" s="10"/>
      <c r="G1533" s="11"/>
      <c r="H1533" s="6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</row>
    <row r="1534" ht="19.5" customHeight="1">
      <c r="A1534" s="8"/>
      <c r="B1534" s="13"/>
      <c r="C1534" s="8"/>
      <c r="D1534" s="14"/>
      <c r="E1534" s="3"/>
      <c r="F1534" s="10"/>
      <c r="G1534" s="11"/>
      <c r="H1534" s="6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</row>
    <row r="1535" ht="19.5" customHeight="1">
      <c r="A1535" s="8"/>
      <c r="B1535" s="13"/>
      <c r="C1535" s="8"/>
      <c r="D1535" s="14"/>
      <c r="E1535" s="3"/>
      <c r="F1535" s="10"/>
      <c r="G1535" s="11"/>
      <c r="H1535" s="6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</row>
    <row r="1536" ht="19.5" customHeight="1">
      <c r="A1536" s="8"/>
      <c r="B1536" s="13"/>
      <c r="C1536" s="8"/>
      <c r="D1536" s="14"/>
      <c r="E1536" s="3"/>
      <c r="F1536" s="10"/>
      <c r="G1536" s="11"/>
      <c r="H1536" s="6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</row>
    <row r="1537" ht="19.5" customHeight="1">
      <c r="A1537" s="8"/>
      <c r="B1537" s="13"/>
      <c r="C1537" s="8"/>
      <c r="D1537" s="14"/>
      <c r="E1537" s="3"/>
      <c r="F1537" s="10"/>
      <c r="G1537" s="11"/>
      <c r="H1537" s="6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</row>
    <row r="1538" ht="19.5" customHeight="1">
      <c r="A1538" s="8"/>
      <c r="B1538" s="13"/>
      <c r="C1538" s="8"/>
      <c r="D1538" s="14"/>
      <c r="E1538" s="3"/>
      <c r="F1538" s="10"/>
      <c r="G1538" s="11"/>
      <c r="H1538" s="6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</row>
    <row r="1539" ht="19.5" customHeight="1">
      <c r="A1539" s="8"/>
      <c r="B1539" s="13"/>
      <c r="C1539" s="8"/>
      <c r="D1539" s="14"/>
      <c r="E1539" s="3"/>
      <c r="F1539" s="10"/>
      <c r="G1539" s="11"/>
      <c r="H1539" s="6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</row>
    <row r="1540" ht="19.5" customHeight="1">
      <c r="A1540" s="8"/>
      <c r="B1540" s="13"/>
      <c r="C1540" s="8"/>
      <c r="D1540" s="14"/>
      <c r="E1540" s="3"/>
      <c r="F1540" s="10"/>
      <c r="G1540" s="11"/>
      <c r="H1540" s="6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</row>
    <row r="1541" ht="19.5" customHeight="1">
      <c r="A1541" s="8"/>
      <c r="B1541" s="13"/>
      <c r="C1541" s="8"/>
      <c r="D1541" s="14"/>
      <c r="E1541" s="3"/>
      <c r="F1541" s="10"/>
      <c r="G1541" s="11"/>
      <c r="H1541" s="6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</row>
    <row r="1542" ht="19.5" customHeight="1">
      <c r="A1542" s="8"/>
      <c r="B1542" s="13"/>
      <c r="C1542" s="8"/>
      <c r="D1542" s="14"/>
      <c r="E1542" s="3"/>
      <c r="F1542" s="10"/>
      <c r="G1542" s="11"/>
      <c r="H1542" s="6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</row>
    <row r="1543" ht="19.5" customHeight="1">
      <c r="A1543" s="8"/>
      <c r="B1543" s="13"/>
      <c r="C1543" s="8"/>
      <c r="D1543" s="14"/>
      <c r="E1543" s="3"/>
      <c r="F1543" s="10"/>
      <c r="G1543" s="11"/>
      <c r="H1543" s="6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</row>
    <row r="1544" ht="19.5" customHeight="1">
      <c r="A1544" s="8"/>
      <c r="B1544" s="13"/>
      <c r="C1544" s="8"/>
      <c r="D1544" s="14"/>
      <c r="E1544" s="3"/>
      <c r="F1544" s="10"/>
      <c r="G1544" s="11"/>
      <c r="H1544" s="6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</row>
    <row r="1545" ht="19.5" customHeight="1">
      <c r="A1545" s="8"/>
      <c r="B1545" s="13"/>
      <c r="C1545" s="8"/>
      <c r="D1545" s="14"/>
      <c r="E1545" s="3"/>
      <c r="F1545" s="10"/>
      <c r="G1545" s="11"/>
      <c r="H1545" s="6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</row>
    <row r="1546" ht="19.5" customHeight="1">
      <c r="A1546" s="8"/>
      <c r="B1546" s="13"/>
      <c r="C1546" s="8"/>
      <c r="D1546" s="14"/>
      <c r="E1546" s="3"/>
      <c r="F1546" s="10"/>
      <c r="G1546" s="11"/>
      <c r="H1546" s="6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</row>
    <row r="1547" ht="19.5" customHeight="1">
      <c r="A1547" s="8"/>
      <c r="B1547" s="13"/>
      <c r="C1547" s="8"/>
      <c r="D1547" s="14"/>
      <c r="E1547" s="3"/>
      <c r="F1547" s="10"/>
      <c r="G1547" s="11"/>
      <c r="H1547" s="6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</row>
    <row r="1548" ht="19.5" customHeight="1">
      <c r="A1548" s="8"/>
      <c r="B1548" s="13"/>
      <c r="C1548" s="8"/>
      <c r="D1548" s="14"/>
      <c r="E1548" s="3"/>
      <c r="F1548" s="10"/>
      <c r="G1548" s="11"/>
      <c r="H1548" s="6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</row>
    <row r="1549" ht="19.5" customHeight="1">
      <c r="A1549" s="8"/>
      <c r="B1549" s="13"/>
      <c r="C1549" s="8"/>
      <c r="D1549" s="14"/>
      <c r="E1549" s="3"/>
      <c r="F1549" s="10"/>
      <c r="G1549" s="11"/>
      <c r="H1549" s="6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</row>
    <row r="1550" ht="19.5" customHeight="1">
      <c r="A1550" s="8"/>
      <c r="B1550" s="13"/>
      <c r="C1550" s="8"/>
      <c r="D1550" s="14"/>
      <c r="E1550" s="3"/>
      <c r="F1550" s="10"/>
      <c r="G1550" s="11"/>
      <c r="H1550" s="6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</row>
    <row r="1551" ht="19.5" customHeight="1">
      <c r="A1551" s="8"/>
      <c r="B1551" s="13"/>
      <c r="C1551" s="8"/>
      <c r="D1551" s="14"/>
      <c r="E1551" s="3"/>
      <c r="F1551" s="10"/>
      <c r="G1551" s="11"/>
      <c r="H1551" s="6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</row>
    <row r="1552" ht="19.5" customHeight="1">
      <c r="A1552" s="8"/>
      <c r="B1552" s="13"/>
      <c r="C1552" s="8"/>
      <c r="D1552" s="14"/>
      <c r="E1552" s="3"/>
      <c r="F1552" s="10"/>
      <c r="G1552" s="11"/>
      <c r="H1552" s="6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</row>
    <row r="1553" ht="19.5" customHeight="1">
      <c r="A1553" s="8"/>
      <c r="B1553" s="13"/>
      <c r="C1553" s="8"/>
      <c r="D1553" s="14"/>
      <c r="E1553" s="3"/>
      <c r="F1553" s="10"/>
      <c r="G1553" s="11"/>
      <c r="H1553" s="6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</row>
    <row r="1554" ht="19.5" customHeight="1">
      <c r="A1554" s="8"/>
      <c r="B1554" s="13"/>
      <c r="C1554" s="8"/>
      <c r="D1554" s="14"/>
      <c r="E1554" s="3"/>
      <c r="F1554" s="10"/>
      <c r="G1554" s="11"/>
      <c r="H1554" s="6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</row>
    <row r="1555" ht="19.5" customHeight="1">
      <c r="A1555" s="8"/>
      <c r="B1555" s="13"/>
      <c r="C1555" s="8"/>
      <c r="D1555" s="14"/>
      <c r="E1555" s="3"/>
      <c r="F1555" s="10"/>
      <c r="G1555" s="11"/>
      <c r="H1555" s="6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</row>
    <row r="1556" ht="19.5" customHeight="1">
      <c r="A1556" s="8"/>
      <c r="B1556" s="13"/>
      <c r="C1556" s="8"/>
      <c r="D1556" s="14"/>
      <c r="E1556" s="3"/>
      <c r="F1556" s="10"/>
      <c r="G1556" s="11"/>
      <c r="H1556" s="6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</row>
    <row r="1557" ht="19.5" customHeight="1">
      <c r="A1557" s="8"/>
      <c r="B1557" s="13"/>
      <c r="C1557" s="8"/>
      <c r="D1557" s="14"/>
      <c r="E1557" s="3"/>
      <c r="F1557" s="10"/>
      <c r="G1557" s="11"/>
      <c r="H1557" s="6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</row>
    <row r="1558" ht="19.5" customHeight="1">
      <c r="A1558" s="8"/>
      <c r="B1558" s="13"/>
      <c r="C1558" s="8"/>
      <c r="D1558" s="14"/>
      <c r="E1558" s="3"/>
      <c r="F1558" s="10"/>
      <c r="G1558" s="11"/>
      <c r="H1558" s="6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</row>
    <row r="1559" ht="19.5" customHeight="1">
      <c r="A1559" s="8"/>
      <c r="B1559" s="13"/>
      <c r="C1559" s="8"/>
      <c r="D1559" s="14"/>
      <c r="E1559" s="3"/>
      <c r="F1559" s="10"/>
      <c r="G1559" s="11"/>
      <c r="H1559" s="6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</row>
    <row r="1560" ht="19.5" customHeight="1">
      <c r="A1560" s="8"/>
      <c r="B1560" s="13"/>
      <c r="C1560" s="8"/>
      <c r="D1560" s="14"/>
      <c r="E1560" s="3"/>
      <c r="F1560" s="10"/>
      <c r="G1560" s="11"/>
      <c r="H1560" s="6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</row>
    <row r="1561" ht="19.5" customHeight="1">
      <c r="A1561" s="8"/>
      <c r="B1561" s="13"/>
      <c r="C1561" s="8"/>
      <c r="D1561" s="14"/>
      <c r="E1561" s="3"/>
      <c r="F1561" s="10"/>
      <c r="G1561" s="11"/>
      <c r="H1561" s="6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</row>
    <row r="1562" ht="19.5" customHeight="1">
      <c r="A1562" s="8"/>
      <c r="B1562" s="13"/>
      <c r="C1562" s="8"/>
      <c r="D1562" s="14"/>
      <c r="E1562" s="3"/>
      <c r="F1562" s="10"/>
      <c r="G1562" s="11"/>
      <c r="H1562" s="6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</row>
    <row r="1563" ht="19.5" customHeight="1">
      <c r="A1563" s="8"/>
      <c r="B1563" s="13"/>
      <c r="C1563" s="8"/>
      <c r="D1563" s="14"/>
      <c r="E1563" s="3"/>
      <c r="F1563" s="10"/>
      <c r="G1563" s="11"/>
      <c r="H1563" s="6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</row>
    <row r="1564" ht="19.5" customHeight="1">
      <c r="A1564" s="8"/>
      <c r="B1564" s="13"/>
      <c r="C1564" s="8"/>
      <c r="D1564" s="14"/>
      <c r="E1564" s="3"/>
      <c r="F1564" s="10"/>
      <c r="G1564" s="11"/>
      <c r="H1564" s="6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</row>
    <row r="1565" ht="19.5" customHeight="1">
      <c r="A1565" s="8"/>
      <c r="B1565" s="13"/>
      <c r="C1565" s="8"/>
      <c r="D1565" s="14"/>
      <c r="E1565" s="3"/>
      <c r="F1565" s="10"/>
      <c r="G1565" s="11"/>
      <c r="H1565" s="6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</row>
    <row r="1566" ht="19.5" customHeight="1">
      <c r="A1566" s="8"/>
      <c r="B1566" s="13"/>
      <c r="C1566" s="8"/>
      <c r="D1566" s="14"/>
      <c r="E1566" s="3"/>
      <c r="F1566" s="10"/>
      <c r="G1566" s="11"/>
      <c r="H1566" s="6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</row>
    <row r="1567" ht="19.5" customHeight="1">
      <c r="A1567" s="8"/>
      <c r="B1567" s="13"/>
      <c r="C1567" s="8"/>
      <c r="D1567" s="14"/>
      <c r="E1567" s="3"/>
      <c r="F1567" s="10"/>
      <c r="G1567" s="11"/>
      <c r="H1567" s="6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</row>
    <row r="1568" ht="19.5" customHeight="1">
      <c r="A1568" s="8"/>
      <c r="B1568" s="13"/>
      <c r="C1568" s="8"/>
      <c r="D1568" s="14"/>
      <c r="E1568" s="3"/>
      <c r="F1568" s="10"/>
      <c r="G1568" s="11"/>
      <c r="H1568" s="6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</row>
    <row r="1569" ht="19.5" customHeight="1">
      <c r="A1569" s="8"/>
      <c r="B1569" s="13"/>
      <c r="C1569" s="8"/>
      <c r="D1569" s="14"/>
      <c r="E1569" s="3"/>
      <c r="F1569" s="10"/>
      <c r="G1569" s="11"/>
      <c r="H1569" s="6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</row>
    <row r="1570" ht="19.5" customHeight="1">
      <c r="A1570" s="8"/>
      <c r="B1570" s="13"/>
      <c r="C1570" s="8"/>
      <c r="D1570" s="14"/>
      <c r="E1570" s="3"/>
      <c r="F1570" s="10"/>
      <c r="G1570" s="11"/>
      <c r="H1570" s="6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</row>
    <row r="1571" ht="19.5" customHeight="1">
      <c r="A1571" s="8"/>
      <c r="B1571" s="13"/>
      <c r="C1571" s="8"/>
      <c r="D1571" s="14"/>
      <c r="E1571" s="3"/>
      <c r="F1571" s="10"/>
      <c r="G1571" s="11"/>
      <c r="H1571" s="6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</row>
    <row r="1572" ht="19.5" customHeight="1">
      <c r="A1572" s="8"/>
      <c r="B1572" s="13"/>
      <c r="C1572" s="8"/>
      <c r="D1572" s="14"/>
      <c r="E1572" s="3"/>
      <c r="F1572" s="10"/>
      <c r="G1572" s="11"/>
      <c r="H1572" s="6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</row>
    <row r="1573" ht="19.5" customHeight="1">
      <c r="A1573" s="8"/>
      <c r="B1573" s="13"/>
      <c r="C1573" s="8"/>
      <c r="D1573" s="14"/>
      <c r="E1573" s="3"/>
      <c r="F1573" s="10"/>
      <c r="G1573" s="11"/>
      <c r="H1573" s="6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</row>
    <row r="1574" ht="19.5" customHeight="1">
      <c r="A1574" s="8"/>
      <c r="B1574" s="13"/>
      <c r="C1574" s="8"/>
      <c r="D1574" s="14"/>
      <c r="E1574" s="3"/>
      <c r="F1574" s="10"/>
      <c r="G1574" s="11"/>
      <c r="H1574" s="6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</row>
    <row r="1575" ht="19.5" customHeight="1">
      <c r="A1575" s="8"/>
      <c r="B1575" s="13"/>
      <c r="C1575" s="8"/>
      <c r="D1575" s="14"/>
      <c r="E1575" s="3"/>
      <c r="F1575" s="10"/>
      <c r="G1575" s="11"/>
      <c r="H1575" s="6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</row>
    <row r="1576" ht="19.5" customHeight="1">
      <c r="A1576" s="8"/>
      <c r="B1576" s="13"/>
      <c r="C1576" s="8"/>
      <c r="D1576" s="14"/>
      <c r="E1576" s="3"/>
      <c r="F1576" s="10"/>
      <c r="G1576" s="11"/>
      <c r="H1576" s="6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</row>
    <row r="1577" ht="19.5" customHeight="1">
      <c r="A1577" s="8"/>
      <c r="B1577" s="13"/>
      <c r="C1577" s="8"/>
      <c r="D1577" s="14"/>
      <c r="E1577" s="3"/>
      <c r="F1577" s="10"/>
      <c r="G1577" s="11"/>
      <c r="H1577" s="6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</row>
    <row r="1578" ht="19.5" customHeight="1">
      <c r="A1578" s="8"/>
      <c r="B1578" s="13"/>
      <c r="C1578" s="8"/>
      <c r="D1578" s="14"/>
      <c r="E1578" s="3"/>
      <c r="F1578" s="10"/>
      <c r="G1578" s="11"/>
      <c r="H1578" s="6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</row>
    <row r="1579" ht="19.5" customHeight="1">
      <c r="A1579" s="8"/>
      <c r="B1579" s="13"/>
      <c r="C1579" s="8"/>
      <c r="D1579" s="14"/>
      <c r="E1579" s="3"/>
      <c r="F1579" s="10"/>
      <c r="G1579" s="11"/>
      <c r="H1579" s="6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</row>
    <row r="1580" ht="19.5" customHeight="1">
      <c r="A1580" s="8"/>
      <c r="B1580" s="13"/>
      <c r="C1580" s="8"/>
      <c r="D1580" s="14"/>
      <c r="E1580" s="3"/>
      <c r="F1580" s="10"/>
      <c r="G1580" s="11"/>
      <c r="H1580" s="6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</row>
    <row r="1581" ht="19.5" customHeight="1">
      <c r="A1581" s="8"/>
      <c r="B1581" s="13"/>
      <c r="C1581" s="8"/>
      <c r="D1581" s="14"/>
      <c r="E1581" s="3"/>
      <c r="F1581" s="10"/>
      <c r="G1581" s="11"/>
      <c r="H1581" s="6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</row>
    <row r="1582" ht="19.5" customHeight="1">
      <c r="A1582" s="8"/>
      <c r="B1582" s="13"/>
      <c r="C1582" s="8"/>
      <c r="D1582" s="14"/>
      <c r="E1582" s="3"/>
      <c r="F1582" s="10"/>
      <c r="G1582" s="11"/>
      <c r="H1582" s="6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</row>
    <row r="1583" ht="19.5" customHeight="1">
      <c r="A1583" s="8"/>
      <c r="B1583" s="13"/>
      <c r="C1583" s="8"/>
      <c r="D1583" s="14"/>
      <c r="E1583" s="3"/>
      <c r="F1583" s="10"/>
      <c r="G1583" s="11"/>
      <c r="H1583" s="6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</row>
    <row r="1584" ht="19.5" customHeight="1">
      <c r="A1584" s="8"/>
      <c r="B1584" s="13"/>
      <c r="C1584" s="8"/>
      <c r="D1584" s="14"/>
      <c r="E1584" s="3"/>
      <c r="F1584" s="10"/>
      <c r="G1584" s="11"/>
      <c r="H1584" s="6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</row>
    <row r="1585" ht="19.5" customHeight="1">
      <c r="A1585" s="8"/>
      <c r="B1585" s="13"/>
      <c r="C1585" s="8"/>
      <c r="D1585" s="14"/>
      <c r="E1585" s="3"/>
      <c r="F1585" s="10"/>
      <c r="G1585" s="11"/>
      <c r="H1585" s="6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</row>
    <row r="1586" ht="19.5" customHeight="1">
      <c r="A1586" s="8"/>
      <c r="B1586" s="13"/>
      <c r="C1586" s="8"/>
      <c r="D1586" s="14"/>
      <c r="E1586" s="3"/>
      <c r="F1586" s="10"/>
      <c r="G1586" s="11"/>
      <c r="H1586" s="6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</row>
    <row r="1587" ht="19.5" customHeight="1">
      <c r="A1587" s="8"/>
      <c r="B1587" s="13"/>
      <c r="C1587" s="8"/>
      <c r="D1587" s="14"/>
      <c r="E1587" s="3"/>
      <c r="F1587" s="10"/>
      <c r="G1587" s="11"/>
      <c r="H1587" s="6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</row>
    <row r="1588" ht="19.5" customHeight="1">
      <c r="A1588" s="8"/>
      <c r="B1588" s="13"/>
      <c r="C1588" s="8"/>
      <c r="D1588" s="14"/>
      <c r="E1588" s="3"/>
      <c r="F1588" s="10"/>
      <c r="G1588" s="11"/>
      <c r="H1588" s="6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</row>
    <row r="1589" ht="19.5" customHeight="1">
      <c r="A1589" s="8"/>
      <c r="B1589" s="13"/>
      <c r="C1589" s="8"/>
      <c r="D1589" s="14"/>
      <c r="E1589" s="3"/>
      <c r="F1589" s="10"/>
      <c r="G1589" s="11"/>
      <c r="H1589" s="6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</row>
    <row r="1590" ht="19.5" customHeight="1">
      <c r="A1590" s="8"/>
      <c r="B1590" s="13"/>
      <c r="C1590" s="8"/>
      <c r="D1590" s="14"/>
      <c r="E1590" s="3"/>
      <c r="F1590" s="10"/>
      <c r="G1590" s="11"/>
      <c r="H1590" s="6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</row>
    <row r="1591" ht="19.5" customHeight="1">
      <c r="A1591" s="8"/>
      <c r="B1591" s="13"/>
      <c r="C1591" s="8"/>
      <c r="D1591" s="14"/>
      <c r="E1591" s="3"/>
      <c r="F1591" s="10"/>
      <c r="G1591" s="11"/>
      <c r="H1591" s="6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</row>
    <row r="1592" ht="19.5" customHeight="1">
      <c r="A1592" s="8"/>
      <c r="B1592" s="13"/>
      <c r="C1592" s="8"/>
      <c r="D1592" s="14"/>
      <c r="E1592" s="3"/>
      <c r="F1592" s="10"/>
      <c r="G1592" s="11"/>
      <c r="H1592" s="6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</row>
    <row r="1593" ht="19.5" customHeight="1">
      <c r="A1593" s="8"/>
      <c r="B1593" s="13"/>
      <c r="C1593" s="8"/>
      <c r="D1593" s="14"/>
      <c r="E1593" s="3"/>
      <c r="F1593" s="10"/>
      <c r="G1593" s="11"/>
      <c r="H1593" s="6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</row>
    <row r="1594" ht="19.5" customHeight="1">
      <c r="A1594" s="8"/>
      <c r="B1594" s="13"/>
      <c r="C1594" s="8"/>
      <c r="D1594" s="14"/>
      <c r="E1594" s="3"/>
      <c r="F1594" s="10"/>
      <c r="G1594" s="11"/>
      <c r="H1594" s="6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</row>
    <row r="1595" ht="19.5" customHeight="1">
      <c r="A1595" s="8"/>
      <c r="B1595" s="13"/>
      <c r="C1595" s="8"/>
      <c r="D1595" s="14"/>
      <c r="E1595" s="3"/>
      <c r="F1595" s="10"/>
      <c r="G1595" s="11"/>
      <c r="H1595" s="6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</row>
    <row r="1596" ht="19.5" customHeight="1">
      <c r="A1596" s="8"/>
      <c r="B1596" s="13"/>
      <c r="C1596" s="8"/>
      <c r="D1596" s="14"/>
      <c r="E1596" s="3"/>
      <c r="F1596" s="10"/>
      <c r="G1596" s="11"/>
      <c r="H1596" s="6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</row>
    <row r="1597" ht="19.5" customHeight="1">
      <c r="A1597" s="8"/>
      <c r="B1597" s="13"/>
      <c r="C1597" s="8"/>
      <c r="D1597" s="14"/>
      <c r="E1597" s="3"/>
      <c r="F1597" s="10"/>
      <c r="G1597" s="11"/>
      <c r="H1597" s="6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</row>
    <row r="1598" ht="19.5" customHeight="1">
      <c r="A1598" s="8"/>
      <c r="B1598" s="13"/>
      <c r="C1598" s="8"/>
      <c r="D1598" s="14"/>
      <c r="E1598" s="3"/>
      <c r="F1598" s="10"/>
      <c r="G1598" s="11"/>
      <c r="H1598" s="6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</row>
    <row r="1599" ht="19.5" customHeight="1">
      <c r="A1599" s="8"/>
      <c r="B1599" s="13"/>
      <c r="C1599" s="8"/>
      <c r="D1599" s="14"/>
      <c r="E1599" s="3"/>
      <c r="F1599" s="10"/>
      <c r="G1599" s="11"/>
      <c r="H1599" s="6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</row>
    <row r="1600" ht="19.5" customHeight="1">
      <c r="A1600" s="8"/>
      <c r="B1600" s="13"/>
      <c r="C1600" s="8"/>
      <c r="D1600" s="14"/>
      <c r="E1600" s="3"/>
      <c r="F1600" s="10"/>
      <c r="G1600" s="11"/>
      <c r="H1600" s="6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</row>
    <row r="1601" ht="19.5" customHeight="1">
      <c r="A1601" s="8"/>
      <c r="B1601" s="13"/>
      <c r="C1601" s="8"/>
      <c r="D1601" s="14"/>
      <c r="E1601" s="3"/>
      <c r="F1601" s="10"/>
      <c r="G1601" s="11"/>
      <c r="H1601" s="6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</row>
    <row r="1602" ht="19.5" customHeight="1">
      <c r="A1602" s="8"/>
      <c r="B1602" s="13"/>
      <c r="C1602" s="8"/>
      <c r="D1602" s="14"/>
      <c r="E1602" s="3"/>
      <c r="F1602" s="10"/>
      <c r="G1602" s="11"/>
      <c r="H1602" s="6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</row>
    <row r="1603" ht="19.5" customHeight="1">
      <c r="A1603" s="8"/>
      <c r="B1603" s="13"/>
      <c r="C1603" s="8"/>
      <c r="D1603" s="14"/>
      <c r="E1603" s="3"/>
      <c r="F1603" s="10"/>
      <c r="G1603" s="11"/>
      <c r="H1603" s="6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</row>
    <row r="1604" ht="19.5" customHeight="1">
      <c r="A1604" s="8"/>
      <c r="B1604" s="13"/>
      <c r="C1604" s="8"/>
      <c r="D1604" s="14"/>
      <c r="E1604" s="3"/>
      <c r="F1604" s="10"/>
      <c r="G1604" s="11"/>
      <c r="H1604" s="6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</row>
    <row r="1605" ht="19.5" customHeight="1">
      <c r="A1605" s="8"/>
      <c r="B1605" s="13"/>
      <c r="C1605" s="8"/>
      <c r="D1605" s="14"/>
      <c r="E1605" s="3"/>
      <c r="F1605" s="10"/>
      <c r="G1605" s="11"/>
      <c r="H1605" s="6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</row>
    <row r="1606" ht="19.5" customHeight="1">
      <c r="A1606" s="8"/>
      <c r="B1606" s="13"/>
      <c r="C1606" s="8"/>
      <c r="D1606" s="14"/>
      <c r="E1606" s="3"/>
      <c r="F1606" s="10"/>
      <c r="G1606" s="11"/>
      <c r="H1606" s="6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</row>
    <row r="1607" ht="19.5" customHeight="1">
      <c r="A1607" s="8"/>
      <c r="B1607" s="13"/>
      <c r="C1607" s="8"/>
      <c r="D1607" s="14"/>
      <c r="E1607" s="3"/>
      <c r="F1607" s="10"/>
      <c r="G1607" s="11"/>
      <c r="H1607" s="6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</row>
    <row r="1608" ht="19.5" customHeight="1">
      <c r="A1608" s="8"/>
      <c r="B1608" s="13"/>
      <c r="C1608" s="8"/>
      <c r="D1608" s="14"/>
      <c r="E1608" s="3"/>
      <c r="F1608" s="10"/>
      <c r="G1608" s="11"/>
      <c r="H1608" s="6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</row>
    <row r="1609" ht="19.5" customHeight="1">
      <c r="A1609" s="8"/>
      <c r="B1609" s="13"/>
      <c r="C1609" s="8"/>
      <c r="D1609" s="14"/>
      <c r="E1609" s="3"/>
      <c r="F1609" s="10"/>
      <c r="G1609" s="11"/>
      <c r="H1609" s="6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</row>
    <row r="1610" ht="19.5" customHeight="1">
      <c r="A1610" s="8"/>
      <c r="B1610" s="13"/>
      <c r="C1610" s="8"/>
      <c r="D1610" s="14"/>
      <c r="E1610" s="3"/>
      <c r="F1610" s="10"/>
      <c r="G1610" s="11"/>
      <c r="H1610" s="6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</row>
    <row r="1611" ht="19.5" customHeight="1">
      <c r="A1611" s="8"/>
      <c r="B1611" s="13"/>
      <c r="C1611" s="8"/>
      <c r="D1611" s="14"/>
      <c r="E1611" s="3"/>
      <c r="F1611" s="10"/>
      <c r="G1611" s="11"/>
      <c r="H1611" s="6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</row>
    <row r="1612" ht="19.5" customHeight="1">
      <c r="A1612" s="8"/>
      <c r="B1612" s="13"/>
      <c r="C1612" s="8"/>
      <c r="D1612" s="14"/>
      <c r="E1612" s="3"/>
      <c r="F1612" s="10"/>
      <c r="G1612" s="11"/>
      <c r="H1612" s="6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</row>
    <row r="1613" ht="19.5" customHeight="1">
      <c r="A1613" s="8"/>
      <c r="B1613" s="13"/>
      <c r="C1613" s="8"/>
      <c r="D1613" s="14"/>
      <c r="E1613" s="3"/>
      <c r="F1613" s="10"/>
      <c r="G1613" s="11"/>
      <c r="H1613" s="6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</row>
    <row r="1614" ht="19.5" customHeight="1">
      <c r="A1614" s="8"/>
      <c r="B1614" s="13"/>
      <c r="C1614" s="8"/>
      <c r="D1614" s="14"/>
      <c r="E1614" s="3"/>
      <c r="F1614" s="10"/>
      <c r="G1614" s="11"/>
      <c r="H1614" s="6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</row>
    <row r="1615" ht="19.5" customHeight="1">
      <c r="A1615" s="8"/>
      <c r="B1615" s="13"/>
      <c r="C1615" s="8"/>
      <c r="D1615" s="14"/>
      <c r="E1615" s="3"/>
      <c r="F1615" s="10"/>
      <c r="G1615" s="11"/>
      <c r="H1615" s="6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</row>
    <row r="1616" ht="19.5" customHeight="1">
      <c r="A1616" s="8"/>
      <c r="B1616" s="13"/>
      <c r="C1616" s="8"/>
      <c r="D1616" s="14"/>
      <c r="E1616" s="3"/>
      <c r="F1616" s="10"/>
      <c r="G1616" s="11"/>
      <c r="H1616" s="6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</row>
    <row r="1617" ht="19.5" customHeight="1">
      <c r="A1617" s="8"/>
      <c r="B1617" s="13"/>
      <c r="C1617" s="8"/>
      <c r="D1617" s="14"/>
      <c r="E1617" s="3"/>
      <c r="F1617" s="10"/>
      <c r="G1617" s="11"/>
      <c r="H1617" s="6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</row>
    <row r="1618" ht="19.5" customHeight="1">
      <c r="A1618" s="8"/>
      <c r="B1618" s="13"/>
      <c r="C1618" s="8"/>
      <c r="D1618" s="14"/>
      <c r="E1618" s="3"/>
      <c r="F1618" s="10"/>
      <c r="G1618" s="11"/>
      <c r="H1618" s="6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</row>
    <row r="1619" ht="19.5" customHeight="1">
      <c r="A1619" s="8"/>
      <c r="B1619" s="13"/>
      <c r="C1619" s="8"/>
      <c r="D1619" s="14"/>
      <c r="E1619" s="3"/>
      <c r="F1619" s="10"/>
      <c r="G1619" s="11"/>
      <c r="H1619" s="6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</row>
    <row r="1620" ht="19.5" customHeight="1">
      <c r="A1620" s="8"/>
      <c r="B1620" s="13"/>
      <c r="C1620" s="8"/>
      <c r="D1620" s="14"/>
      <c r="E1620" s="3"/>
      <c r="F1620" s="10"/>
      <c r="G1620" s="11"/>
      <c r="H1620" s="6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</row>
    <row r="1621" ht="19.5" customHeight="1">
      <c r="A1621" s="8"/>
      <c r="B1621" s="13"/>
      <c r="C1621" s="8"/>
      <c r="D1621" s="14"/>
      <c r="E1621" s="3"/>
      <c r="F1621" s="10"/>
      <c r="G1621" s="11"/>
      <c r="H1621" s="6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</row>
    <row r="1622" ht="19.5" customHeight="1">
      <c r="A1622" s="8"/>
      <c r="B1622" s="13"/>
      <c r="C1622" s="8"/>
      <c r="D1622" s="14"/>
      <c r="E1622" s="3"/>
      <c r="F1622" s="10"/>
      <c r="G1622" s="11"/>
      <c r="H1622" s="6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</row>
    <row r="1623" ht="19.5" customHeight="1">
      <c r="A1623" s="8"/>
      <c r="B1623" s="13"/>
      <c r="C1623" s="8"/>
      <c r="D1623" s="14"/>
      <c r="E1623" s="3"/>
      <c r="F1623" s="10"/>
      <c r="G1623" s="11"/>
      <c r="H1623" s="6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</row>
    <row r="1624" ht="19.5" customHeight="1">
      <c r="A1624" s="8"/>
      <c r="B1624" s="13"/>
      <c r="C1624" s="8"/>
      <c r="D1624" s="14"/>
      <c r="E1624" s="3"/>
      <c r="F1624" s="10"/>
      <c r="G1624" s="11"/>
      <c r="H1624" s="6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</row>
    <row r="1625" ht="19.5" customHeight="1">
      <c r="A1625" s="8"/>
      <c r="B1625" s="13"/>
      <c r="C1625" s="8"/>
      <c r="D1625" s="14"/>
      <c r="E1625" s="3"/>
      <c r="F1625" s="10"/>
      <c r="G1625" s="11"/>
      <c r="H1625" s="6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</row>
    <row r="1626" ht="19.5" customHeight="1">
      <c r="A1626" s="8"/>
      <c r="B1626" s="13"/>
      <c r="C1626" s="8"/>
      <c r="D1626" s="14"/>
      <c r="E1626" s="3"/>
      <c r="F1626" s="10"/>
      <c r="G1626" s="11"/>
      <c r="H1626" s="6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</row>
    <row r="1627" ht="19.5" customHeight="1">
      <c r="A1627" s="8"/>
      <c r="B1627" s="13"/>
      <c r="C1627" s="8"/>
      <c r="D1627" s="14"/>
      <c r="E1627" s="3"/>
      <c r="F1627" s="10"/>
      <c r="G1627" s="11"/>
      <c r="H1627" s="6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</row>
    <row r="1628" ht="19.5" customHeight="1">
      <c r="A1628" s="8"/>
      <c r="B1628" s="13"/>
      <c r="C1628" s="8"/>
      <c r="D1628" s="14"/>
      <c r="E1628" s="3"/>
      <c r="F1628" s="10"/>
      <c r="G1628" s="11"/>
      <c r="H1628" s="6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</row>
    <row r="1629" ht="19.5" customHeight="1">
      <c r="A1629" s="8"/>
      <c r="B1629" s="13"/>
      <c r="C1629" s="8"/>
      <c r="D1629" s="14"/>
      <c r="E1629" s="3"/>
      <c r="F1629" s="10"/>
      <c r="G1629" s="11"/>
      <c r="H1629" s="6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</row>
    <row r="1630" ht="19.5" customHeight="1">
      <c r="A1630" s="8"/>
      <c r="B1630" s="13"/>
      <c r="C1630" s="8"/>
      <c r="D1630" s="14"/>
      <c r="E1630" s="3"/>
      <c r="F1630" s="10"/>
      <c r="G1630" s="11"/>
      <c r="H1630" s="6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</row>
    <row r="1631" ht="19.5" customHeight="1">
      <c r="A1631" s="8"/>
      <c r="B1631" s="13"/>
      <c r="C1631" s="8"/>
      <c r="D1631" s="14"/>
      <c r="E1631" s="3"/>
      <c r="F1631" s="10"/>
      <c r="G1631" s="11"/>
      <c r="H1631" s="6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</row>
    <row r="1632" ht="19.5" customHeight="1">
      <c r="A1632" s="8"/>
      <c r="B1632" s="13"/>
      <c r="C1632" s="8"/>
      <c r="D1632" s="14"/>
      <c r="E1632" s="3"/>
      <c r="F1632" s="10"/>
      <c r="G1632" s="11"/>
      <c r="H1632" s="6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</row>
    <row r="1633" ht="19.5" customHeight="1">
      <c r="A1633" s="8"/>
      <c r="B1633" s="13"/>
      <c r="C1633" s="8"/>
      <c r="D1633" s="14"/>
      <c r="E1633" s="3"/>
      <c r="F1633" s="10"/>
      <c r="G1633" s="11"/>
      <c r="H1633" s="6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</row>
    <row r="1634" ht="19.5" customHeight="1">
      <c r="A1634" s="8"/>
      <c r="B1634" s="13"/>
      <c r="C1634" s="8"/>
      <c r="D1634" s="14"/>
      <c r="E1634" s="3"/>
      <c r="F1634" s="10"/>
      <c r="G1634" s="11"/>
      <c r="H1634" s="6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</row>
    <row r="1635" ht="19.5" customHeight="1">
      <c r="A1635" s="8"/>
      <c r="B1635" s="13"/>
      <c r="C1635" s="8"/>
      <c r="D1635" s="14"/>
      <c r="E1635" s="3"/>
      <c r="F1635" s="10"/>
      <c r="G1635" s="11"/>
      <c r="H1635" s="6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</row>
    <row r="1636" ht="19.5" customHeight="1">
      <c r="A1636" s="8"/>
      <c r="B1636" s="13"/>
      <c r="C1636" s="8"/>
      <c r="D1636" s="14"/>
      <c r="E1636" s="3"/>
      <c r="F1636" s="10"/>
      <c r="G1636" s="11"/>
      <c r="H1636" s="6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</row>
    <row r="1637" ht="19.5" customHeight="1">
      <c r="A1637" s="8"/>
      <c r="B1637" s="13"/>
      <c r="C1637" s="8"/>
      <c r="D1637" s="14"/>
      <c r="E1637" s="3"/>
      <c r="F1637" s="10"/>
      <c r="G1637" s="11"/>
      <c r="H1637" s="6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</row>
    <row r="1638" ht="19.5" customHeight="1">
      <c r="A1638" s="8"/>
      <c r="B1638" s="13"/>
      <c r="C1638" s="8"/>
      <c r="D1638" s="14"/>
      <c r="E1638" s="3"/>
      <c r="F1638" s="10"/>
      <c r="G1638" s="11"/>
      <c r="H1638" s="6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</row>
    <row r="1639" ht="19.5" customHeight="1">
      <c r="A1639" s="8"/>
      <c r="B1639" s="13"/>
      <c r="C1639" s="8"/>
      <c r="D1639" s="14"/>
      <c r="E1639" s="3"/>
      <c r="F1639" s="10"/>
      <c r="G1639" s="11"/>
      <c r="H1639" s="6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</row>
    <row r="1640" ht="19.5" customHeight="1">
      <c r="A1640" s="8"/>
      <c r="B1640" s="13"/>
      <c r="C1640" s="8"/>
      <c r="D1640" s="14"/>
      <c r="E1640" s="3"/>
      <c r="F1640" s="10"/>
      <c r="G1640" s="11"/>
      <c r="H1640" s="6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</row>
    <row r="1641" ht="19.5" customHeight="1">
      <c r="A1641" s="8"/>
      <c r="B1641" s="13"/>
      <c r="C1641" s="8"/>
      <c r="D1641" s="14"/>
      <c r="E1641" s="3"/>
      <c r="F1641" s="10"/>
      <c r="G1641" s="11"/>
      <c r="H1641" s="6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</row>
    <row r="1642" ht="19.5" customHeight="1">
      <c r="A1642" s="8"/>
      <c r="B1642" s="13"/>
      <c r="C1642" s="8"/>
      <c r="D1642" s="14"/>
      <c r="E1642" s="3"/>
      <c r="F1642" s="10"/>
      <c r="G1642" s="11"/>
      <c r="H1642" s="6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</row>
    <row r="1643" ht="19.5" customHeight="1">
      <c r="A1643" s="8"/>
      <c r="B1643" s="13"/>
      <c r="C1643" s="8"/>
      <c r="D1643" s="14"/>
      <c r="E1643" s="3"/>
      <c r="F1643" s="10"/>
      <c r="G1643" s="11"/>
      <c r="H1643" s="6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</row>
    <row r="1644" ht="19.5" customHeight="1">
      <c r="A1644" s="8"/>
      <c r="B1644" s="13"/>
      <c r="C1644" s="8"/>
      <c r="D1644" s="14"/>
      <c r="E1644" s="3"/>
      <c r="F1644" s="10"/>
      <c r="G1644" s="11"/>
      <c r="H1644" s="6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</row>
    <row r="1645" ht="19.5" customHeight="1">
      <c r="A1645" s="8"/>
      <c r="B1645" s="13"/>
      <c r="C1645" s="8"/>
      <c r="D1645" s="14"/>
      <c r="E1645" s="3"/>
      <c r="F1645" s="10"/>
      <c r="G1645" s="11"/>
      <c r="H1645" s="6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</row>
    <row r="1646" ht="19.5" customHeight="1">
      <c r="A1646" s="8"/>
      <c r="B1646" s="13"/>
      <c r="C1646" s="8"/>
      <c r="D1646" s="14"/>
      <c r="E1646" s="3"/>
      <c r="F1646" s="10"/>
      <c r="G1646" s="11"/>
      <c r="H1646" s="6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</row>
    <row r="1647" ht="19.5" customHeight="1">
      <c r="A1647" s="8"/>
      <c r="B1647" s="13"/>
      <c r="C1647" s="8"/>
      <c r="D1647" s="14"/>
      <c r="E1647" s="3"/>
      <c r="F1647" s="10"/>
      <c r="G1647" s="11"/>
      <c r="H1647" s="6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</row>
    <row r="1648" ht="19.5" customHeight="1">
      <c r="A1648" s="8"/>
      <c r="B1648" s="13"/>
      <c r="C1648" s="8"/>
      <c r="D1648" s="14"/>
      <c r="E1648" s="3"/>
      <c r="F1648" s="10"/>
      <c r="G1648" s="11"/>
      <c r="H1648" s="6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</row>
    <row r="1649" ht="19.5" customHeight="1">
      <c r="A1649" s="8"/>
      <c r="B1649" s="13"/>
      <c r="C1649" s="8"/>
      <c r="D1649" s="14"/>
      <c r="E1649" s="3"/>
      <c r="F1649" s="10"/>
      <c r="G1649" s="11"/>
      <c r="H1649" s="6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</row>
    <row r="1650" ht="19.5" customHeight="1">
      <c r="A1650" s="8"/>
      <c r="B1650" s="13"/>
      <c r="C1650" s="8"/>
      <c r="D1650" s="14"/>
      <c r="E1650" s="3"/>
      <c r="F1650" s="10"/>
      <c r="G1650" s="11"/>
      <c r="H1650" s="6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</row>
    <row r="1651" ht="19.5" customHeight="1">
      <c r="A1651" s="8"/>
      <c r="B1651" s="13"/>
      <c r="C1651" s="8"/>
      <c r="D1651" s="14"/>
      <c r="E1651" s="3"/>
      <c r="F1651" s="10"/>
      <c r="G1651" s="11"/>
      <c r="H1651" s="6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</row>
    <row r="1652" ht="19.5" customHeight="1">
      <c r="A1652" s="8"/>
      <c r="B1652" s="13"/>
      <c r="C1652" s="8"/>
      <c r="D1652" s="14"/>
      <c r="E1652" s="3"/>
      <c r="F1652" s="10"/>
      <c r="G1652" s="11"/>
      <c r="H1652" s="6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</row>
    <row r="1653" ht="19.5" customHeight="1">
      <c r="A1653" s="8"/>
      <c r="B1653" s="13"/>
      <c r="C1653" s="8"/>
      <c r="D1653" s="14"/>
      <c r="E1653" s="3"/>
      <c r="F1653" s="10"/>
      <c r="G1653" s="11"/>
      <c r="H1653" s="6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</row>
    <row r="1654" ht="19.5" customHeight="1">
      <c r="A1654" s="8"/>
      <c r="B1654" s="13"/>
      <c r="C1654" s="8"/>
      <c r="D1654" s="14"/>
      <c r="E1654" s="3"/>
      <c r="F1654" s="10"/>
      <c r="G1654" s="11"/>
      <c r="H1654" s="6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</row>
    <row r="1655" ht="19.5" customHeight="1">
      <c r="A1655" s="8"/>
      <c r="B1655" s="13"/>
      <c r="C1655" s="8"/>
      <c r="D1655" s="14"/>
      <c r="E1655" s="3"/>
      <c r="F1655" s="10"/>
      <c r="G1655" s="11"/>
      <c r="H1655" s="6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</row>
    <row r="1656" ht="19.5" customHeight="1">
      <c r="A1656" s="8"/>
      <c r="B1656" s="13"/>
      <c r="C1656" s="8"/>
      <c r="D1656" s="14"/>
      <c r="E1656" s="3"/>
      <c r="F1656" s="10"/>
      <c r="G1656" s="11"/>
      <c r="H1656" s="6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</row>
    <row r="1657" ht="19.5" customHeight="1">
      <c r="A1657" s="8"/>
      <c r="B1657" s="13"/>
      <c r="C1657" s="8"/>
      <c r="D1657" s="14"/>
      <c r="E1657" s="3"/>
      <c r="F1657" s="10"/>
      <c r="G1657" s="11"/>
      <c r="H1657" s="6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</row>
    <row r="1658" ht="19.5" customHeight="1">
      <c r="A1658" s="8"/>
      <c r="B1658" s="13"/>
      <c r="C1658" s="8"/>
      <c r="D1658" s="14"/>
      <c r="E1658" s="3"/>
      <c r="F1658" s="10"/>
      <c r="G1658" s="11"/>
      <c r="H1658" s="6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</row>
    <row r="1659" ht="19.5" customHeight="1">
      <c r="A1659" s="8"/>
      <c r="B1659" s="13"/>
      <c r="C1659" s="8"/>
      <c r="D1659" s="14"/>
      <c r="E1659" s="3"/>
      <c r="F1659" s="10"/>
      <c r="G1659" s="11"/>
      <c r="H1659" s="6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</row>
    <row r="1660" ht="19.5" customHeight="1">
      <c r="A1660" s="8"/>
      <c r="B1660" s="13"/>
      <c r="C1660" s="8"/>
      <c r="D1660" s="14"/>
      <c r="E1660" s="3"/>
      <c r="F1660" s="10"/>
      <c r="G1660" s="11"/>
      <c r="H1660" s="6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</row>
    <row r="1661" ht="19.5" customHeight="1">
      <c r="A1661" s="8"/>
      <c r="B1661" s="13"/>
      <c r="C1661" s="8"/>
      <c r="D1661" s="14"/>
      <c r="E1661" s="3"/>
      <c r="F1661" s="10"/>
      <c r="G1661" s="11"/>
      <c r="H1661" s="6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</row>
    <row r="1662" ht="19.5" customHeight="1">
      <c r="A1662" s="8"/>
      <c r="B1662" s="13"/>
      <c r="C1662" s="8"/>
      <c r="D1662" s="14"/>
      <c r="E1662" s="3"/>
      <c r="F1662" s="10"/>
      <c r="G1662" s="11"/>
      <c r="H1662" s="6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</row>
    <row r="1663" ht="19.5" customHeight="1">
      <c r="A1663" s="8"/>
      <c r="B1663" s="13"/>
      <c r="C1663" s="8"/>
      <c r="D1663" s="14"/>
      <c r="E1663" s="3"/>
      <c r="F1663" s="10"/>
      <c r="G1663" s="11"/>
      <c r="H1663" s="6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</row>
    <row r="1664" ht="19.5" customHeight="1">
      <c r="A1664" s="8"/>
      <c r="B1664" s="13"/>
      <c r="C1664" s="8"/>
      <c r="D1664" s="14"/>
      <c r="E1664" s="3"/>
      <c r="F1664" s="10"/>
      <c r="G1664" s="11"/>
      <c r="H1664" s="6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</row>
    <row r="1665" ht="19.5" customHeight="1">
      <c r="A1665" s="8"/>
      <c r="B1665" s="13"/>
      <c r="C1665" s="8"/>
      <c r="D1665" s="14"/>
      <c r="E1665" s="3"/>
      <c r="F1665" s="10"/>
      <c r="G1665" s="11"/>
      <c r="H1665" s="6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</row>
    <row r="1666" ht="19.5" customHeight="1">
      <c r="A1666" s="8"/>
      <c r="B1666" s="13"/>
      <c r="C1666" s="8"/>
      <c r="D1666" s="14"/>
      <c r="E1666" s="3"/>
      <c r="F1666" s="10"/>
      <c r="G1666" s="11"/>
      <c r="H1666" s="6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</row>
    <row r="1667" ht="19.5" customHeight="1">
      <c r="A1667" s="8"/>
      <c r="B1667" s="13"/>
      <c r="C1667" s="8"/>
      <c r="D1667" s="14"/>
      <c r="E1667" s="3"/>
      <c r="F1667" s="10"/>
      <c r="G1667" s="11"/>
      <c r="H1667" s="6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</row>
    <row r="1668" ht="19.5" customHeight="1">
      <c r="A1668" s="8"/>
      <c r="B1668" s="13"/>
      <c r="C1668" s="8"/>
      <c r="D1668" s="14"/>
      <c r="E1668" s="3"/>
      <c r="F1668" s="10"/>
      <c r="G1668" s="11"/>
      <c r="H1668" s="6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</row>
    <row r="1669" ht="19.5" customHeight="1">
      <c r="A1669" s="8"/>
      <c r="B1669" s="13"/>
      <c r="C1669" s="8"/>
      <c r="D1669" s="14"/>
      <c r="E1669" s="3"/>
      <c r="F1669" s="10"/>
      <c r="G1669" s="11"/>
      <c r="H1669" s="6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</row>
    <row r="1670" ht="19.5" customHeight="1">
      <c r="A1670" s="8"/>
      <c r="B1670" s="13"/>
      <c r="C1670" s="8"/>
      <c r="D1670" s="14"/>
      <c r="E1670" s="3"/>
      <c r="F1670" s="10"/>
      <c r="G1670" s="11"/>
      <c r="H1670" s="6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</row>
    <row r="1671" ht="19.5" customHeight="1">
      <c r="A1671" s="8"/>
      <c r="B1671" s="13"/>
      <c r="C1671" s="8"/>
      <c r="D1671" s="14"/>
      <c r="E1671" s="3"/>
      <c r="F1671" s="10"/>
      <c r="G1671" s="11"/>
      <c r="H1671" s="6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</row>
    <row r="1672" ht="19.5" customHeight="1">
      <c r="A1672" s="8"/>
      <c r="B1672" s="13"/>
      <c r="C1672" s="8"/>
      <c r="D1672" s="14"/>
      <c r="E1672" s="3"/>
      <c r="F1672" s="10"/>
      <c r="G1672" s="11"/>
      <c r="H1672" s="6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</row>
    <row r="1673" ht="19.5" customHeight="1">
      <c r="A1673" s="8"/>
      <c r="B1673" s="13"/>
      <c r="C1673" s="8"/>
      <c r="D1673" s="14"/>
      <c r="E1673" s="3"/>
      <c r="F1673" s="10"/>
      <c r="G1673" s="11"/>
      <c r="H1673" s="6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</row>
    <row r="1674" ht="19.5" customHeight="1">
      <c r="A1674" s="8"/>
      <c r="B1674" s="13"/>
      <c r="C1674" s="8"/>
      <c r="D1674" s="14"/>
      <c r="E1674" s="3"/>
      <c r="F1674" s="10"/>
      <c r="G1674" s="11"/>
      <c r="H1674" s="6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</row>
    <row r="1675" ht="19.5" customHeight="1">
      <c r="A1675" s="8"/>
      <c r="B1675" s="13"/>
      <c r="C1675" s="8"/>
      <c r="D1675" s="14"/>
      <c r="E1675" s="3"/>
      <c r="F1675" s="10"/>
      <c r="G1675" s="11"/>
      <c r="H1675" s="6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</row>
    <row r="1676" ht="19.5" customHeight="1">
      <c r="A1676" s="8"/>
      <c r="B1676" s="13"/>
      <c r="C1676" s="8"/>
      <c r="D1676" s="14"/>
      <c r="E1676" s="3"/>
      <c r="F1676" s="10"/>
      <c r="G1676" s="11"/>
      <c r="H1676" s="6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</row>
    <row r="1677" ht="19.5" customHeight="1">
      <c r="A1677" s="8"/>
      <c r="B1677" s="13"/>
      <c r="C1677" s="8"/>
      <c r="D1677" s="14"/>
      <c r="E1677" s="3"/>
      <c r="F1677" s="10"/>
      <c r="G1677" s="11"/>
      <c r="H1677" s="6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</row>
    <row r="1678" ht="19.5" customHeight="1">
      <c r="A1678" s="8"/>
      <c r="B1678" s="13"/>
      <c r="C1678" s="8"/>
      <c r="D1678" s="14"/>
      <c r="E1678" s="3"/>
      <c r="F1678" s="10"/>
      <c r="G1678" s="11"/>
      <c r="H1678" s="6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</row>
    <row r="1679" ht="19.5" customHeight="1">
      <c r="A1679" s="8"/>
      <c r="B1679" s="13"/>
      <c r="C1679" s="8"/>
      <c r="D1679" s="14"/>
      <c r="E1679" s="3"/>
      <c r="F1679" s="10"/>
      <c r="G1679" s="11"/>
      <c r="H1679" s="6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</row>
    <row r="1680" ht="19.5" customHeight="1">
      <c r="A1680" s="8"/>
      <c r="B1680" s="13"/>
      <c r="C1680" s="8"/>
      <c r="D1680" s="14"/>
      <c r="E1680" s="3"/>
      <c r="F1680" s="10"/>
      <c r="G1680" s="11"/>
      <c r="H1680" s="6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</row>
    <row r="1681" ht="19.5" customHeight="1">
      <c r="A1681" s="8"/>
      <c r="B1681" s="13"/>
      <c r="C1681" s="8"/>
      <c r="D1681" s="14"/>
      <c r="E1681" s="3"/>
      <c r="F1681" s="10"/>
      <c r="G1681" s="11"/>
      <c r="H1681" s="6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</row>
    <row r="1682" ht="19.5" customHeight="1">
      <c r="A1682" s="8"/>
      <c r="B1682" s="13"/>
      <c r="C1682" s="8"/>
      <c r="D1682" s="14"/>
      <c r="E1682" s="3"/>
      <c r="F1682" s="10"/>
      <c r="G1682" s="11"/>
      <c r="H1682" s="6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</row>
    <row r="1683" ht="19.5" customHeight="1">
      <c r="A1683" s="8"/>
      <c r="B1683" s="13"/>
      <c r="C1683" s="8"/>
      <c r="D1683" s="14"/>
      <c r="E1683" s="3"/>
      <c r="F1683" s="10"/>
      <c r="G1683" s="11"/>
      <c r="H1683" s="6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</row>
    <row r="1684" ht="19.5" customHeight="1">
      <c r="A1684" s="8"/>
      <c r="B1684" s="13"/>
      <c r="C1684" s="8"/>
      <c r="D1684" s="14"/>
      <c r="E1684" s="3"/>
      <c r="F1684" s="10"/>
      <c r="G1684" s="11"/>
      <c r="H1684" s="6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</row>
    <row r="1685" ht="19.5" customHeight="1">
      <c r="A1685" s="8"/>
      <c r="B1685" s="13"/>
      <c r="C1685" s="8"/>
      <c r="D1685" s="14"/>
      <c r="E1685" s="3"/>
      <c r="F1685" s="10"/>
      <c r="G1685" s="11"/>
      <c r="H1685" s="6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</row>
    <row r="1686" ht="19.5" customHeight="1">
      <c r="A1686" s="8"/>
      <c r="B1686" s="13"/>
      <c r="C1686" s="8"/>
      <c r="D1686" s="14"/>
      <c r="E1686" s="3"/>
      <c r="F1686" s="10"/>
      <c r="G1686" s="11"/>
      <c r="H1686" s="6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</row>
    <row r="1687" ht="19.5" customHeight="1">
      <c r="A1687" s="8"/>
      <c r="B1687" s="13"/>
      <c r="C1687" s="8"/>
      <c r="D1687" s="14"/>
      <c r="E1687" s="3"/>
      <c r="F1687" s="10"/>
      <c r="G1687" s="11"/>
      <c r="H1687" s="6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</row>
    <row r="1688" ht="19.5" customHeight="1">
      <c r="A1688" s="8"/>
      <c r="B1688" s="13"/>
      <c r="C1688" s="8"/>
      <c r="D1688" s="14"/>
      <c r="E1688" s="3"/>
      <c r="F1688" s="10"/>
      <c r="G1688" s="11"/>
      <c r="H1688" s="6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</row>
    <row r="1689" ht="19.5" customHeight="1">
      <c r="A1689" s="8"/>
      <c r="B1689" s="13"/>
      <c r="C1689" s="8"/>
      <c r="D1689" s="14"/>
      <c r="E1689" s="3"/>
      <c r="F1689" s="10"/>
      <c r="G1689" s="11"/>
      <c r="H1689" s="6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</row>
    <row r="1690" ht="19.5" customHeight="1">
      <c r="A1690" s="8"/>
      <c r="B1690" s="13"/>
      <c r="C1690" s="8"/>
      <c r="D1690" s="14"/>
      <c r="E1690" s="3"/>
      <c r="F1690" s="10"/>
      <c r="G1690" s="11"/>
      <c r="H1690" s="6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</row>
    <row r="1691" ht="19.5" customHeight="1">
      <c r="A1691" s="8"/>
      <c r="B1691" s="13"/>
      <c r="C1691" s="8"/>
      <c r="D1691" s="14"/>
      <c r="E1691" s="3"/>
      <c r="F1691" s="10"/>
      <c r="G1691" s="11"/>
      <c r="H1691" s="6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</row>
    <row r="1692" ht="19.5" customHeight="1">
      <c r="A1692" s="8"/>
      <c r="B1692" s="13"/>
      <c r="C1692" s="8"/>
      <c r="D1692" s="14"/>
      <c r="E1692" s="3"/>
      <c r="F1692" s="10"/>
      <c r="G1692" s="11"/>
      <c r="H1692" s="6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</row>
    <row r="1693" ht="19.5" customHeight="1">
      <c r="A1693" s="8"/>
      <c r="B1693" s="13"/>
      <c r="C1693" s="8"/>
      <c r="D1693" s="14"/>
      <c r="E1693" s="3"/>
      <c r="F1693" s="10"/>
      <c r="G1693" s="11"/>
      <c r="H1693" s="6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</row>
    <row r="1694" ht="19.5" customHeight="1">
      <c r="A1694" s="8"/>
      <c r="B1694" s="13"/>
      <c r="C1694" s="8"/>
      <c r="D1694" s="14"/>
      <c r="E1694" s="3"/>
      <c r="F1694" s="10"/>
      <c r="G1694" s="11"/>
      <c r="H1694" s="6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</row>
    <row r="1695" ht="19.5" customHeight="1">
      <c r="A1695" s="8"/>
      <c r="B1695" s="13"/>
      <c r="C1695" s="8"/>
      <c r="D1695" s="14"/>
      <c r="E1695" s="3"/>
      <c r="F1695" s="10"/>
      <c r="G1695" s="11"/>
      <c r="H1695" s="6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</row>
    <row r="1696" ht="19.5" customHeight="1">
      <c r="A1696" s="8"/>
      <c r="B1696" s="13"/>
      <c r="C1696" s="8"/>
      <c r="D1696" s="14"/>
      <c r="E1696" s="3"/>
      <c r="F1696" s="10"/>
      <c r="G1696" s="11"/>
      <c r="H1696" s="6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</row>
    <row r="1697" ht="19.5" customHeight="1">
      <c r="A1697" s="8"/>
      <c r="B1697" s="13"/>
      <c r="C1697" s="8"/>
      <c r="D1697" s="14"/>
      <c r="E1697" s="3"/>
      <c r="F1697" s="10"/>
      <c r="G1697" s="11"/>
      <c r="H1697" s="6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</row>
    <row r="1698" ht="19.5" customHeight="1">
      <c r="A1698" s="8"/>
      <c r="B1698" s="13"/>
      <c r="C1698" s="8"/>
      <c r="D1698" s="14"/>
      <c r="E1698" s="3"/>
      <c r="F1698" s="10"/>
      <c r="G1698" s="11"/>
      <c r="H1698" s="6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</row>
    <row r="1699" ht="19.5" customHeight="1">
      <c r="A1699" s="8"/>
      <c r="B1699" s="13"/>
      <c r="C1699" s="8"/>
      <c r="D1699" s="14"/>
      <c r="E1699" s="3"/>
      <c r="F1699" s="10"/>
      <c r="G1699" s="11"/>
      <c r="H1699" s="6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</row>
    <row r="1700" ht="19.5" customHeight="1">
      <c r="A1700" s="8"/>
      <c r="B1700" s="13"/>
      <c r="C1700" s="8"/>
      <c r="D1700" s="14"/>
      <c r="E1700" s="3"/>
      <c r="F1700" s="10"/>
      <c r="G1700" s="11"/>
      <c r="H1700" s="6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</row>
    <row r="1701" ht="19.5" customHeight="1">
      <c r="A1701" s="8"/>
      <c r="B1701" s="13"/>
      <c r="C1701" s="8"/>
      <c r="D1701" s="14"/>
      <c r="E1701" s="3"/>
      <c r="F1701" s="10"/>
      <c r="G1701" s="11"/>
      <c r="H1701" s="6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</row>
    <row r="1702" ht="19.5" customHeight="1">
      <c r="A1702" s="8"/>
      <c r="B1702" s="13"/>
      <c r="C1702" s="8"/>
      <c r="D1702" s="14"/>
      <c r="E1702" s="3"/>
      <c r="F1702" s="10"/>
      <c r="G1702" s="11"/>
      <c r="H1702" s="6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</row>
    <row r="1703" ht="19.5" customHeight="1">
      <c r="A1703" s="8"/>
      <c r="B1703" s="13"/>
      <c r="C1703" s="8"/>
      <c r="D1703" s="14"/>
      <c r="E1703" s="3"/>
      <c r="F1703" s="10"/>
      <c r="G1703" s="11"/>
      <c r="H1703" s="6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</row>
    <row r="1704" ht="19.5" customHeight="1">
      <c r="A1704" s="8"/>
      <c r="B1704" s="13"/>
      <c r="C1704" s="8"/>
      <c r="D1704" s="14"/>
      <c r="E1704" s="3"/>
      <c r="F1704" s="10"/>
      <c r="G1704" s="11"/>
      <c r="H1704" s="6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</row>
    <row r="1705" ht="19.5" customHeight="1">
      <c r="A1705" s="8"/>
      <c r="B1705" s="13"/>
      <c r="C1705" s="8"/>
      <c r="D1705" s="14"/>
      <c r="E1705" s="3"/>
      <c r="F1705" s="10"/>
      <c r="G1705" s="11"/>
      <c r="H1705" s="6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</row>
    <row r="1706" ht="19.5" customHeight="1">
      <c r="A1706" s="8"/>
      <c r="B1706" s="13"/>
      <c r="C1706" s="8"/>
      <c r="D1706" s="14"/>
      <c r="E1706" s="3"/>
      <c r="F1706" s="10"/>
      <c r="G1706" s="11"/>
      <c r="H1706" s="6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</row>
    <row r="1707" ht="19.5" customHeight="1">
      <c r="A1707" s="8"/>
      <c r="B1707" s="13"/>
      <c r="C1707" s="8"/>
      <c r="D1707" s="14"/>
      <c r="E1707" s="3"/>
      <c r="F1707" s="10"/>
      <c r="G1707" s="11"/>
      <c r="H1707" s="6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</row>
    <row r="1708" ht="19.5" customHeight="1">
      <c r="A1708" s="8"/>
      <c r="B1708" s="13"/>
      <c r="C1708" s="8"/>
      <c r="D1708" s="14"/>
      <c r="E1708" s="3"/>
      <c r="F1708" s="10"/>
      <c r="G1708" s="11"/>
      <c r="H1708" s="6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</row>
    <row r="1709" ht="19.5" customHeight="1">
      <c r="A1709" s="8"/>
      <c r="B1709" s="13"/>
      <c r="C1709" s="8"/>
      <c r="D1709" s="14"/>
      <c r="E1709" s="3"/>
      <c r="F1709" s="10"/>
      <c r="G1709" s="11"/>
      <c r="H1709" s="6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</row>
    <row r="1710" ht="19.5" customHeight="1">
      <c r="A1710" s="8"/>
      <c r="B1710" s="13"/>
      <c r="C1710" s="8"/>
      <c r="D1710" s="14"/>
      <c r="E1710" s="3"/>
      <c r="F1710" s="10"/>
      <c r="G1710" s="11"/>
      <c r="H1710" s="6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</row>
    <row r="1711" ht="19.5" customHeight="1">
      <c r="A1711" s="8"/>
      <c r="B1711" s="13"/>
      <c r="C1711" s="8"/>
      <c r="D1711" s="14"/>
      <c r="E1711" s="3"/>
      <c r="F1711" s="10"/>
      <c r="G1711" s="11"/>
      <c r="H1711" s="6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</row>
    <row r="1712" ht="19.5" customHeight="1">
      <c r="A1712" s="8"/>
      <c r="B1712" s="13"/>
      <c r="C1712" s="8"/>
      <c r="D1712" s="14"/>
      <c r="E1712" s="3"/>
      <c r="F1712" s="10"/>
      <c r="G1712" s="11"/>
      <c r="H1712" s="6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</row>
    <row r="1713" ht="19.5" customHeight="1">
      <c r="A1713" s="8"/>
      <c r="B1713" s="13"/>
      <c r="C1713" s="8"/>
      <c r="D1713" s="14"/>
      <c r="E1713" s="3"/>
      <c r="F1713" s="10"/>
      <c r="G1713" s="11"/>
      <c r="H1713" s="6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</row>
    <row r="1714" ht="19.5" customHeight="1">
      <c r="A1714" s="8"/>
      <c r="B1714" s="13"/>
      <c r="C1714" s="8"/>
      <c r="D1714" s="14"/>
      <c r="E1714" s="3"/>
      <c r="F1714" s="10"/>
      <c r="G1714" s="11"/>
      <c r="H1714" s="6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</row>
    <row r="1715" ht="19.5" customHeight="1">
      <c r="A1715" s="8"/>
      <c r="B1715" s="13"/>
      <c r="C1715" s="8"/>
      <c r="D1715" s="14"/>
      <c r="E1715" s="3"/>
      <c r="F1715" s="10"/>
      <c r="G1715" s="11"/>
      <c r="H1715" s="6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</row>
    <row r="1716" ht="19.5" customHeight="1">
      <c r="A1716" s="8"/>
      <c r="B1716" s="13"/>
      <c r="C1716" s="8"/>
      <c r="D1716" s="14"/>
      <c r="E1716" s="3"/>
      <c r="F1716" s="10"/>
      <c r="G1716" s="11"/>
      <c r="H1716" s="6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</row>
    <row r="1717" ht="19.5" customHeight="1">
      <c r="A1717" s="8"/>
      <c r="B1717" s="13"/>
      <c r="C1717" s="8"/>
      <c r="D1717" s="14"/>
      <c r="E1717" s="3"/>
      <c r="F1717" s="10"/>
      <c r="G1717" s="11"/>
      <c r="H1717" s="6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</row>
    <row r="1718" ht="19.5" customHeight="1">
      <c r="A1718" s="8"/>
      <c r="B1718" s="13"/>
      <c r="C1718" s="8"/>
      <c r="D1718" s="14"/>
      <c r="E1718" s="3"/>
      <c r="F1718" s="10"/>
      <c r="G1718" s="11"/>
      <c r="H1718" s="6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</row>
    <row r="1719" ht="19.5" customHeight="1">
      <c r="A1719" s="8"/>
      <c r="B1719" s="13"/>
      <c r="C1719" s="8"/>
      <c r="D1719" s="14"/>
      <c r="E1719" s="3"/>
      <c r="F1719" s="10"/>
      <c r="G1719" s="11"/>
      <c r="H1719" s="6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</row>
    <row r="1720" ht="19.5" customHeight="1">
      <c r="A1720" s="8"/>
      <c r="B1720" s="13"/>
      <c r="C1720" s="8"/>
      <c r="D1720" s="14"/>
      <c r="E1720" s="3"/>
      <c r="F1720" s="10"/>
      <c r="G1720" s="11"/>
      <c r="H1720" s="6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</row>
    <row r="1721" ht="19.5" customHeight="1">
      <c r="A1721" s="8"/>
      <c r="B1721" s="13"/>
      <c r="C1721" s="8"/>
      <c r="D1721" s="14"/>
      <c r="E1721" s="3"/>
      <c r="F1721" s="10"/>
      <c r="G1721" s="11"/>
      <c r="H1721" s="6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</row>
    <row r="1722" ht="19.5" customHeight="1">
      <c r="A1722" s="8"/>
      <c r="B1722" s="13"/>
      <c r="C1722" s="8"/>
      <c r="D1722" s="14"/>
      <c r="E1722" s="3"/>
      <c r="F1722" s="10"/>
      <c r="G1722" s="11"/>
      <c r="H1722" s="6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</row>
    <row r="1723" ht="19.5" customHeight="1">
      <c r="A1723" s="8"/>
      <c r="B1723" s="13"/>
      <c r="C1723" s="8"/>
      <c r="D1723" s="14"/>
      <c r="E1723" s="3"/>
      <c r="F1723" s="10"/>
      <c r="G1723" s="11"/>
      <c r="H1723" s="6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</row>
    <row r="1724" ht="19.5" customHeight="1">
      <c r="A1724" s="8"/>
      <c r="B1724" s="13"/>
      <c r="C1724" s="8"/>
      <c r="D1724" s="14"/>
      <c r="E1724" s="3"/>
      <c r="F1724" s="10"/>
      <c r="G1724" s="11"/>
      <c r="H1724" s="6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</row>
    <row r="1725" ht="19.5" customHeight="1">
      <c r="A1725" s="8"/>
      <c r="B1725" s="13"/>
      <c r="C1725" s="8"/>
      <c r="D1725" s="14"/>
      <c r="E1725" s="3"/>
      <c r="F1725" s="10"/>
      <c r="G1725" s="11"/>
      <c r="H1725" s="6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</row>
    <row r="1726" ht="19.5" customHeight="1">
      <c r="A1726" s="8"/>
      <c r="B1726" s="13"/>
      <c r="C1726" s="8"/>
      <c r="D1726" s="14"/>
      <c r="E1726" s="3"/>
      <c r="F1726" s="10"/>
      <c r="G1726" s="11"/>
      <c r="H1726" s="6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</row>
    <row r="1727" ht="19.5" customHeight="1">
      <c r="A1727" s="8"/>
      <c r="B1727" s="13"/>
      <c r="C1727" s="8"/>
      <c r="D1727" s="14"/>
      <c r="E1727" s="3"/>
      <c r="F1727" s="10"/>
      <c r="G1727" s="11"/>
      <c r="H1727" s="6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</row>
    <row r="1728" ht="19.5" customHeight="1">
      <c r="A1728" s="8"/>
      <c r="B1728" s="13"/>
      <c r="C1728" s="8"/>
      <c r="D1728" s="14"/>
      <c r="E1728" s="3"/>
      <c r="F1728" s="10"/>
      <c r="G1728" s="11"/>
      <c r="H1728" s="6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</row>
    <row r="1729" ht="19.5" customHeight="1">
      <c r="A1729" s="8"/>
      <c r="B1729" s="13"/>
      <c r="C1729" s="8"/>
      <c r="D1729" s="14"/>
      <c r="E1729" s="3"/>
      <c r="F1729" s="10"/>
      <c r="G1729" s="11"/>
      <c r="H1729" s="6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</row>
    <row r="1730" ht="19.5" customHeight="1">
      <c r="A1730" s="8"/>
      <c r="B1730" s="13"/>
      <c r="C1730" s="8"/>
      <c r="D1730" s="14"/>
      <c r="E1730" s="3"/>
      <c r="F1730" s="10"/>
      <c r="G1730" s="11"/>
      <c r="H1730" s="6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</row>
    <row r="1731" ht="19.5" customHeight="1">
      <c r="A1731" s="8"/>
      <c r="B1731" s="13"/>
      <c r="C1731" s="8"/>
      <c r="D1731" s="14"/>
      <c r="E1731" s="3"/>
      <c r="F1731" s="10"/>
      <c r="G1731" s="11"/>
      <c r="H1731" s="6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</row>
    <row r="1732" ht="19.5" customHeight="1">
      <c r="A1732" s="8"/>
      <c r="B1732" s="13"/>
      <c r="C1732" s="8"/>
      <c r="D1732" s="14"/>
      <c r="E1732" s="3"/>
      <c r="F1732" s="10"/>
      <c r="G1732" s="11"/>
      <c r="H1732" s="6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</row>
    <row r="1733" ht="19.5" customHeight="1">
      <c r="A1733" s="8"/>
      <c r="B1733" s="13"/>
      <c r="C1733" s="8"/>
      <c r="D1733" s="14"/>
      <c r="E1733" s="3"/>
      <c r="F1733" s="10"/>
      <c r="G1733" s="11"/>
      <c r="H1733" s="6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</row>
    <row r="1734" ht="19.5" customHeight="1">
      <c r="A1734" s="8"/>
      <c r="B1734" s="13"/>
      <c r="C1734" s="8"/>
      <c r="D1734" s="14"/>
      <c r="E1734" s="3"/>
      <c r="F1734" s="10"/>
      <c r="G1734" s="11"/>
      <c r="H1734" s="6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</row>
    <row r="1735" ht="19.5" customHeight="1">
      <c r="A1735" s="8"/>
      <c r="B1735" s="13"/>
      <c r="C1735" s="8"/>
      <c r="D1735" s="14"/>
      <c r="E1735" s="3"/>
      <c r="F1735" s="10"/>
      <c r="G1735" s="11"/>
      <c r="H1735" s="6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</row>
    <row r="1736" ht="19.5" customHeight="1">
      <c r="A1736" s="8"/>
      <c r="B1736" s="13"/>
      <c r="C1736" s="8"/>
      <c r="D1736" s="14"/>
      <c r="E1736" s="3"/>
      <c r="F1736" s="10"/>
      <c r="G1736" s="11"/>
      <c r="H1736" s="6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</row>
    <row r="1737" ht="19.5" customHeight="1">
      <c r="A1737" s="8"/>
      <c r="B1737" s="13"/>
      <c r="C1737" s="8"/>
      <c r="D1737" s="14"/>
      <c r="E1737" s="3"/>
      <c r="F1737" s="10"/>
      <c r="G1737" s="11"/>
      <c r="H1737" s="6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</row>
    <row r="1738" ht="19.5" customHeight="1">
      <c r="A1738" s="8"/>
      <c r="B1738" s="13"/>
      <c r="C1738" s="8"/>
      <c r="D1738" s="14"/>
      <c r="E1738" s="3"/>
      <c r="F1738" s="10"/>
      <c r="G1738" s="11"/>
      <c r="H1738" s="6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</row>
    <row r="1739" ht="19.5" customHeight="1">
      <c r="A1739" s="8"/>
      <c r="B1739" s="13"/>
      <c r="C1739" s="8"/>
      <c r="D1739" s="14"/>
      <c r="E1739" s="3"/>
      <c r="F1739" s="10"/>
      <c r="G1739" s="11"/>
      <c r="H1739" s="6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</row>
    <row r="1740" ht="19.5" customHeight="1">
      <c r="A1740" s="8"/>
      <c r="B1740" s="13"/>
      <c r="C1740" s="8"/>
      <c r="D1740" s="14"/>
      <c r="E1740" s="3"/>
      <c r="F1740" s="10"/>
      <c r="G1740" s="11"/>
      <c r="H1740" s="6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</row>
    <row r="1741" ht="19.5" customHeight="1">
      <c r="A1741" s="8"/>
      <c r="B1741" s="13"/>
      <c r="C1741" s="8"/>
      <c r="D1741" s="14"/>
      <c r="E1741" s="3"/>
      <c r="F1741" s="10"/>
      <c r="G1741" s="11"/>
      <c r="H1741" s="6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</row>
    <row r="1742" ht="19.5" customHeight="1">
      <c r="A1742" s="8"/>
      <c r="B1742" s="13"/>
      <c r="C1742" s="8"/>
      <c r="D1742" s="14"/>
      <c r="E1742" s="3"/>
      <c r="F1742" s="10"/>
      <c r="G1742" s="11"/>
      <c r="H1742" s="6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</row>
    <row r="1743" ht="19.5" customHeight="1">
      <c r="A1743" s="8"/>
      <c r="B1743" s="13"/>
      <c r="C1743" s="8"/>
      <c r="D1743" s="14"/>
      <c r="E1743" s="3"/>
      <c r="F1743" s="10"/>
      <c r="G1743" s="11"/>
      <c r="H1743" s="6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</row>
    <row r="1744" ht="19.5" customHeight="1">
      <c r="A1744" s="8"/>
      <c r="B1744" s="13"/>
      <c r="C1744" s="8"/>
      <c r="D1744" s="14"/>
      <c r="E1744" s="3"/>
      <c r="F1744" s="10"/>
      <c r="G1744" s="11"/>
      <c r="H1744" s="6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</row>
    <row r="1745" ht="19.5" customHeight="1">
      <c r="A1745" s="8"/>
      <c r="B1745" s="13"/>
      <c r="C1745" s="8"/>
      <c r="D1745" s="14"/>
      <c r="E1745" s="3"/>
      <c r="F1745" s="10"/>
      <c r="G1745" s="11"/>
      <c r="H1745" s="6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</row>
    <row r="1746" ht="19.5" customHeight="1">
      <c r="A1746" s="8"/>
      <c r="B1746" s="13"/>
      <c r="C1746" s="8"/>
      <c r="D1746" s="14"/>
      <c r="E1746" s="3"/>
      <c r="F1746" s="10"/>
      <c r="G1746" s="11"/>
      <c r="H1746" s="6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</row>
    <row r="1747" ht="19.5" customHeight="1">
      <c r="A1747" s="8"/>
      <c r="B1747" s="13"/>
      <c r="C1747" s="8"/>
      <c r="D1747" s="14"/>
      <c r="E1747" s="3"/>
      <c r="F1747" s="10"/>
      <c r="G1747" s="11"/>
      <c r="H1747" s="6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</row>
    <row r="1748" ht="19.5" customHeight="1">
      <c r="A1748" s="8"/>
      <c r="B1748" s="13"/>
      <c r="C1748" s="8"/>
      <c r="D1748" s="14"/>
      <c r="E1748" s="3"/>
      <c r="F1748" s="10"/>
      <c r="G1748" s="11"/>
      <c r="H1748" s="6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</row>
    <row r="1749" ht="19.5" customHeight="1">
      <c r="A1749" s="8"/>
      <c r="B1749" s="13"/>
      <c r="C1749" s="8"/>
      <c r="D1749" s="14"/>
      <c r="E1749" s="3"/>
      <c r="F1749" s="10"/>
      <c r="G1749" s="11"/>
      <c r="H1749" s="6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</row>
    <row r="1750" ht="19.5" customHeight="1">
      <c r="A1750" s="8"/>
      <c r="B1750" s="13"/>
      <c r="C1750" s="8"/>
      <c r="D1750" s="14"/>
      <c r="E1750" s="3"/>
      <c r="F1750" s="10"/>
      <c r="G1750" s="11"/>
      <c r="H1750" s="6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</row>
    <row r="1751" ht="19.5" customHeight="1">
      <c r="A1751" s="8"/>
      <c r="B1751" s="13"/>
      <c r="C1751" s="8"/>
      <c r="D1751" s="14"/>
      <c r="E1751" s="3"/>
      <c r="F1751" s="10"/>
      <c r="G1751" s="11"/>
      <c r="H1751" s="6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</row>
    <row r="1752" ht="19.5" customHeight="1">
      <c r="A1752" s="8"/>
      <c r="B1752" s="13"/>
      <c r="C1752" s="8"/>
      <c r="D1752" s="14"/>
      <c r="E1752" s="3"/>
      <c r="F1752" s="10"/>
      <c r="G1752" s="11"/>
      <c r="H1752" s="6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</row>
    <row r="1753" ht="19.5" customHeight="1">
      <c r="A1753" s="8"/>
      <c r="B1753" s="13"/>
      <c r="C1753" s="8"/>
      <c r="D1753" s="14"/>
      <c r="E1753" s="3"/>
      <c r="F1753" s="10"/>
      <c r="G1753" s="11"/>
      <c r="H1753" s="6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</row>
    <row r="1754" ht="19.5" customHeight="1">
      <c r="A1754" s="8"/>
      <c r="B1754" s="13"/>
      <c r="C1754" s="8"/>
      <c r="D1754" s="14"/>
      <c r="E1754" s="3"/>
      <c r="F1754" s="10"/>
      <c r="G1754" s="11"/>
      <c r="H1754" s="6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</row>
    <row r="1755" ht="19.5" customHeight="1">
      <c r="A1755" s="8"/>
      <c r="B1755" s="13"/>
      <c r="C1755" s="8"/>
      <c r="D1755" s="14"/>
      <c r="E1755" s="3"/>
      <c r="F1755" s="10"/>
      <c r="G1755" s="11"/>
      <c r="H1755" s="6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</row>
    <row r="1756" ht="19.5" customHeight="1">
      <c r="A1756" s="8"/>
      <c r="B1756" s="13"/>
      <c r="C1756" s="8"/>
      <c r="D1756" s="14"/>
      <c r="E1756" s="3"/>
      <c r="F1756" s="10"/>
      <c r="G1756" s="11"/>
      <c r="H1756" s="6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</row>
    <row r="1757" ht="19.5" customHeight="1">
      <c r="A1757" s="8"/>
      <c r="B1757" s="13"/>
      <c r="C1757" s="8"/>
      <c r="D1757" s="14"/>
      <c r="E1757" s="3"/>
      <c r="F1757" s="10"/>
      <c r="G1757" s="11"/>
      <c r="H1757" s="6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</row>
    <row r="1758" ht="19.5" customHeight="1">
      <c r="A1758" s="8"/>
      <c r="B1758" s="13"/>
      <c r="C1758" s="8"/>
      <c r="D1758" s="14"/>
      <c r="E1758" s="3"/>
      <c r="F1758" s="10"/>
      <c r="G1758" s="11"/>
      <c r="H1758" s="6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</row>
    <row r="1759" ht="19.5" customHeight="1">
      <c r="A1759" s="8"/>
      <c r="B1759" s="13"/>
      <c r="C1759" s="8"/>
      <c r="D1759" s="14"/>
      <c r="E1759" s="3"/>
      <c r="F1759" s="10"/>
      <c r="G1759" s="11"/>
      <c r="H1759" s="6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</row>
    <row r="1760" ht="19.5" customHeight="1">
      <c r="A1760" s="8"/>
      <c r="B1760" s="13"/>
      <c r="C1760" s="8"/>
      <c r="D1760" s="14"/>
      <c r="E1760" s="3"/>
      <c r="F1760" s="10"/>
      <c r="G1760" s="11"/>
      <c r="H1760" s="6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</row>
    <row r="1761" ht="19.5" customHeight="1">
      <c r="A1761" s="8"/>
      <c r="B1761" s="13"/>
      <c r="C1761" s="8"/>
      <c r="D1761" s="14"/>
      <c r="E1761" s="3"/>
      <c r="F1761" s="10"/>
      <c r="G1761" s="11"/>
      <c r="H1761" s="6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</row>
    <row r="1762" ht="19.5" customHeight="1">
      <c r="A1762" s="8"/>
      <c r="B1762" s="13"/>
      <c r="C1762" s="8"/>
      <c r="D1762" s="14"/>
      <c r="E1762" s="3"/>
      <c r="F1762" s="10"/>
      <c r="G1762" s="11"/>
      <c r="H1762" s="6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</row>
    <row r="1763" ht="19.5" customHeight="1">
      <c r="A1763" s="8"/>
      <c r="B1763" s="13"/>
      <c r="C1763" s="8"/>
      <c r="D1763" s="14"/>
      <c r="E1763" s="3"/>
      <c r="F1763" s="10"/>
      <c r="G1763" s="11"/>
      <c r="H1763" s="6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</row>
    <row r="1764" ht="19.5" customHeight="1">
      <c r="A1764" s="8"/>
      <c r="B1764" s="13"/>
      <c r="C1764" s="8"/>
      <c r="D1764" s="14"/>
      <c r="E1764" s="3"/>
      <c r="F1764" s="10"/>
      <c r="G1764" s="11"/>
      <c r="H1764" s="6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</row>
    <row r="1765" ht="19.5" customHeight="1">
      <c r="A1765" s="8"/>
      <c r="B1765" s="13"/>
      <c r="C1765" s="8"/>
      <c r="D1765" s="14"/>
      <c r="E1765" s="3"/>
      <c r="F1765" s="10"/>
      <c r="G1765" s="11"/>
      <c r="H1765" s="6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</row>
    <row r="1766" ht="19.5" customHeight="1">
      <c r="A1766" s="8"/>
      <c r="B1766" s="13"/>
      <c r="C1766" s="8"/>
      <c r="D1766" s="14"/>
      <c r="E1766" s="3"/>
      <c r="F1766" s="10"/>
      <c r="G1766" s="11"/>
      <c r="H1766" s="6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</row>
    <row r="1767" ht="19.5" customHeight="1">
      <c r="A1767" s="8"/>
      <c r="B1767" s="13"/>
      <c r="C1767" s="8"/>
      <c r="D1767" s="14"/>
      <c r="E1767" s="3"/>
      <c r="F1767" s="10"/>
      <c r="G1767" s="11"/>
      <c r="H1767" s="6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</row>
    <row r="1768" ht="19.5" customHeight="1">
      <c r="A1768" s="8"/>
      <c r="B1768" s="13"/>
      <c r="C1768" s="8"/>
      <c r="D1768" s="14"/>
      <c r="E1768" s="3"/>
      <c r="F1768" s="10"/>
      <c r="G1768" s="11"/>
      <c r="H1768" s="6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</row>
    <row r="1769" ht="19.5" customHeight="1">
      <c r="A1769" s="8"/>
      <c r="B1769" s="13"/>
      <c r="C1769" s="8"/>
      <c r="D1769" s="14"/>
      <c r="E1769" s="3"/>
      <c r="F1769" s="10"/>
      <c r="G1769" s="11"/>
      <c r="H1769" s="6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</row>
    <row r="1770" ht="19.5" customHeight="1">
      <c r="A1770" s="8"/>
      <c r="B1770" s="13"/>
      <c r="C1770" s="8"/>
      <c r="D1770" s="14"/>
      <c r="E1770" s="3"/>
      <c r="F1770" s="10"/>
      <c r="G1770" s="11"/>
      <c r="H1770" s="6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</row>
    <row r="1771" ht="19.5" customHeight="1">
      <c r="A1771" s="8"/>
      <c r="B1771" s="13"/>
      <c r="C1771" s="8"/>
      <c r="D1771" s="14"/>
      <c r="E1771" s="3"/>
      <c r="F1771" s="10"/>
      <c r="G1771" s="11"/>
      <c r="H1771" s="6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</row>
    <row r="1772" ht="19.5" customHeight="1">
      <c r="A1772" s="8"/>
      <c r="B1772" s="13"/>
      <c r="C1772" s="8"/>
      <c r="D1772" s="14"/>
      <c r="E1772" s="3"/>
      <c r="F1772" s="10"/>
      <c r="G1772" s="11"/>
      <c r="H1772" s="6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</row>
    <row r="1773" ht="19.5" customHeight="1">
      <c r="A1773" s="8"/>
      <c r="B1773" s="13"/>
      <c r="C1773" s="8"/>
      <c r="D1773" s="14"/>
      <c r="E1773" s="3"/>
      <c r="F1773" s="10"/>
      <c r="G1773" s="11"/>
      <c r="H1773" s="6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</row>
    <row r="1774" ht="19.5" customHeight="1">
      <c r="A1774" s="8"/>
      <c r="B1774" s="13"/>
      <c r="C1774" s="8"/>
      <c r="D1774" s="14"/>
      <c r="E1774" s="3"/>
      <c r="F1774" s="10"/>
      <c r="G1774" s="11"/>
      <c r="H1774" s="6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</row>
    <row r="1775" ht="19.5" customHeight="1">
      <c r="A1775" s="8"/>
      <c r="B1775" s="13"/>
      <c r="C1775" s="8"/>
      <c r="D1775" s="14"/>
      <c r="E1775" s="3"/>
      <c r="F1775" s="10"/>
      <c r="G1775" s="11"/>
      <c r="H1775" s="6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</row>
    <row r="1776" ht="19.5" customHeight="1">
      <c r="A1776" s="8"/>
      <c r="B1776" s="13"/>
      <c r="C1776" s="8"/>
      <c r="D1776" s="14"/>
      <c r="E1776" s="3"/>
      <c r="F1776" s="10"/>
      <c r="G1776" s="11"/>
      <c r="H1776" s="6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</row>
    <row r="1777" ht="19.5" customHeight="1">
      <c r="A1777" s="8"/>
      <c r="B1777" s="13"/>
      <c r="C1777" s="8"/>
      <c r="D1777" s="14"/>
      <c r="E1777" s="3"/>
      <c r="F1777" s="10"/>
      <c r="G1777" s="11"/>
      <c r="H1777" s="6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</row>
    <row r="1778" ht="19.5" customHeight="1">
      <c r="A1778" s="8"/>
      <c r="B1778" s="13"/>
      <c r="C1778" s="8"/>
      <c r="D1778" s="14"/>
      <c r="E1778" s="3"/>
      <c r="F1778" s="10"/>
      <c r="G1778" s="11"/>
      <c r="H1778" s="6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</row>
    <row r="1779" ht="19.5" customHeight="1">
      <c r="A1779" s="8"/>
      <c r="B1779" s="13"/>
      <c r="C1779" s="8"/>
      <c r="D1779" s="14"/>
      <c r="E1779" s="3"/>
      <c r="F1779" s="10"/>
      <c r="G1779" s="11"/>
      <c r="H1779" s="6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</row>
    <row r="1780" ht="19.5" customHeight="1">
      <c r="A1780" s="8"/>
      <c r="B1780" s="13"/>
      <c r="C1780" s="8"/>
      <c r="D1780" s="14"/>
      <c r="E1780" s="3"/>
      <c r="F1780" s="10"/>
      <c r="G1780" s="11"/>
      <c r="H1780" s="6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</row>
    <row r="1781" ht="19.5" customHeight="1">
      <c r="A1781" s="8"/>
      <c r="B1781" s="13"/>
      <c r="C1781" s="8"/>
      <c r="D1781" s="14"/>
      <c r="E1781" s="3"/>
      <c r="F1781" s="10"/>
      <c r="G1781" s="11"/>
      <c r="H1781" s="6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</row>
    <row r="1782" ht="19.5" customHeight="1">
      <c r="A1782" s="8"/>
      <c r="B1782" s="13"/>
      <c r="C1782" s="8"/>
      <c r="D1782" s="14"/>
      <c r="E1782" s="3"/>
      <c r="F1782" s="10"/>
      <c r="G1782" s="11"/>
      <c r="H1782" s="6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</row>
    <row r="1783" ht="19.5" customHeight="1">
      <c r="A1783" s="8"/>
      <c r="B1783" s="13"/>
      <c r="C1783" s="8"/>
      <c r="D1783" s="14"/>
      <c r="E1783" s="3"/>
      <c r="F1783" s="10"/>
      <c r="G1783" s="11"/>
      <c r="H1783" s="6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</row>
    <row r="1784" ht="19.5" customHeight="1">
      <c r="A1784" s="8"/>
      <c r="B1784" s="13"/>
      <c r="C1784" s="8"/>
      <c r="D1784" s="14"/>
      <c r="E1784" s="3"/>
      <c r="F1784" s="10"/>
      <c r="G1784" s="11"/>
      <c r="H1784" s="6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</row>
    <row r="1785" ht="19.5" customHeight="1">
      <c r="A1785" s="8"/>
      <c r="B1785" s="13"/>
      <c r="C1785" s="8"/>
      <c r="D1785" s="14"/>
      <c r="E1785" s="3"/>
      <c r="F1785" s="10"/>
      <c r="G1785" s="11"/>
      <c r="H1785" s="6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</row>
    <row r="1786" ht="19.5" customHeight="1">
      <c r="A1786" s="8"/>
      <c r="B1786" s="13"/>
      <c r="C1786" s="8"/>
      <c r="D1786" s="14"/>
      <c r="E1786" s="3"/>
      <c r="F1786" s="10"/>
      <c r="G1786" s="11"/>
      <c r="H1786" s="6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</row>
    <row r="1787" ht="19.5" customHeight="1">
      <c r="A1787" s="8"/>
      <c r="B1787" s="13"/>
      <c r="C1787" s="8"/>
      <c r="D1787" s="14"/>
      <c r="E1787" s="3"/>
      <c r="F1787" s="10"/>
      <c r="G1787" s="11"/>
      <c r="H1787" s="6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</row>
    <row r="1788" ht="19.5" customHeight="1">
      <c r="A1788" s="8"/>
      <c r="B1788" s="13"/>
      <c r="C1788" s="8"/>
      <c r="D1788" s="14"/>
      <c r="E1788" s="3"/>
      <c r="F1788" s="10"/>
      <c r="G1788" s="11"/>
      <c r="H1788" s="6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</row>
    <row r="1789" ht="19.5" customHeight="1">
      <c r="A1789" s="8"/>
      <c r="B1789" s="13"/>
      <c r="C1789" s="8"/>
      <c r="D1789" s="14"/>
      <c r="E1789" s="3"/>
      <c r="F1789" s="10"/>
      <c r="G1789" s="11"/>
      <c r="H1789" s="6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</row>
    <row r="1790" ht="19.5" customHeight="1">
      <c r="A1790" s="8"/>
      <c r="B1790" s="13"/>
      <c r="C1790" s="8"/>
      <c r="D1790" s="14"/>
      <c r="E1790" s="3"/>
      <c r="F1790" s="10"/>
      <c r="G1790" s="11"/>
      <c r="H1790" s="6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</row>
    <row r="1791" ht="19.5" customHeight="1">
      <c r="A1791" s="8"/>
      <c r="B1791" s="13"/>
      <c r="C1791" s="8"/>
      <c r="D1791" s="14"/>
      <c r="E1791" s="3"/>
      <c r="F1791" s="10"/>
      <c r="G1791" s="11"/>
      <c r="H1791" s="6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</row>
    <row r="1792" ht="19.5" customHeight="1">
      <c r="A1792" s="8"/>
      <c r="B1792" s="13"/>
      <c r="C1792" s="8"/>
      <c r="D1792" s="14"/>
      <c r="E1792" s="3"/>
      <c r="F1792" s="10"/>
      <c r="G1792" s="11"/>
      <c r="H1792" s="6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</row>
    <row r="1793" ht="19.5" customHeight="1">
      <c r="A1793" s="8"/>
      <c r="B1793" s="13"/>
      <c r="C1793" s="8"/>
      <c r="D1793" s="14"/>
      <c r="E1793" s="3"/>
      <c r="F1793" s="10"/>
      <c r="G1793" s="11"/>
      <c r="H1793" s="6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</row>
    <row r="1794" ht="19.5" customHeight="1">
      <c r="A1794" s="8"/>
      <c r="B1794" s="13"/>
      <c r="C1794" s="8"/>
      <c r="D1794" s="14"/>
      <c r="E1794" s="3"/>
      <c r="F1794" s="10"/>
      <c r="G1794" s="11"/>
      <c r="H1794" s="6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</row>
    <row r="1795" ht="19.5" customHeight="1">
      <c r="A1795" s="8"/>
      <c r="B1795" s="13"/>
      <c r="C1795" s="8"/>
      <c r="D1795" s="14"/>
      <c r="E1795" s="3"/>
      <c r="F1795" s="10"/>
      <c r="G1795" s="11"/>
      <c r="H1795" s="6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</row>
    <row r="1796" ht="19.5" customHeight="1">
      <c r="A1796" s="8"/>
      <c r="B1796" s="13"/>
      <c r="C1796" s="8"/>
      <c r="D1796" s="14"/>
      <c r="E1796" s="3"/>
      <c r="F1796" s="10"/>
      <c r="G1796" s="11"/>
      <c r="H1796" s="6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</row>
    <row r="1797" ht="19.5" customHeight="1">
      <c r="A1797" s="8"/>
      <c r="B1797" s="13"/>
      <c r="C1797" s="8"/>
      <c r="D1797" s="14"/>
      <c r="E1797" s="3"/>
      <c r="F1797" s="10"/>
      <c r="G1797" s="11"/>
      <c r="H1797" s="6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</row>
    <row r="1798" ht="19.5" customHeight="1">
      <c r="A1798" s="8"/>
      <c r="B1798" s="13"/>
      <c r="C1798" s="8"/>
      <c r="D1798" s="14"/>
      <c r="E1798" s="3"/>
      <c r="F1798" s="10"/>
      <c r="G1798" s="11"/>
      <c r="H1798" s="6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</row>
    <row r="1799" ht="19.5" customHeight="1">
      <c r="A1799" s="8"/>
      <c r="B1799" s="13"/>
      <c r="C1799" s="8"/>
      <c r="D1799" s="14"/>
      <c r="E1799" s="3"/>
      <c r="F1799" s="10"/>
      <c r="G1799" s="11"/>
      <c r="H1799" s="6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</row>
    <row r="1800" ht="19.5" customHeight="1">
      <c r="A1800" s="8"/>
      <c r="B1800" s="13"/>
      <c r="C1800" s="8"/>
      <c r="D1800" s="14"/>
      <c r="E1800" s="3"/>
      <c r="F1800" s="10"/>
      <c r="G1800" s="11"/>
      <c r="H1800" s="6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</row>
    <row r="1801" ht="19.5" customHeight="1">
      <c r="A1801" s="8"/>
      <c r="B1801" s="13"/>
      <c r="C1801" s="8"/>
      <c r="D1801" s="14"/>
      <c r="E1801" s="3"/>
      <c r="F1801" s="10"/>
      <c r="G1801" s="11"/>
      <c r="H1801" s="6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</row>
    <row r="1802" ht="19.5" customHeight="1">
      <c r="A1802" s="8"/>
      <c r="B1802" s="13"/>
      <c r="C1802" s="8"/>
      <c r="D1802" s="14"/>
      <c r="E1802" s="3"/>
      <c r="F1802" s="10"/>
      <c r="G1802" s="11"/>
      <c r="H1802" s="6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</row>
    <row r="1803" ht="19.5" customHeight="1">
      <c r="A1803" s="8"/>
      <c r="B1803" s="13"/>
      <c r="C1803" s="8"/>
      <c r="D1803" s="14"/>
      <c r="E1803" s="3"/>
      <c r="F1803" s="10"/>
      <c r="G1803" s="11"/>
      <c r="H1803" s="6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</row>
    <row r="1804" ht="19.5" customHeight="1">
      <c r="A1804" s="8"/>
      <c r="B1804" s="13"/>
      <c r="C1804" s="8"/>
      <c r="D1804" s="14"/>
      <c r="E1804" s="3"/>
      <c r="F1804" s="10"/>
      <c r="G1804" s="11"/>
      <c r="H1804" s="6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</row>
    <row r="1805" ht="19.5" customHeight="1">
      <c r="A1805" s="8"/>
      <c r="B1805" s="13"/>
      <c r="C1805" s="8"/>
      <c r="D1805" s="14"/>
      <c r="E1805" s="3"/>
      <c r="F1805" s="10"/>
      <c r="G1805" s="11"/>
      <c r="H1805" s="6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</row>
    <row r="1806" ht="19.5" customHeight="1">
      <c r="A1806" s="8"/>
      <c r="B1806" s="13"/>
      <c r="C1806" s="8"/>
      <c r="D1806" s="14"/>
      <c r="E1806" s="3"/>
      <c r="F1806" s="10"/>
      <c r="G1806" s="11"/>
      <c r="H1806" s="6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</row>
    <row r="1807" ht="19.5" customHeight="1">
      <c r="A1807" s="8"/>
      <c r="B1807" s="13"/>
      <c r="C1807" s="8"/>
      <c r="D1807" s="14"/>
      <c r="E1807" s="3"/>
      <c r="F1807" s="10"/>
      <c r="G1807" s="11"/>
      <c r="H1807" s="6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</row>
    <row r="1808" ht="19.5" customHeight="1">
      <c r="A1808" s="8"/>
      <c r="B1808" s="13"/>
      <c r="C1808" s="8"/>
      <c r="D1808" s="14"/>
      <c r="E1808" s="3"/>
      <c r="F1808" s="10"/>
      <c r="G1808" s="11"/>
      <c r="H1808" s="6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</row>
    <row r="1809" ht="19.5" customHeight="1">
      <c r="A1809" s="8"/>
      <c r="B1809" s="13"/>
      <c r="C1809" s="8"/>
      <c r="D1809" s="14"/>
      <c r="E1809" s="3"/>
      <c r="F1809" s="10"/>
      <c r="G1809" s="11"/>
      <c r="H1809" s="6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</row>
    <row r="1810" ht="19.5" customHeight="1">
      <c r="A1810" s="8"/>
      <c r="B1810" s="13"/>
      <c r="C1810" s="8"/>
      <c r="D1810" s="14"/>
      <c r="E1810" s="3"/>
      <c r="F1810" s="10"/>
      <c r="G1810" s="11"/>
      <c r="H1810" s="6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</row>
    <row r="1811" ht="19.5" customHeight="1">
      <c r="A1811" s="8"/>
      <c r="B1811" s="13"/>
      <c r="C1811" s="8"/>
      <c r="D1811" s="14"/>
      <c r="E1811" s="3"/>
      <c r="F1811" s="10"/>
      <c r="G1811" s="11"/>
      <c r="H1811" s="6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</row>
    <row r="1812" ht="19.5" customHeight="1">
      <c r="A1812" s="8"/>
      <c r="B1812" s="13"/>
      <c r="C1812" s="8"/>
      <c r="D1812" s="14"/>
      <c r="E1812" s="3"/>
      <c r="F1812" s="10"/>
      <c r="G1812" s="11"/>
      <c r="H1812" s="6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</row>
    <row r="1813" ht="19.5" customHeight="1">
      <c r="A1813" s="8"/>
      <c r="B1813" s="13"/>
      <c r="C1813" s="8"/>
      <c r="D1813" s="14"/>
      <c r="E1813" s="3"/>
      <c r="F1813" s="10"/>
      <c r="G1813" s="11"/>
      <c r="H1813" s="6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</row>
    <row r="1814" ht="19.5" customHeight="1">
      <c r="A1814" s="8"/>
      <c r="B1814" s="13"/>
      <c r="C1814" s="8"/>
      <c r="D1814" s="14"/>
      <c r="E1814" s="3"/>
      <c r="F1814" s="10"/>
      <c r="G1814" s="11"/>
      <c r="H1814" s="6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</row>
    <row r="1815" ht="19.5" customHeight="1">
      <c r="A1815" s="8"/>
      <c r="B1815" s="13"/>
      <c r="C1815" s="8"/>
      <c r="D1815" s="14"/>
      <c r="E1815" s="3"/>
      <c r="F1815" s="10"/>
      <c r="G1815" s="11"/>
      <c r="H1815" s="6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</row>
    <row r="1816" ht="19.5" customHeight="1">
      <c r="A1816" s="8"/>
      <c r="B1816" s="13"/>
      <c r="C1816" s="8"/>
      <c r="D1816" s="14"/>
      <c r="E1816" s="3"/>
      <c r="F1816" s="10"/>
      <c r="G1816" s="11"/>
      <c r="H1816" s="6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</row>
    <row r="1817" ht="19.5" customHeight="1">
      <c r="A1817" s="8"/>
      <c r="B1817" s="13"/>
      <c r="C1817" s="8"/>
      <c r="D1817" s="14"/>
      <c r="E1817" s="3"/>
      <c r="F1817" s="10"/>
      <c r="G1817" s="11"/>
      <c r="H1817" s="6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</row>
    <row r="1818" ht="19.5" customHeight="1">
      <c r="A1818" s="8"/>
      <c r="B1818" s="13"/>
      <c r="C1818" s="8"/>
      <c r="D1818" s="14"/>
      <c r="E1818" s="3"/>
      <c r="F1818" s="10"/>
      <c r="G1818" s="11"/>
      <c r="H1818" s="6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</row>
    <row r="1819" ht="19.5" customHeight="1">
      <c r="A1819" s="8"/>
      <c r="B1819" s="13"/>
      <c r="C1819" s="8"/>
      <c r="D1819" s="14"/>
      <c r="E1819" s="3"/>
      <c r="F1819" s="10"/>
      <c r="G1819" s="11"/>
      <c r="H1819" s="6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</row>
    <row r="1820" ht="19.5" customHeight="1">
      <c r="A1820" s="8"/>
      <c r="B1820" s="13"/>
      <c r="C1820" s="8"/>
      <c r="D1820" s="14"/>
      <c r="E1820" s="3"/>
      <c r="F1820" s="10"/>
      <c r="G1820" s="11"/>
      <c r="H1820" s="6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</row>
    <row r="1821" ht="19.5" customHeight="1">
      <c r="A1821" s="8"/>
      <c r="B1821" s="13"/>
      <c r="C1821" s="8"/>
      <c r="D1821" s="14"/>
      <c r="E1821" s="3"/>
      <c r="F1821" s="10"/>
      <c r="G1821" s="11"/>
      <c r="H1821" s="6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</row>
    <row r="1822" ht="19.5" customHeight="1">
      <c r="A1822" s="8"/>
      <c r="B1822" s="13"/>
      <c r="C1822" s="8"/>
      <c r="D1822" s="14"/>
      <c r="E1822" s="3"/>
      <c r="F1822" s="10"/>
      <c r="G1822" s="11"/>
      <c r="H1822" s="6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</row>
    <row r="1823" ht="19.5" customHeight="1">
      <c r="A1823" s="8"/>
      <c r="B1823" s="13"/>
      <c r="C1823" s="8"/>
      <c r="D1823" s="14"/>
      <c r="E1823" s="3"/>
      <c r="F1823" s="10"/>
      <c r="G1823" s="11"/>
      <c r="H1823" s="6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</row>
    <row r="1824" ht="19.5" customHeight="1">
      <c r="A1824" s="8"/>
      <c r="B1824" s="13"/>
      <c r="C1824" s="8"/>
      <c r="D1824" s="14"/>
      <c r="E1824" s="3"/>
      <c r="F1824" s="10"/>
      <c r="G1824" s="11"/>
      <c r="H1824" s="6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</row>
    <row r="1825" ht="19.5" customHeight="1">
      <c r="A1825" s="8"/>
      <c r="B1825" s="13"/>
      <c r="C1825" s="8"/>
      <c r="D1825" s="14"/>
      <c r="E1825" s="3"/>
      <c r="F1825" s="10"/>
      <c r="G1825" s="11"/>
      <c r="H1825" s="6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</row>
    <row r="1826" ht="19.5" customHeight="1">
      <c r="A1826" s="8"/>
      <c r="B1826" s="13"/>
      <c r="C1826" s="8"/>
      <c r="D1826" s="14"/>
      <c r="E1826" s="3"/>
      <c r="F1826" s="10"/>
      <c r="G1826" s="11"/>
      <c r="H1826" s="6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</row>
    <row r="1827" ht="19.5" customHeight="1">
      <c r="A1827" s="8"/>
      <c r="B1827" s="13"/>
      <c r="C1827" s="8"/>
      <c r="D1827" s="14"/>
      <c r="E1827" s="3"/>
      <c r="F1827" s="10"/>
      <c r="G1827" s="11"/>
      <c r="H1827" s="6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</row>
    <row r="1828" ht="19.5" customHeight="1">
      <c r="A1828" s="8"/>
      <c r="B1828" s="13"/>
      <c r="C1828" s="8"/>
      <c r="D1828" s="14"/>
      <c r="E1828" s="3"/>
      <c r="F1828" s="10"/>
      <c r="G1828" s="11"/>
      <c r="H1828" s="6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</row>
    <row r="1829" ht="19.5" customHeight="1">
      <c r="A1829" s="8"/>
      <c r="B1829" s="13"/>
      <c r="C1829" s="8"/>
      <c r="D1829" s="14"/>
      <c r="E1829" s="3"/>
      <c r="F1829" s="10"/>
      <c r="G1829" s="11"/>
      <c r="H1829" s="6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</row>
    <row r="1830" ht="19.5" customHeight="1">
      <c r="A1830" s="8"/>
      <c r="B1830" s="13"/>
      <c r="C1830" s="8"/>
      <c r="D1830" s="14"/>
      <c r="E1830" s="3"/>
      <c r="F1830" s="10"/>
      <c r="G1830" s="11"/>
      <c r="H1830" s="6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</row>
    <row r="1831" ht="19.5" customHeight="1">
      <c r="A1831" s="8"/>
      <c r="B1831" s="13"/>
      <c r="C1831" s="8"/>
      <c r="D1831" s="14"/>
      <c r="E1831" s="3"/>
      <c r="F1831" s="10"/>
      <c r="G1831" s="11"/>
      <c r="H1831" s="6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</row>
    <row r="1832" ht="19.5" customHeight="1">
      <c r="A1832" s="8"/>
      <c r="B1832" s="13"/>
      <c r="C1832" s="8"/>
      <c r="D1832" s="14"/>
      <c r="E1832" s="3"/>
      <c r="F1832" s="10"/>
      <c r="G1832" s="11"/>
      <c r="H1832" s="6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</row>
    <row r="1833" ht="19.5" customHeight="1">
      <c r="A1833" s="8"/>
      <c r="B1833" s="13"/>
      <c r="C1833" s="8"/>
      <c r="D1833" s="14"/>
      <c r="E1833" s="3"/>
      <c r="F1833" s="10"/>
      <c r="G1833" s="11"/>
      <c r="H1833" s="6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</row>
    <row r="1834" ht="19.5" customHeight="1">
      <c r="A1834" s="8"/>
      <c r="B1834" s="13"/>
      <c r="C1834" s="8"/>
      <c r="D1834" s="14"/>
      <c r="E1834" s="3"/>
      <c r="F1834" s="10"/>
      <c r="G1834" s="11"/>
      <c r="H1834" s="6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</row>
    <row r="1835" ht="19.5" customHeight="1">
      <c r="A1835" s="8"/>
      <c r="B1835" s="13"/>
      <c r="C1835" s="8"/>
      <c r="D1835" s="14"/>
      <c r="E1835" s="3"/>
      <c r="F1835" s="10"/>
      <c r="G1835" s="11"/>
      <c r="H1835" s="6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</row>
    <row r="1836" ht="19.5" customHeight="1">
      <c r="A1836" s="8"/>
      <c r="B1836" s="13"/>
      <c r="C1836" s="8"/>
      <c r="D1836" s="14"/>
      <c r="E1836" s="3"/>
      <c r="F1836" s="10"/>
      <c r="G1836" s="11"/>
      <c r="H1836" s="6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</row>
    <row r="1837" ht="19.5" customHeight="1">
      <c r="A1837" s="8"/>
      <c r="B1837" s="13"/>
      <c r="C1837" s="8"/>
      <c r="D1837" s="14"/>
      <c r="E1837" s="3"/>
      <c r="F1837" s="10"/>
      <c r="G1837" s="11"/>
      <c r="H1837" s="6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</row>
    <row r="1838" ht="19.5" customHeight="1">
      <c r="A1838" s="8"/>
      <c r="B1838" s="13"/>
      <c r="C1838" s="8"/>
      <c r="D1838" s="14"/>
      <c r="E1838" s="3"/>
      <c r="F1838" s="10"/>
      <c r="G1838" s="11"/>
      <c r="H1838" s="6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</row>
    <row r="1839" ht="19.5" customHeight="1">
      <c r="A1839" s="8"/>
      <c r="B1839" s="13"/>
      <c r="C1839" s="8"/>
      <c r="D1839" s="14"/>
      <c r="E1839" s="3"/>
      <c r="F1839" s="10"/>
      <c r="G1839" s="11"/>
      <c r="H1839" s="6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</row>
    <row r="1840" ht="19.5" customHeight="1">
      <c r="A1840" s="8"/>
      <c r="B1840" s="13"/>
      <c r="C1840" s="8"/>
      <c r="D1840" s="14"/>
      <c r="E1840" s="3"/>
      <c r="F1840" s="10"/>
      <c r="G1840" s="11"/>
      <c r="H1840" s="6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</row>
    <row r="1841" ht="19.5" customHeight="1">
      <c r="A1841" s="8"/>
      <c r="B1841" s="13"/>
      <c r="C1841" s="8"/>
      <c r="D1841" s="14"/>
      <c r="E1841" s="3"/>
      <c r="F1841" s="10"/>
      <c r="G1841" s="11"/>
      <c r="H1841" s="6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</row>
    <row r="1842" ht="19.5" customHeight="1">
      <c r="A1842" s="8"/>
      <c r="B1842" s="13"/>
      <c r="C1842" s="8"/>
      <c r="D1842" s="14"/>
      <c r="E1842" s="3"/>
      <c r="F1842" s="10"/>
      <c r="G1842" s="11"/>
      <c r="H1842" s="6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</row>
    <row r="1843" ht="19.5" customHeight="1">
      <c r="A1843" s="8"/>
      <c r="B1843" s="13"/>
      <c r="C1843" s="8"/>
      <c r="D1843" s="14"/>
      <c r="E1843" s="3"/>
      <c r="F1843" s="10"/>
      <c r="G1843" s="11"/>
      <c r="H1843" s="6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</row>
    <row r="1844" ht="19.5" customHeight="1">
      <c r="A1844" s="8"/>
      <c r="B1844" s="13"/>
      <c r="C1844" s="8"/>
      <c r="D1844" s="14"/>
      <c r="E1844" s="3"/>
      <c r="F1844" s="10"/>
      <c r="G1844" s="11"/>
      <c r="H1844" s="6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</row>
    <row r="1845" ht="19.5" customHeight="1">
      <c r="A1845" s="8"/>
      <c r="B1845" s="13"/>
      <c r="C1845" s="8"/>
      <c r="D1845" s="14"/>
      <c r="E1845" s="3"/>
      <c r="F1845" s="10"/>
      <c r="G1845" s="11"/>
      <c r="H1845" s="6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</row>
    <row r="1846" ht="19.5" customHeight="1">
      <c r="A1846" s="8"/>
      <c r="B1846" s="13"/>
      <c r="C1846" s="8"/>
      <c r="D1846" s="14"/>
      <c r="E1846" s="3"/>
      <c r="F1846" s="10"/>
      <c r="G1846" s="11"/>
      <c r="H1846" s="6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</row>
    <row r="1847" ht="19.5" customHeight="1">
      <c r="A1847" s="8"/>
      <c r="B1847" s="13"/>
      <c r="C1847" s="8"/>
      <c r="D1847" s="14"/>
      <c r="E1847" s="3"/>
      <c r="F1847" s="10"/>
      <c r="G1847" s="11"/>
      <c r="H1847" s="6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</row>
    <row r="1848" ht="19.5" customHeight="1">
      <c r="A1848" s="8"/>
      <c r="B1848" s="13"/>
      <c r="C1848" s="8"/>
      <c r="D1848" s="14"/>
      <c r="E1848" s="3"/>
      <c r="F1848" s="10"/>
      <c r="G1848" s="11"/>
      <c r="H1848" s="6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</row>
    <row r="1849" ht="19.5" customHeight="1">
      <c r="A1849" s="8"/>
      <c r="B1849" s="13"/>
      <c r="C1849" s="8"/>
      <c r="D1849" s="14"/>
      <c r="E1849" s="3"/>
      <c r="F1849" s="10"/>
      <c r="G1849" s="11"/>
      <c r="H1849" s="6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</row>
    <row r="1850" ht="19.5" customHeight="1">
      <c r="A1850" s="8"/>
      <c r="B1850" s="13"/>
      <c r="C1850" s="8"/>
      <c r="D1850" s="14"/>
      <c r="E1850" s="3"/>
      <c r="F1850" s="10"/>
      <c r="G1850" s="11"/>
      <c r="H1850" s="6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</row>
    <row r="1851" ht="19.5" customHeight="1">
      <c r="A1851" s="8"/>
      <c r="B1851" s="13"/>
      <c r="C1851" s="8"/>
      <c r="D1851" s="14"/>
      <c r="E1851" s="3"/>
      <c r="F1851" s="10"/>
      <c r="G1851" s="11"/>
      <c r="H1851" s="6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</row>
    <row r="1852" ht="19.5" customHeight="1">
      <c r="A1852" s="8"/>
      <c r="B1852" s="13"/>
      <c r="C1852" s="8"/>
      <c r="D1852" s="14"/>
      <c r="E1852" s="3"/>
      <c r="F1852" s="10"/>
      <c r="G1852" s="11"/>
      <c r="H1852" s="6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</row>
    <row r="1853" ht="19.5" customHeight="1">
      <c r="A1853" s="8"/>
      <c r="B1853" s="13"/>
      <c r="C1853" s="8"/>
      <c r="D1853" s="14"/>
      <c r="E1853" s="3"/>
      <c r="F1853" s="10"/>
      <c r="G1853" s="11"/>
      <c r="H1853" s="6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</row>
    <row r="1854" ht="19.5" customHeight="1">
      <c r="A1854" s="8"/>
      <c r="B1854" s="13"/>
      <c r="C1854" s="8"/>
      <c r="D1854" s="14"/>
      <c r="E1854" s="3"/>
      <c r="F1854" s="10"/>
      <c r="G1854" s="11"/>
      <c r="H1854" s="6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</row>
    <row r="1855" ht="19.5" customHeight="1">
      <c r="A1855" s="8"/>
      <c r="B1855" s="13"/>
      <c r="C1855" s="8"/>
      <c r="D1855" s="14"/>
      <c r="E1855" s="3"/>
      <c r="F1855" s="10"/>
      <c r="G1855" s="11"/>
      <c r="H1855" s="6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</row>
    <row r="1856" ht="19.5" customHeight="1">
      <c r="A1856" s="8"/>
      <c r="B1856" s="13"/>
      <c r="C1856" s="8"/>
      <c r="D1856" s="14"/>
      <c r="E1856" s="3"/>
      <c r="F1856" s="10"/>
      <c r="G1856" s="11"/>
      <c r="H1856" s="6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</row>
    <row r="1857" ht="19.5" customHeight="1">
      <c r="A1857" s="8"/>
      <c r="B1857" s="13"/>
      <c r="C1857" s="8"/>
      <c r="D1857" s="14"/>
      <c r="E1857" s="3"/>
      <c r="F1857" s="10"/>
      <c r="G1857" s="11"/>
      <c r="H1857" s="6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</row>
    <row r="1858" ht="19.5" customHeight="1">
      <c r="A1858" s="8"/>
      <c r="B1858" s="13"/>
      <c r="C1858" s="8"/>
      <c r="D1858" s="14"/>
      <c r="E1858" s="3"/>
      <c r="F1858" s="10"/>
      <c r="G1858" s="11"/>
      <c r="H1858" s="6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</row>
    <row r="1859" ht="19.5" customHeight="1">
      <c r="A1859" s="8"/>
      <c r="B1859" s="13"/>
      <c r="C1859" s="8"/>
      <c r="D1859" s="14"/>
      <c r="E1859" s="3"/>
      <c r="F1859" s="10"/>
      <c r="G1859" s="11"/>
      <c r="H1859" s="6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</row>
    <row r="1860" ht="19.5" customHeight="1">
      <c r="A1860" s="8"/>
      <c r="B1860" s="13"/>
      <c r="C1860" s="8"/>
      <c r="D1860" s="14"/>
      <c r="E1860" s="3"/>
      <c r="F1860" s="10"/>
      <c r="G1860" s="11"/>
      <c r="H1860" s="6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</row>
    <row r="1861" ht="19.5" customHeight="1">
      <c r="A1861" s="8"/>
      <c r="B1861" s="13"/>
      <c r="C1861" s="8"/>
      <c r="D1861" s="14"/>
      <c r="E1861" s="3"/>
      <c r="F1861" s="10"/>
      <c r="G1861" s="11"/>
      <c r="H1861" s="6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</row>
    <row r="1862" ht="19.5" customHeight="1">
      <c r="A1862" s="8"/>
      <c r="B1862" s="13"/>
      <c r="C1862" s="8"/>
      <c r="D1862" s="14"/>
      <c r="E1862" s="3"/>
      <c r="F1862" s="10"/>
      <c r="G1862" s="11"/>
      <c r="H1862" s="6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</row>
    <row r="1863" ht="19.5" customHeight="1">
      <c r="A1863" s="8"/>
      <c r="B1863" s="13"/>
      <c r="C1863" s="8"/>
      <c r="D1863" s="14"/>
      <c r="E1863" s="3"/>
      <c r="F1863" s="10"/>
      <c r="G1863" s="11"/>
      <c r="H1863" s="6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</row>
    <row r="1864" ht="19.5" customHeight="1">
      <c r="A1864" s="8"/>
      <c r="B1864" s="13"/>
      <c r="C1864" s="8"/>
      <c r="D1864" s="14"/>
      <c r="E1864" s="3"/>
      <c r="F1864" s="10"/>
      <c r="G1864" s="11"/>
      <c r="H1864" s="6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</row>
    <row r="1865" ht="19.5" customHeight="1">
      <c r="A1865" s="8"/>
      <c r="B1865" s="13"/>
      <c r="C1865" s="8"/>
      <c r="D1865" s="14"/>
      <c r="E1865" s="3"/>
      <c r="F1865" s="10"/>
      <c r="G1865" s="11"/>
      <c r="H1865" s="6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</row>
    <row r="1866" ht="19.5" customHeight="1">
      <c r="A1866" s="8"/>
      <c r="B1866" s="13"/>
      <c r="C1866" s="8"/>
      <c r="D1866" s="14"/>
      <c r="E1866" s="3"/>
      <c r="F1866" s="10"/>
      <c r="G1866" s="11"/>
      <c r="H1866" s="6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</row>
    <row r="1867" ht="19.5" customHeight="1">
      <c r="A1867" s="8"/>
      <c r="B1867" s="13"/>
      <c r="C1867" s="8"/>
      <c r="D1867" s="14"/>
      <c r="E1867" s="3"/>
      <c r="F1867" s="10"/>
      <c r="G1867" s="11"/>
      <c r="H1867" s="6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</row>
    <row r="1868" ht="19.5" customHeight="1">
      <c r="A1868" s="8"/>
      <c r="B1868" s="13"/>
      <c r="C1868" s="8"/>
      <c r="D1868" s="14"/>
      <c r="E1868" s="3"/>
      <c r="F1868" s="10"/>
      <c r="G1868" s="11"/>
      <c r="H1868" s="6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</row>
    <row r="1869" ht="19.5" customHeight="1">
      <c r="A1869" s="8"/>
      <c r="B1869" s="13"/>
      <c r="C1869" s="8"/>
      <c r="D1869" s="14"/>
      <c r="E1869" s="3"/>
      <c r="F1869" s="10"/>
      <c r="G1869" s="11"/>
      <c r="H1869" s="6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</row>
    <row r="1870" ht="19.5" customHeight="1">
      <c r="A1870" s="8"/>
      <c r="B1870" s="13"/>
      <c r="C1870" s="8"/>
      <c r="D1870" s="14"/>
      <c r="E1870" s="3"/>
      <c r="F1870" s="10"/>
      <c r="G1870" s="11"/>
      <c r="H1870" s="6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</row>
    <row r="1871" ht="19.5" customHeight="1">
      <c r="A1871" s="8"/>
      <c r="B1871" s="13"/>
      <c r="C1871" s="8"/>
      <c r="D1871" s="14"/>
      <c r="E1871" s="3"/>
      <c r="F1871" s="10"/>
      <c r="G1871" s="11"/>
      <c r="H1871" s="6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</row>
    <row r="1872" ht="19.5" customHeight="1">
      <c r="A1872" s="8"/>
      <c r="B1872" s="13"/>
      <c r="C1872" s="8"/>
      <c r="D1872" s="14"/>
      <c r="E1872" s="3"/>
      <c r="F1872" s="10"/>
      <c r="G1872" s="11"/>
      <c r="H1872" s="6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</row>
    <row r="1873" ht="19.5" customHeight="1">
      <c r="A1873" s="8"/>
      <c r="B1873" s="13"/>
      <c r="C1873" s="8"/>
      <c r="D1873" s="14"/>
      <c r="E1873" s="3"/>
      <c r="F1873" s="10"/>
      <c r="G1873" s="11"/>
      <c r="H1873" s="6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</row>
    <row r="1874" ht="19.5" customHeight="1">
      <c r="A1874" s="8"/>
      <c r="B1874" s="13"/>
      <c r="C1874" s="8"/>
      <c r="D1874" s="14"/>
      <c r="E1874" s="3"/>
      <c r="F1874" s="10"/>
      <c r="G1874" s="11"/>
      <c r="H1874" s="6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</row>
    <row r="1875" ht="19.5" customHeight="1">
      <c r="A1875" s="8"/>
      <c r="B1875" s="13"/>
      <c r="C1875" s="8"/>
      <c r="D1875" s="14"/>
      <c r="E1875" s="3"/>
      <c r="F1875" s="10"/>
      <c r="G1875" s="11"/>
      <c r="H1875" s="6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</row>
    <row r="1876" ht="19.5" customHeight="1">
      <c r="A1876" s="8"/>
      <c r="B1876" s="13"/>
      <c r="C1876" s="8"/>
      <c r="D1876" s="14"/>
      <c r="E1876" s="3"/>
      <c r="F1876" s="10"/>
      <c r="G1876" s="11"/>
      <c r="H1876" s="6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</row>
    <row r="1877" ht="19.5" customHeight="1">
      <c r="A1877" s="8"/>
      <c r="B1877" s="13"/>
      <c r="C1877" s="8"/>
      <c r="D1877" s="14"/>
      <c r="E1877" s="3"/>
      <c r="F1877" s="10"/>
      <c r="G1877" s="11"/>
      <c r="H1877" s="6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</row>
    <row r="1878" ht="19.5" customHeight="1">
      <c r="A1878" s="8"/>
      <c r="B1878" s="13"/>
      <c r="C1878" s="8"/>
      <c r="D1878" s="14"/>
      <c r="E1878" s="3"/>
      <c r="F1878" s="10"/>
      <c r="G1878" s="11"/>
      <c r="H1878" s="6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</row>
    <row r="1879" ht="19.5" customHeight="1">
      <c r="A1879" s="8"/>
      <c r="B1879" s="13"/>
      <c r="C1879" s="8"/>
      <c r="D1879" s="14"/>
      <c r="E1879" s="3"/>
      <c r="F1879" s="10"/>
      <c r="G1879" s="11"/>
      <c r="H1879" s="6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</row>
    <row r="1880" ht="19.5" customHeight="1">
      <c r="A1880" s="8"/>
      <c r="B1880" s="13"/>
      <c r="C1880" s="8"/>
      <c r="D1880" s="14"/>
      <c r="E1880" s="3"/>
      <c r="F1880" s="10"/>
      <c r="G1880" s="11"/>
      <c r="H1880" s="6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</row>
    <row r="1881" ht="19.5" customHeight="1">
      <c r="A1881" s="8"/>
      <c r="B1881" s="13"/>
      <c r="C1881" s="8"/>
      <c r="D1881" s="14"/>
      <c r="E1881" s="3"/>
      <c r="F1881" s="10"/>
      <c r="G1881" s="11"/>
      <c r="H1881" s="6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</row>
    <row r="1882" ht="19.5" customHeight="1">
      <c r="A1882" s="8"/>
      <c r="B1882" s="13"/>
      <c r="C1882" s="8"/>
      <c r="D1882" s="14"/>
      <c r="E1882" s="3"/>
      <c r="F1882" s="10"/>
      <c r="G1882" s="11"/>
      <c r="H1882" s="6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</row>
    <row r="1883" ht="19.5" customHeight="1">
      <c r="A1883" s="8"/>
      <c r="B1883" s="13"/>
      <c r="C1883" s="8"/>
      <c r="D1883" s="14"/>
      <c r="E1883" s="3"/>
      <c r="F1883" s="10"/>
      <c r="G1883" s="11"/>
      <c r="H1883" s="6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</row>
    <row r="1884" ht="19.5" customHeight="1">
      <c r="A1884" s="8"/>
      <c r="B1884" s="13"/>
      <c r="C1884" s="8"/>
      <c r="D1884" s="14"/>
      <c r="E1884" s="3"/>
      <c r="F1884" s="10"/>
      <c r="G1884" s="11"/>
      <c r="H1884" s="6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</row>
    <row r="1885" ht="19.5" customHeight="1">
      <c r="A1885" s="8"/>
      <c r="B1885" s="13"/>
      <c r="C1885" s="8"/>
      <c r="D1885" s="14"/>
      <c r="E1885" s="3"/>
      <c r="F1885" s="10"/>
      <c r="G1885" s="11"/>
      <c r="H1885" s="6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</row>
    <row r="1886" ht="19.5" customHeight="1">
      <c r="A1886" s="8"/>
      <c r="B1886" s="13"/>
      <c r="C1886" s="8"/>
      <c r="D1886" s="14"/>
      <c r="E1886" s="3"/>
      <c r="F1886" s="10"/>
      <c r="G1886" s="11"/>
      <c r="H1886" s="6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</row>
    <row r="1887" ht="19.5" customHeight="1">
      <c r="A1887" s="8"/>
      <c r="B1887" s="13"/>
      <c r="C1887" s="8"/>
      <c r="D1887" s="14"/>
      <c r="E1887" s="3"/>
      <c r="F1887" s="10"/>
      <c r="G1887" s="11"/>
      <c r="H1887" s="6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</row>
    <row r="1888" ht="19.5" customHeight="1">
      <c r="A1888" s="8"/>
      <c r="B1888" s="13"/>
      <c r="C1888" s="8"/>
      <c r="D1888" s="14"/>
      <c r="E1888" s="3"/>
      <c r="F1888" s="10"/>
      <c r="G1888" s="11"/>
      <c r="H1888" s="6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</row>
    <row r="1889" ht="19.5" customHeight="1">
      <c r="A1889" s="8"/>
      <c r="B1889" s="13"/>
      <c r="C1889" s="8"/>
      <c r="D1889" s="14"/>
      <c r="E1889" s="3"/>
      <c r="F1889" s="10"/>
      <c r="G1889" s="11"/>
      <c r="H1889" s="6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</row>
    <row r="1890" ht="19.5" customHeight="1">
      <c r="A1890" s="8"/>
      <c r="B1890" s="13"/>
      <c r="C1890" s="8"/>
      <c r="D1890" s="14"/>
      <c r="E1890" s="3"/>
      <c r="F1890" s="10"/>
      <c r="G1890" s="11"/>
      <c r="H1890" s="6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</row>
    <row r="1891" ht="19.5" customHeight="1">
      <c r="A1891" s="8"/>
      <c r="B1891" s="13"/>
      <c r="C1891" s="8"/>
      <c r="D1891" s="14"/>
      <c r="E1891" s="3"/>
      <c r="F1891" s="10"/>
      <c r="G1891" s="11"/>
      <c r="H1891" s="6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</row>
    <row r="1892" ht="19.5" customHeight="1">
      <c r="A1892" s="8"/>
      <c r="B1892" s="13"/>
      <c r="C1892" s="8"/>
      <c r="D1892" s="14"/>
      <c r="E1892" s="3"/>
      <c r="F1892" s="10"/>
      <c r="G1892" s="11"/>
      <c r="H1892" s="6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</row>
    <row r="1893" ht="19.5" customHeight="1">
      <c r="A1893" s="8"/>
      <c r="B1893" s="13"/>
      <c r="C1893" s="8"/>
      <c r="D1893" s="14"/>
      <c r="E1893" s="3"/>
      <c r="F1893" s="10"/>
      <c r="G1893" s="11"/>
      <c r="H1893" s="6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</row>
    <row r="1894" ht="19.5" customHeight="1">
      <c r="A1894" s="8"/>
      <c r="B1894" s="13"/>
      <c r="C1894" s="8"/>
      <c r="D1894" s="14"/>
      <c r="E1894" s="3"/>
      <c r="F1894" s="10"/>
      <c r="G1894" s="11"/>
      <c r="H1894" s="6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</row>
    <row r="1895" ht="19.5" customHeight="1">
      <c r="A1895" s="8"/>
      <c r="B1895" s="13"/>
      <c r="C1895" s="8"/>
      <c r="D1895" s="14"/>
      <c r="E1895" s="3"/>
      <c r="F1895" s="10"/>
      <c r="G1895" s="11"/>
      <c r="H1895" s="6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</row>
    <row r="1896" ht="19.5" customHeight="1">
      <c r="A1896" s="8"/>
      <c r="B1896" s="13"/>
      <c r="C1896" s="8"/>
      <c r="D1896" s="14"/>
      <c r="E1896" s="3"/>
      <c r="F1896" s="10"/>
      <c r="G1896" s="11"/>
      <c r="H1896" s="6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</row>
    <row r="1897" ht="19.5" customHeight="1">
      <c r="A1897" s="8"/>
      <c r="B1897" s="13"/>
      <c r="C1897" s="8"/>
      <c r="D1897" s="14"/>
      <c r="E1897" s="3"/>
      <c r="F1897" s="10"/>
      <c r="G1897" s="11"/>
      <c r="H1897" s="6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</row>
    <row r="1898" ht="19.5" customHeight="1">
      <c r="A1898" s="8"/>
      <c r="B1898" s="13"/>
      <c r="C1898" s="8"/>
      <c r="D1898" s="14"/>
      <c r="E1898" s="3"/>
      <c r="F1898" s="10"/>
      <c r="G1898" s="11"/>
      <c r="H1898" s="6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</row>
    <row r="1899" ht="19.5" customHeight="1">
      <c r="A1899" s="8"/>
      <c r="B1899" s="13"/>
      <c r="C1899" s="8"/>
      <c r="D1899" s="14"/>
      <c r="E1899" s="3"/>
      <c r="F1899" s="10"/>
      <c r="G1899" s="11"/>
      <c r="H1899" s="6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</row>
    <row r="1900" ht="19.5" customHeight="1">
      <c r="A1900" s="8"/>
      <c r="B1900" s="13"/>
      <c r="C1900" s="8"/>
      <c r="D1900" s="14"/>
      <c r="E1900" s="3"/>
      <c r="F1900" s="10"/>
      <c r="G1900" s="11"/>
      <c r="H1900" s="6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</row>
    <row r="1901" ht="19.5" customHeight="1">
      <c r="A1901" s="8"/>
      <c r="B1901" s="13"/>
      <c r="C1901" s="8"/>
      <c r="D1901" s="14"/>
      <c r="E1901" s="3"/>
      <c r="F1901" s="10"/>
      <c r="G1901" s="11"/>
      <c r="H1901" s="6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</row>
    <row r="1902" ht="19.5" customHeight="1">
      <c r="A1902" s="8"/>
      <c r="B1902" s="13"/>
      <c r="C1902" s="8"/>
      <c r="D1902" s="14"/>
      <c r="E1902" s="3"/>
      <c r="F1902" s="10"/>
      <c r="G1902" s="11"/>
      <c r="H1902" s="6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</row>
    <row r="1903" ht="19.5" customHeight="1">
      <c r="A1903" s="8"/>
      <c r="B1903" s="13"/>
      <c r="C1903" s="8"/>
      <c r="D1903" s="14"/>
      <c r="E1903" s="3"/>
      <c r="F1903" s="10"/>
      <c r="G1903" s="11"/>
      <c r="H1903" s="6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</row>
    <row r="1904" ht="19.5" customHeight="1">
      <c r="A1904" s="8"/>
      <c r="B1904" s="13"/>
      <c r="C1904" s="8"/>
      <c r="D1904" s="14"/>
      <c r="E1904" s="3"/>
      <c r="F1904" s="10"/>
      <c r="G1904" s="11"/>
      <c r="H1904" s="6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</row>
    <row r="1905" ht="19.5" customHeight="1">
      <c r="A1905" s="8"/>
      <c r="B1905" s="13"/>
      <c r="C1905" s="8"/>
      <c r="D1905" s="14"/>
      <c r="E1905" s="3"/>
      <c r="F1905" s="10"/>
      <c r="G1905" s="11"/>
      <c r="H1905" s="6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</row>
    <row r="1906" ht="19.5" customHeight="1">
      <c r="A1906" s="8"/>
      <c r="B1906" s="13"/>
      <c r="C1906" s="8"/>
      <c r="D1906" s="14"/>
      <c r="E1906" s="3"/>
      <c r="F1906" s="10"/>
      <c r="G1906" s="11"/>
      <c r="H1906" s="6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</row>
    <row r="1907" ht="19.5" customHeight="1">
      <c r="A1907" s="8"/>
      <c r="B1907" s="13"/>
      <c r="C1907" s="8"/>
      <c r="D1907" s="14"/>
      <c r="E1907" s="3"/>
      <c r="F1907" s="10"/>
      <c r="G1907" s="11"/>
      <c r="H1907" s="6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</row>
    <row r="1908" ht="19.5" customHeight="1">
      <c r="A1908" s="8"/>
      <c r="B1908" s="13"/>
      <c r="C1908" s="8"/>
      <c r="D1908" s="14"/>
      <c r="E1908" s="3"/>
      <c r="F1908" s="10"/>
      <c r="G1908" s="11"/>
      <c r="H1908" s="6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</row>
    <row r="1909" ht="19.5" customHeight="1">
      <c r="A1909" s="8"/>
      <c r="B1909" s="13"/>
      <c r="C1909" s="8"/>
      <c r="D1909" s="14"/>
      <c r="E1909" s="3"/>
      <c r="F1909" s="10"/>
      <c r="G1909" s="11"/>
      <c r="H1909" s="6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</row>
    <row r="1910" ht="19.5" customHeight="1">
      <c r="A1910" s="8"/>
      <c r="B1910" s="13"/>
      <c r="C1910" s="8"/>
      <c r="D1910" s="14"/>
      <c r="E1910" s="3"/>
      <c r="F1910" s="10"/>
      <c r="G1910" s="11"/>
      <c r="H1910" s="6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</row>
    <row r="1911" ht="19.5" customHeight="1">
      <c r="A1911" s="8"/>
      <c r="B1911" s="13"/>
      <c r="C1911" s="8"/>
      <c r="D1911" s="14"/>
      <c r="E1911" s="3"/>
      <c r="F1911" s="10"/>
      <c r="G1911" s="11"/>
      <c r="H1911" s="6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</row>
    <row r="1912" ht="19.5" customHeight="1">
      <c r="A1912" s="8"/>
      <c r="B1912" s="13"/>
      <c r="C1912" s="8"/>
      <c r="D1912" s="14"/>
      <c r="E1912" s="3"/>
      <c r="F1912" s="10"/>
      <c r="G1912" s="11"/>
      <c r="H1912" s="6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</row>
    <row r="1913" ht="19.5" customHeight="1">
      <c r="A1913" s="8"/>
      <c r="B1913" s="13"/>
      <c r="C1913" s="8"/>
      <c r="D1913" s="14"/>
      <c r="E1913" s="3"/>
      <c r="F1913" s="10"/>
      <c r="G1913" s="11"/>
      <c r="H1913" s="6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</row>
    <row r="1914" ht="19.5" customHeight="1">
      <c r="A1914" s="8"/>
      <c r="B1914" s="13"/>
      <c r="C1914" s="8"/>
      <c r="D1914" s="14"/>
      <c r="E1914" s="3"/>
      <c r="F1914" s="10"/>
      <c r="G1914" s="11"/>
      <c r="H1914" s="6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</row>
    <row r="1915" ht="19.5" customHeight="1">
      <c r="A1915" s="8"/>
      <c r="B1915" s="13"/>
      <c r="C1915" s="8"/>
      <c r="D1915" s="14"/>
      <c r="E1915" s="3"/>
      <c r="F1915" s="10"/>
      <c r="G1915" s="11"/>
      <c r="H1915" s="6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</row>
    <row r="1916" ht="19.5" customHeight="1">
      <c r="A1916" s="8"/>
      <c r="B1916" s="13"/>
      <c r="C1916" s="8"/>
      <c r="D1916" s="14"/>
      <c r="E1916" s="3"/>
      <c r="F1916" s="10"/>
      <c r="G1916" s="11"/>
      <c r="H1916" s="6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</row>
    <row r="1917" ht="19.5" customHeight="1">
      <c r="A1917" s="8"/>
      <c r="B1917" s="13"/>
      <c r="C1917" s="8"/>
      <c r="D1917" s="14"/>
      <c r="E1917" s="3"/>
      <c r="F1917" s="10"/>
      <c r="G1917" s="11"/>
      <c r="H1917" s="6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</row>
    <row r="1918" ht="19.5" customHeight="1">
      <c r="A1918" s="8"/>
      <c r="B1918" s="13"/>
      <c r="C1918" s="8"/>
      <c r="D1918" s="14"/>
      <c r="E1918" s="3"/>
      <c r="F1918" s="10"/>
      <c r="G1918" s="11"/>
      <c r="H1918" s="6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</row>
    <row r="1919" ht="19.5" customHeight="1">
      <c r="A1919" s="8"/>
      <c r="B1919" s="13"/>
      <c r="C1919" s="8"/>
      <c r="D1919" s="14"/>
      <c r="E1919" s="3"/>
      <c r="F1919" s="10"/>
      <c r="G1919" s="11"/>
      <c r="H1919" s="6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</row>
    <row r="1920" ht="19.5" customHeight="1">
      <c r="A1920" s="8"/>
      <c r="B1920" s="13"/>
      <c r="C1920" s="8"/>
      <c r="D1920" s="14"/>
      <c r="E1920" s="3"/>
      <c r="F1920" s="10"/>
      <c r="G1920" s="11"/>
      <c r="H1920" s="6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</row>
    <row r="1921" ht="19.5" customHeight="1">
      <c r="A1921" s="8"/>
      <c r="B1921" s="13"/>
      <c r="C1921" s="8"/>
      <c r="D1921" s="14"/>
      <c r="E1921" s="3"/>
      <c r="F1921" s="10"/>
      <c r="G1921" s="11"/>
      <c r="H1921" s="6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</row>
    <row r="1922" ht="19.5" customHeight="1">
      <c r="A1922" s="8"/>
      <c r="B1922" s="13"/>
      <c r="C1922" s="8"/>
      <c r="D1922" s="14"/>
      <c r="E1922" s="3"/>
      <c r="F1922" s="10"/>
      <c r="G1922" s="11"/>
      <c r="H1922" s="6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</row>
    <row r="1923" ht="19.5" customHeight="1">
      <c r="A1923" s="8"/>
      <c r="B1923" s="13"/>
      <c r="C1923" s="8"/>
      <c r="D1923" s="14"/>
      <c r="E1923" s="3"/>
      <c r="F1923" s="10"/>
      <c r="G1923" s="11"/>
      <c r="H1923" s="6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</row>
    <row r="1924" ht="19.5" customHeight="1">
      <c r="A1924" s="8"/>
      <c r="B1924" s="13"/>
      <c r="C1924" s="8"/>
      <c r="D1924" s="14"/>
      <c r="E1924" s="3"/>
      <c r="F1924" s="10"/>
      <c r="G1924" s="11"/>
      <c r="H1924" s="6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</row>
    <row r="1925" ht="19.5" customHeight="1">
      <c r="A1925" s="8"/>
      <c r="B1925" s="13"/>
      <c r="C1925" s="8"/>
      <c r="D1925" s="14"/>
      <c r="E1925" s="3"/>
      <c r="F1925" s="10"/>
      <c r="G1925" s="11"/>
      <c r="H1925" s="6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</row>
    <row r="1926" ht="19.5" customHeight="1">
      <c r="A1926" s="8"/>
      <c r="B1926" s="13"/>
      <c r="C1926" s="8"/>
      <c r="D1926" s="14"/>
      <c r="E1926" s="3"/>
      <c r="F1926" s="10"/>
      <c r="G1926" s="11"/>
      <c r="H1926" s="6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</row>
    <row r="1927" ht="19.5" customHeight="1">
      <c r="A1927" s="8"/>
      <c r="B1927" s="13"/>
      <c r="C1927" s="8"/>
      <c r="D1927" s="14"/>
      <c r="E1927" s="3"/>
      <c r="F1927" s="10"/>
      <c r="G1927" s="11"/>
      <c r="H1927" s="6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</row>
    <row r="1928" ht="19.5" customHeight="1">
      <c r="A1928" s="8"/>
      <c r="B1928" s="13"/>
      <c r="C1928" s="8"/>
      <c r="D1928" s="14"/>
      <c r="E1928" s="3"/>
      <c r="F1928" s="10"/>
      <c r="G1928" s="11"/>
      <c r="H1928" s="6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</row>
    <row r="1929" ht="19.5" customHeight="1">
      <c r="A1929" s="8"/>
      <c r="B1929" s="13"/>
      <c r="C1929" s="8"/>
      <c r="D1929" s="14"/>
      <c r="E1929" s="3"/>
      <c r="F1929" s="10"/>
      <c r="G1929" s="11"/>
      <c r="H1929" s="6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</row>
    <row r="1930" ht="19.5" customHeight="1">
      <c r="A1930" s="8"/>
      <c r="B1930" s="13"/>
      <c r="C1930" s="8"/>
      <c r="D1930" s="14"/>
      <c r="E1930" s="3"/>
      <c r="F1930" s="10"/>
      <c r="G1930" s="11"/>
      <c r="H1930" s="6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</row>
    <row r="1931" ht="19.5" customHeight="1">
      <c r="A1931" s="8"/>
      <c r="B1931" s="13"/>
      <c r="C1931" s="8"/>
      <c r="D1931" s="14"/>
      <c r="E1931" s="3"/>
      <c r="F1931" s="10"/>
      <c r="G1931" s="11"/>
      <c r="H1931" s="6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</row>
    <row r="1932" ht="19.5" customHeight="1">
      <c r="A1932" s="8"/>
      <c r="B1932" s="13"/>
      <c r="C1932" s="8"/>
      <c r="D1932" s="14"/>
      <c r="E1932" s="3"/>
      <c r="F1932" s="10"/>
      <c r="G1932" s="11"/>
      <c r="H1932" s="6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</row>
    <row r="1933" ht="19.5" customHeight="1">
      <c r="A1933" s="8"/>
      <c r="B1933" s="13"/>
      <c r="C1933" s="8"/>
      <c r="D1933" s="14"/>
      <c r="E1933" s="3"/>
      <c r="F1933" s="10"/>
      <c r="G1933" s="11"/>
      <c r="H1933" s="6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</row>
    <row r="1934" ht="19.5" customHeight="1">
      <c r="A1934" s="8"/>
      <c r="B1934" s="13"/>
      <c r="C1934" s="8"/>
      <c r="D1934" s="14"/>
      <c r="E1934" s="3"/>
      <c r="F1934" s="10"/>
      <c r="G1934" s="11"/>
      <c r="H1934" s="6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</row>
    <row r="1935" ht="19.5" customHeight="1">
      <c r="A1935" s="8"/>
      <c r="B1935" s="13"/>
      <c r="C1935" s="8"/>
      <c r="D1935" s="14"/>
      <c r="E1935" s="3"/>
      <c r="F1935" s="10"/>
      <c r="G1935" s="11"/>
      <c r="H1935" s="6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</row>
    <row r="1936" ht="19.5" customHeight="1">
      <c r="A1936" s="8"/>
      <c r="B1936" s="13"/>
      <c r="C1936" s="8"/>
      <c r="D1936" s="14"/>
      <c r="E1936" s="3"/>
      <c r="F1936" s="10"/>
      <c r="G1936" s="11"/>
      <c r="H1936" s="6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</row>
    <row r="1937" ht="19.5" customHeight="1">
      <c r="A1937" s="8"/>
      <c r="B1937" s="13"/>
      <c r="C1937" s="8"/>
      <c r="D1937" s="14"/>
      <c r="E1937" s="3"/>
      <c r="F1937" s="10"/>
      <c r="G1937" s="11"/>
      <c r="H1937" s="6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</row>
    <row r="1938" ht="19.5" customHeight="1">
      <c r="A1938" s="8"/>
      <c r="B1938" s="13"/>
      <c r="C1938" s="8"/>
      <c r="D1938" s="14"/>
      <c r="E1938" s="3"/>
      <c r="F1938" s="10"/>
      <c r="G1938" s="11"/>
      <c r="H1938" s="6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</row>
    <row r="1939" ht="19.5" customHeight="1">
      <c r="A1939" s="8"/>
      <c r="B1939" s="13"/>
      <c r="C1939" s="8"/>
      <c r="D1939" s="14"/>
      <c r="E1939" s="3"/>
      <c r="F1939" s="10"/>
      <c r="G1939" s="11"/>
      <c r="H1939" s="6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</row>
    <row r="1940" ht="19.5" customHeight="1">
      <c r="A1940" s="8"/>
      <c r="B1940" s="13"/>
      <c r="C1940" s="8"/>
      <c r="D1940" s="14"/>
      <c r="E1940" s="3"/>
      <c r="F1940" s="10"/>
      <c r="G1940" s="11"/>
      <c r="H1940" s="6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</row>
    <row r="1941" ht="19.5" customHeight="1">
      <c r="A1941" s="8"/>
      <c r="B1941" s="13"/>
      <c r="C1941" s="8"/>
      <c r="D1941" s="14"/>
      <c r="E1941" s="3"/>
      <c r="F1941" s="10"/>
      <c r="G1941" s="11"/>
      <c r="H1941" s="6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</row>
    <row r="1942" ht="19.5" customHeight="1">
      <c r="A1942" s="8"/>
      <c r="B1942" s="13"/>
      <c r="C1942" s="8"/>
      <c r="D1942" s="14"/>
      <c r="E1942" s="3"/>
      <c r="F1942" s="10"/>
      <c r="G1942" s="11"/>
      <c r="H1942" s="6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</row>
    <row r="1943" ht="19.5" customHeight="1">
      <c r="A1943" s="8"/>
      <c r="B1943" s="13"/>
      <c r="C1943" s="8"/>
      <c r="D1943" s="14"/>
      <c r="E1943" s="3"/>
      <c r="F1943" s="10"/>
      <c r="G1943" s="11"/>
      <c r="H1943" s="6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</row>
    <row r="1944" ht="19.5" customHeight="1">
      <c r="A1944" s="8"/>
      <c r="B1944" s="13"/>
      <c r="C1944" s="8"/>
      <c r="D1944" s="14"/>
      <c r="E1944" s="3"/>
      <c r="F1944" s="10"/>
      <c r="G1944" s="11"/>
      <c r="H1944" s="6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</row>
    <row r="1945" ht="19.5" customHeight="1">
      <c r="A1945" s="8"/>
      <c r="B1945" s="13"/>
      <c r="C1945" s="8"/>
      <c r="D1945" s="14"/>
      <c r="E1945" s="3"/>
      <c r="F1945" s="10"/>
      <c r="G1945" s="11"/>
      <c r="H1945" s="6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</row>
    <row r="1946" ht="19.5" customHeight="1">
      <c r="A1946" s="8"/>
      <c r="B1946" s="13"/>
      <c r="C1946" s="8"/>
      <c r="D1946" s="14"/>
      <c r="E1946" s="3"/>
      <c r="F1946" s="10"/>
      <c r="G1946" s="11"/>
      <c r="H1946" s="6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</row>
    <row r="1947" ht="19.5" customHeight="1">
      <c r="A1947" s="8"/>
      <c r="B1947" s="13"/>
      <c r="C1947" s="8"/>
      <c r="D1947" s="14"/>
      <c r="E1947" s="3"/>
      <c r="F1947" s="10"/>
      <c r="G1947" s="11"/>
      <c r="H1947" s="6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</row>
    <row r="1948" ht="19.5" customHeight="1">
      <c r="A1948" s="8"/>
      <c r="B1948" s="13"/>
      <c r="C1948" s="8"/>
      <c r="D1948" s="14"/>
      <c r="E1948" s="3"/>
      <c r="F1948" s="10"/>
      <c r="G1948" s="11"/>
      <c r="H1948" s="6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</row>
    <row r="1949" ht="19.5" customHeight="1">
      <c r="A1949" s="8"/>
      <c r="B1949" s="13"/>
      <c r="C1949" s="8"/>
      <c r="D1949" s="14"/>
      <c r="E1949" s="3"/>
      <c r="F1949" s="10"/>
      <c r="G1949" s="11"/>
      <c r="H1949" s="6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</row>
    <row r="1950" ht="19.5" customHeight="1">
      <c r="A1950" s="8"/>
      <c r="B1950" s="13"/>
      <c r="C1950" s="8"/>
      <c r="D1950" s="14"/>
      <c r="E1950" s="3"/>
      <c r="F1950" s="10"/>
      <c r="G1950" s="11"/>
      <c r="H1950" s="6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</row>
    <row r="1951" ht="19.5" customHeight="1">
      <c r="A1951" s="8"/>
      <c r="B1951" s="13"/>
      <c r="C1951" s="8"/>
      <c r="D1951" s="14"/>
      <c r="E1951" s="3"/>
      <c r="F1951" s="10"/>
      <c r="G1951" s="11"/>
      <c r="H1951" s="6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</row>
    <row r="1952" ht="19.5" customHeight="1">
      <c r="A1952" s="8"/>
      <c r="B1952" s="13"/>
      <c r="C1952" s="8"/>
      <c r="D1952" s="14"/>
      <c r="E1952" s="3"/>
      <c r="F1952" s="10"/>
      <c r="G1952" s="11"/>
      <c r="H1952" s="6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</row>
    <row r="1953" ht="19.5" customHeight="1">
      <c r="A1953" s="8"/>
      <c r="B1953" s="13"/>
      <c r="C1953" s="8"/>
      <c r="D1953" s="14"/>
      <c r="E1953" s="3"/>
      <c r="F1953" s="10"/>
      <c r="G1953" s="11"/>
      <c r="H1953" s="6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</row>
    <row r="1954" ht="19.5" customHeight="1">
      <c r="A1954" s="8"/>
      <c r="B1954" s="13"/>
      <c r="C1954" s="8"/>
      <c r="D1954" s="14"/>
      <c r="E1954" s="3"/>
      <c r="F1954" s="10"/>
      <c r="G1954" s="11"/>
      <c r="H1954" s="6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</row>
    <row r="1955" ht="19.5" customHeight="1">
      <c r="A1955" s="8"/>
      <c r="B1955" s="13"/>
      <c r="C1955" s="8"/>
      <c r="D1955" s="14"/>
      <c r="E1955" s="3"/>
      <c r="F1955" s="10"/>
      <c r="G1955" s="11"/>
      <c r="H1955" s="6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</row>
    <row r="1956" ht="19.5" customHeight="1">
      <c r="A1956" s="8"/>
      <c r="B1956" s="13"/>
      <c r="C1956" s="8"/>
      <c r="D1956" s="14"/>
      <c r="E1956" s="3"/>
      <c r="F1956" s="10"/>
      <c r="G1956" s="11"/>
      <c r="H1956" s="6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</row>
    <row r="1957" ht="19.5" customHeight="1">
      <c r="A1957" s="8"/>
      <c r="B1957" s="13"/>
      <c r="C1957" s="8"/>
      <c r="D1957" s="14"/>
      <c r="E1957" s="3"/>
      <c r="F1957" s="10"/>
      <c r="G1957" s="11"/>
      <c r="H1957" s="6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</row>
    <row r="1958" ht="19.5" customHeight="1">
      <c r="A1958" s="8"/>
      <c r="B1958" s="13"/>
      <c r="C1958" s="8"/>
      <c r="D1958" s="14"/>
      <c r="E1958" s="3"/>
      <c r="F1958" s="10"/>
      <c r="G1958" s="11"/>
      <c r="H1958" s="6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</row>
    <row r="1959" ht="19.5" customHeight="1">
      <c r="A1959" s="8"/>
      <c r="B1959" s="13"/>
      <c r="C1959" s="8"/>
      <c r="D1959" s="14"/>
      <c r="E1959" s="3"/>
      <c r="F1959" s="10"/>
      <c r="G1959" s="11"/>
      <c r="H1959" s="6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</row>
    <row r="1960" ht="19.5" customHeight="1">
      <c r="A1960" s="8"/>
      <c r="B1960" s="13"/>
      <c r="C1960" s="8"/>
      <c r="D1960" s="14"/>
      <c r="E1960" s="3"/>
      <c r="F1960" s="10"/>
      <c r="G1960" s="11"/>
      <c r="H1960" s="6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</row>
    <row r="1961" ht="19.5" customHeight="1">
      <c r="A1961" s="8"/>
      <c r="B1961" s="13"/>
      <c r="C1961" s="8"/>
      <c r="D1961" s="14"/>
      <c r="E1961" s="3"/>
      <c r="F1961" s="10"/>
      <c r="G1961" s="11"/>
      <c r="H1961" s="6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</row>
    <row r="1962" ht="19.5" customHeight="1">
      <c r="A1962" s="8"/>
      <c r="B1962" s="13"/>
      <c r="C1962" s="8"/>
      <c r="D1962" s="14"/>
      <c r="E1962" s="3"/>
      <c r="F1962" s="10"/>
      <c r="G1962" s="11"/>
      <c r="H1962" s="6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</row>
    <row r="1963" ht="19.5" customHeight="1">
      <c r="A1963" s="8"/>
      <c r="B1963" s="13"/>
      <c r="C1963" s="8"/>
      <c r="D1963" s="14"/>
      <c r="E1963" s="3"/>
      <c r="F1963" s="10"/>
      <c r="G1963" s="11"/>
      <c r="H1963" s="6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</row>
    <row r="1964" ht="19.5" customHeight="1">
      <c r="A1964" s="8"/>
      <c r="B1964" s="13"/>
      <c r="C1964" s="8"/>
      <c r="D1964" s="14"/>
      <c r="E1964" s="3"/>
      <c r="F1964" s="10"/>
      <c r="G1964" s="11"/>
      <c r="H1964" s="6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</row>
    <row r="1965" ht="19.5" customHeight="1">
      <c r="A1965" s="8"/>
      <c r="B1965" s="13"/>
      <c r="C1965" s="8"/>
      <c r="D1965" s="14"/>
      <c r="E1965" s="3"/>
      <c r="F1965" s="10"/>
      <c r="G1965" s="11"/>
      <c r="H1965" s="6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</row>
    <row r="1966" ht="19.5" customHeight="1">
      <c r="A1966" s="8"/>
      <c r="B1966" s="13"/>
      <c r="C1966" s="8"/>
      <c r="D1966" s="14"/>
      <c r="E1966" s="3"/>
      <c r="F1966" s="10"/>
      <c r="G1966" s="11"/>
      <c r="H1966" s="6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</row>
    <row r="1967" ht="19.5" customHeight="1">
      <c r="A1967" s="8"/>
      <c r="B1967" s="13"/>
      <c r="C1967" s="8"/>
      <c r="D1967" s="14"/>
      <c r="E1967" s="3"/>
      <c r="F1967" s="10"/>
      <c r="G1967" s="11"/>
      <c r="H1967" s="6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</row>
    <row r="1968" ht="19.5" customHeight="1">
      <c r="A1968" s="8"/>
      <c r="B1968" s="13"/>
      <c r="C1968" s="8"/>
      <c r="D1968" s="14"/>
      <c r="E1968" s="3"/>
      <c r="F1968" s="10"/>
      <c r="G1968" s="11"/>
      <c r="H1968" s="6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</row>
    <row r="1969" ht="19.5" customHeight="1">
      <c r="A1969" s="8"/>
      <c r="B1969" s="13"/>
      <c r="C1969" s="8"/>
      <c r="D1969" s="14"/>
      <c r="E1969" s="3"/>
      <c r="F1969" s="10"/>
      <c r="G1969" s="11"/>
      <c r="H1969" s="6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</row>
    <row r="1970" ht="19.5" customHeight="1">
      <c r="A1970" s="8"/>
      <c r="B1970" s="13"/>
      <c r="C1970" s="8"/>
      <c r="D1970" s="14"/>
      <c r="E1970" s="3"/>
      <c r="F1970" s="10"/>
      <c r="G1970" s="11"/>
      <c r="H1970" s="6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</row>
    <row r="1971" ht="19.5" customHeight="1">
      <c r="A1971" s="8"/>
      <c r="B1971" s="13"/>
      <c r="C1971" s="8"/>
      <c r="D1971" s="14"/>
      <c r="E1971" s="3"/>
      <c r="F1971" s="10"/>
      <c r="G1971" s="11"/>
      <c r="H1971" s="6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</row>
    <row r="1972" ht="19.5" customHeight="1">
      <c r="A1972" s="8"/>
      <c r="B1972" s="13"/>
      <c r="C1972" s="8"/>
      <c r="D1972" s="14"/>
      <c r="E1972" s="3"/>
      <c r="F1972" s="10"/>
      <c r="G1972" s="11"/>
      <c r="H1972" s="6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</row>
    <row r="1973" ht="19.5" customHeight="1">
      <c r="A1973" s="8"/>
      <c r="B1973" s="13"/>
      <c r="C1973" s="8"/>
      <c r="D1973" s="14"/>
      <c r="E1973" s="3"/>
      <c r="F1973" s="10"/>
      <c r="G1973" s="11"/>
      <c r="H1973" s="6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</row>
    <row r="1974" ht="19.5" customHeight="1">
      <c r="A1974" s="8"/>
      <c r="B1974" s="13"/>
      <c r="C1974" s="8"/>
      <c r="D1974" s="14"/>
      <c r="E1974" s="3"/>
      <c r="F1974" s="10"/>
      <c r="G1974" s="11"/>
      <c r="H1974" s="6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</row>
    <row r="1975" ht="19.5" customHeight="1">
      <c r="A1975" s="8"/>
      <c r="B1975" s="13"/>
      <c r="C1975" s="8"/>
      <c r="D1975" s="14"/>
      <c r="E1975" s="3"/>
      <c r="F1975" s="10"/>
      <c r="G1975" s="11"/>
      <c r="H1975" s="6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</row>
    <row r="1976" ht="19.5" customHeight="1">
      <c r="A1976" s="8"/>
      <c r="B1976" s="13"/>
      <c r="C1976" s="8"/>
      <c r="D1976" s="14"/>
      <c r="E1976" s="3"/>
      <c r="F1976" s="10"/>
      <c r="G1976" s="11"/>
      <c r="H1976" s="6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</row>
    <row r="1977" ht="19.5" customHeight="1">
      <c r="A1977" s="8"/>
      <c r="B1977" s="13"/>
      <c r="C1977" s="8"/>
      <c r="D1977" s="14"/>
      <c r="E1977" s="3"/>
      <c r="F1977" s="10"/>
      <c r="G1977" s="11"/>
      <c r="H1977" s="6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</row>
    <row r="1978" ht="19.5" customHeight="1">
      <c r="A1978" s="8"/>
      <c r="B1978" s="13"/>
      <c r="C1978" s="8"/>
      <c r="D1978" s="14"/>
      <c r="E1978" s="3"/>
      <c r="F1978" s="10"/>
      <c r="G1978" s="11"/>
      <c r="H1978" s="6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</row>
    <row r="1979" ht="19.5" customHeight="1">
      <c r="A1979" s="8"/>
      <c r="B1979" s="13"/>
      <c r="C1979" s="8"/>
      <c r="D1979" s="14"/>
      <c r="E1979" s="3"/>
      <c r="F1979" s="10"/>
      <c r="G1979" s="11"/>
      <c r="H1979" s="6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</row>
    <row r="1980" ht="19.5" customHeight="1">
      <c r="A1980" s="8"/>
      <c r="B1980" s="13"/>
      <c r="C1980" s="8"/>
      <c r="D1980" s="14"/>
      <c r="E1980" s="3"/>
      <c r="F1980" s="10"/>
      <c r="G1980" s="11"/>
      <c r="H1980" s="6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</row>
    <row r="1981" ht="19.5" customHeight="1">
      <c r="A1981" s="8"/>
      <c r="B1981" s="13"/>
      <c r="C1981" s="8"/>
      <c r="D1981" s="14"/>
      <c r="E1981" s="3"/>
      <c r="F1981" s="10"/>
      <c r="G1981" s="11"/>
      <c r="H1981" s="6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</row>
    <row r="1982" ht="19.5" customHeight="1">
      <c r="A1982" s="8"/>
      <c r="B1982" s="13"/>
      <c r="C1982" s="8"/>
      <c r="D1982" s="14"/>
      <c r="E1982" s="3"/>
      <c r="F1982" s="10"/>
      <c r="G1982" s="11"/>
      <c r="H1982" s="6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</row>
    <row r="1983" ht="19.5" customHeight="1">
      <c r="A1983" s="8"/>
      <c r="B1983" s="13"/>
      <c r="C1983" s="8"/>
      <c r="D1983" s="14"/>
      <c r="E1983" s="3"/>
      <c r="F1983" s="10"/>
      <c r="G1983" s="11"/>
      <c r="H1983" s="6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</row>
    <row r="1984" ht="19.5" customHeight="1">
      <c r="A1984" s="8"/>
      <c r="B1984" s="13"/>
      <c r="C1984" s="8"/>
      <c r="D1984" s="14"/>
      <c r="E1984" s="3"/>
      <c r="F1984" s="10"/>
      <c r="G1984" s="11"/>
      <c r="H1984" s="6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</row>
    <row r="1985" ht="19.5" customHeight="1">
      <c r="A1985" s="8"/>
      <c r="B1985" s="13"/>
      <c r="C1985" s="8"/>
      <c r="D1985" s="14"/>
      <c r="E1985" s="3"/>
      <c r="F1985" s="10"/>
      <c r="G1985" s="11"/>
      <c r="H1985" s="6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</row>
    <row r="1986" ht="19.5" customHeight="1">
      <c r="A1986" s="8"/>
      <c r="B1986" s="13"/>
      <c r="C1986" s="8"/>
      <c r="D1986" s="14"/>
      <c r="E1986" s="3"/>
      <c r="F1986" s="10"/>
      <c r="G1986" s="11"/>
      <c r="H1986" s="6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</row>
    <row r="1987" ht="19.5" customHeight="1">
      <c r="A1987" s="8"/>
      <c r="B1987" s="13"/>
      <c r="C1987" s="8"/>
      <c r="D1987" s="14"/>
      <c r="E1987" s="3"/>
      <c r="F1987" s="10"/>
      <c r="G1987" s="11"/>
      <c r="H1987" s="6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</row>
    <row r="1988" ht="19.5" customHeight="1">
      <c r="A1988" s="8"/>
      <c r="B1988" s="13"/>
      <c r="C1988" s="8"/>
      <c r="D1988" s="14"/>
      <c r="E1988" s="3"/>
      <c r="F1988" s="10"/>
      <c r="G1988" s="11"/>
      <c r="H1988" s="6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</row>
    <row r="1989" ht="19.5" customHeight="1">
      <c r="A1989" s="8"/>
      <c r="B1989" s="13"/>
      <c r="C1989" s="8"/>
      <c r="D1989" s="14"/>
      <c r="E1989" s="3"/>
      <c r="F1989" s="10"/>
      <c r="G1989" s="11"/>
      <c r="H1989" s="6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</row>
    <row r="1990" ht="19.5" customHeight="1">
      <c r="A1990" s="8"/>
      <c r="B1990" s="13"/>
      <c r="C1990" s="8"/>
      <c r="D1990" s="14"/>
      <c r="E1990" s="3"/>
      <c r="F1990" s="10"/>
      <c r="G1990" s="11"/>
      <c r="H1990" s="6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</row>
    <row r="1991" ht="19.5" customHeight="1">
      <c r="A1991" s="8"/>
      <c r="B1991" s="13"/>
      <c r="C1991" s="8"/>
      <c r="D1991" s="14"/>
      <c r="E1991" s="3"/>
      <c r="F1991" s="10"/>
      <c r="G1991" s="11"/>
      <c r="H1991" s="6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</row>
    <row r="1992" ht="19.5" customHeight="1">
      <c r="A1992" s="8"/>
      <c r="B1992" s="13"/>
      <c r="C1992" s="8"/>
      <c r="D1992" s="14"/>
      <c r="E1992" s="3"/>
      <c r="F1992" s="10"/>
      <c r="G1992" s="11"/>
      <c r="H1992" s="6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</row>
    <row r="1993" ht="19.5" customHeight="1">
      <c r="A1993" s="8"/>
      <c r="B1993" s="13"/>
      <c r="C1993" s="8"/>
      <c r="D1993" s="14"/>
      <c r="E1993" s="3"/>
      <c r="F1993" s="10"/>
      <c r="G1993" s="11"/>
      <c r="H1993" s="6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</row>
    <row r="1994" ht="19.5" customHeight="1">
      <c r="A1994" s="8"/>
      <c r="B1994" s="13"/>
      <c r="C1994" s="8"/>
      <c r="D1994" s="14"/>
      <c r="E1994" s="3"/>
      <c r="F1994" s="10"/>
      <c r="G1994" s="11"/>
      <c r="H1994" s="6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</row>
    <row r="1995" ht="19.5" customHeight="1">
      <c r="A1995" s="8"/>
      <c r="B1995" s="13"/>
      <c r="C1995" s="8"/>
      <c r="D1995" s="14"/>
      <c r="E1995" s="3"/>
      <c r="F1995" s="10"/>
      <c r="G1995" s="11"/>
      <c r="H1995" s="6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</row>
    <row r="1996" ht="19.5" customHeight="1">
      <c r="A1996" s="8"/>
      <c r="B1996" s="13"/>
      <c r="C1996" s="8"/>
      <c r="D1996" s="14"/>
      <c r="E1996" s="3"/>
      <c r="F1996" s="10"/>
      <c r="G1996" s="11"/>
      <c r="H1996" s="6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</row>
    <row r="1997" ht="19.5" customHeight="1">
      <c r="A1997" s="8"/>
      <c r="B1997" s="13"/>
      <c r="C1997" s="8"/>
      <c r="D1997" s="14"/>
      <c r="E1997" s="3"/>
      <c r="F1997" s="10"/>
      <c r="G1997" s="11"/>
      <c r="H1997" s="6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</row>
    <row r="1998" ht="19.5" customHeight="1">
      <c r="A1998" s="8"/>
      <c r="B1998" s="13"/>
      <c r="C1998" s="8"/>
      <c r="D1998" s="14"/>
      <c r="E1998" s="3"/>
      <c r="F1998" s="10"/>
      <c r="G1998" s="11"/>
      <c r="H1998" s="6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</row>
    <row r="1999" ht="19.5" customHeight="1">
      <c r="A1999" s="8"/>
      <c r="B1999" s="13"/>
      <c r="C1999" s="8"/>
      <c r="D1999" s="14"/>
      <c r="E1999" s="3"/>
      <c r="F1999" s="10"/>
      <c r="G1999" s="11"/>
      <c r="H1999" s="6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</row>
    <row r="2000" ht="19.5" customHeight="1">
      <c r="A2000" s="8"/>
      <c r="B2000" s="13"/>
      <c r="C2000" s="8"/>
      <c r="D2000" s="14"/>
      <c r="E2000" s="3"/>
      <c r="F2000" s="10"/>
      <c r="G2000" s="11"/>
      <c r="H2000" s="6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</row>
    <row r="2001" ht="19.5" customHeight="1">
      <c r="A2001" s="16"/>
      <c r="B2001" s="2"/>
      <c r="C2001" s="20"/>
      <c r="D2001" s="1"/>
      <c r="E2001" s="22"/>
      <c r="F2001" s="10"/>
      <c r="G2001" s="11"/>
      <c r="H2001" s="6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</row>
    <row r="2002" ht="19.5" customHeight="1">
      <c r="A2002" s="16"/>
      <c r="B2002" s="2"/>
      <c r="C2002" s="20"/>
      <c r="D2002" s="1"/>
      <c r="E2002" s="3"/>
      <c r="F2002" s="4"/>
      <c r="G2002" s="11"/>
      <c r="H2002" s="6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</row>
    <row r="2003" ht="19.5" customHeight="1">
      <c r="A2003" s="8"/>
      <c r="B2003" s="13"/>
      <c r="C2003" s="8"/>
      <c r="D2003" s="14"/>
      <c r="E2003" s="22"/>
      <c r="F2003" s="10"/>
      <c r="G2003" s="11"/>
      <c r="H2003" s="6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</row>
    <row r="2004" ht="19.5" customHeight="1">
      <c r="A2004" s="8"/>
      <c r="B2004" s="13"/>
      <c r="C2004" s="8"/>
      <c r="D2004" s="14"/>
      <c r="E2004" s="22"/>
      <c r="F2004" s="10"/>
      <c r="G2004" s="11"/>
      <c r="H2004" s="6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</row>
    <row r="2005" ht="19.5" customHeight="1">
      <c r="A2005" s="8"/>
      <c r="B2005" s="13"/>
      <c r="C2005" s="8"/>
      <c r="D2005" s="14"/>
      <c r="E2005" s="22"/>
      <c r="F2005" s="10"/>
      <c r="G2005" s="11"/>
      <c r="H2005" s="6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</row>
    <row r="2006" ht="19.5" customHeight="1">
      <c r="A2006" s="8"/>
      <c r="B2006" s="13"/>
      <c r="C2006" s="8"/>
      <c r="D2006" s="14"/>
      <c r="E2006" s="22"/>
      <c r="F2006" s="10"/>
      <c r="G2006" s="11"/>
      <c r="H2006" s="6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</row>
    <row r="2007" ht="19.5" customHeight="1">
      <c r="A2007" s="8"/>
      <c r="B2007" s="13"/>
      <c r="C2007" s="8"/>
      <c r="D2007" s="14"/>
      <c r="E2007" s="22"/>
      <c r="F2007" s="10"/>
      <c r="G2007" s="11"/>
      <c r="H2007" s="6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</row>
    <row r="2008" ht="19.5" customHeight="1">
      <c r="A2008" s="8"/>
      <c r="B2008" s="13"/>
      <c r="C2008" s="8"/>
      <c r="D2008" s="14"/>
      <c r="E2008" s="22"/>
      <c r="F2008" s="10"/>
      <c r="G2008" s="11"/>
      <c r="H2008" s="6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</row>
    <row r="2009" ht="19.5" customHeight="1">
      <c r="A2009" s="8"/>
      <c r="B2009" s="13"/>
      <c r="C2009" s="8"/>
      <c r="D2009" s="14"/>
      <c r="E2009" s="22"/>
      <c r="F2009" s="10"/>
      <c r="G2009" s="11"/>
      <c r="H2009" s="6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</row>
    <row r="2010" ht="19.5" customHeight="1">
      <c r="A2010" s="8"/>
      <c r="B2010" s="13"/>
      <c r="C2010" s="8"/>
      <c r="D2010" s="14"/>
      <c r="E2010" s="22"/>
      <c r="F2010" s="10"/>
      <c r="G2010" s="11"/>
      <c r="H2010" s="6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</row>
    <row r="2011" ht="19.5" customHeight="1">
      <c r="A2011" s="8"/>
      <c r="B2011" s="13"/>
      <c r="C2011" s="8"/>
      <c r="D2011" s="14"/>
      <c r="E2011" s="22"/>
      <c r="F2011" s="10"/>
      <c r="G2011" s="11"/>
      <c r="H2011" s="6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</row>
    <row r="2012" ht="19.5" customHeight="1">
      <c r="A2012" s="8"/>
      <c r="B2012" s="13"/>
      <c r="C2012" s="8"/>
      <c r="D2012" s="14"/>
      <c r="E2012" s="22"/>
      <c r="F2012" s="10"/>
      <c r="G2012" s="11"/>
      <c r="H2012" s="6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</row>
    <row r="2013" ht="19.5" customHeight="1">
      <c r="A2013" s="8"/>
      <c r="B2013" s="13"/>
      <c r="C2013" s="8"/>
      <c r="D2013" s="14"/>
      <c r="E2013" s="22"/>
      <c r="F2013" s="10"/>
      <c r="G2013" s="11"/>
      <c r="H2013" s="6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</row>
    <row r="2014" ht="19.5" customHeight="1">
      <c r="A2014" s="8"/>
      <c r="B2014" s="13"/>
      <c r="C2014" s="8"/>
      <c r="D2014" s="14"/>
      <c r="E2014" s="22"/>
      <c r="F2014" s="10"/>
      <c r="G2014" s="11"/>
      <c r="H2014" s="6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</row>
    <row r="2015" ht="19.5" customHeight="1">
      <c r="A2015" s="8"/>
      <c r="B2015" s="13"/>
      <c r="C2015" s="8"/>
      <c r="D2015" s="14"/>
      <c r="E2015" s="22"/>
      <c r="F2015" s="10"/>
      <c r="G2015" s="11"/>
      <c r="H2015" s="6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</row>
    <row r="2016" ht="19.5" customHeight="1">
      <c r="A2016" s="8"/>
      <c r="B2016" s="13"/>
      <c r="C2016" s="8"/>
      <c r="D2016" s="14"/>
      <c r="E2016" s="22"/>
      <c r="F2016" s="10"/>
      <c r="G2016" s="11"/>
      <c r="H2016" s="6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</row>
    <row r="2017" ht="19.5" customHeight="1">
      <c r="A2017" s="8"/>
      <c r="B2017" s="13"/>
      <c r="C2017" s="8"/>
      <c r="D2017" s="14"/>
      <c r="E2017" s="22"/>
      <c r="F2017" s="10"/>
      <c r="G2017" s="11"/>
      <c r="H2017" s="6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</row>
    <row r="2018" ht="19.5" customHeight="1">
      <c r="A2018" s="8"/>
      <c r="B2018" s="13"/>
      <c r="C2018" s="8"/>
      <c r="D2018" s="14"/>
      <c r="E2018" s="22"/>
      <c r="F2018" s="10"/>
      <c r="G2018" s="11"/>
      <c r="H2018" s="6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</row>
    <row r="2019" ht="19.5" customHeight="1">
      <c r="A2019" s="8"/>
      <c r="B2019" s="13"/>
      <c r="C2019" s="8"/>
      <c r="D2019" s="14"/>
      <c r="E2019" s="22"/>
      <c r="F2019" s="10"/>
      <c r="G2019" s="11"/>
      <c r="H2019" s="6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</row>
    <row r="2020" ht="19.5" customHeight="1">
      <c r="A2020" s="8"/>
      <c r="B2020" s="13"/>
      <c r="C2020" s="8"/>
      <c r="D2020" s="14"/>
      <c r="E2020" s="22"/>
      <c r="F2020" s="10"/>
      <c r="G2020" s="11"/>
      <c r="H2020" s="6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</row>
    <row r="2021" ht="19.5" customHeight="1">
      <c r="A2021" s="8"/>
      <c r="B2021" s="13"/>
      <c r="C2021" s="8"/>
      <c r="D2021" s="14"/>
      <c r="E2021" s="22"/>
      <c r="F2021" s="10"/>
      <c r="G2021" s="11"/>
      <c r="H2021" s="6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</row>
    <row r="2022" ht="19.5" customHeight="1">
      <c r="A2022" s="8"/>
      <c r="B2022" s="13"/>
      <c r="C2022" s="8"/>
      <c r="D2022" s="14"/>
      <c r="E2022" s="22"/>
      <c r="F2022" s="10"/>
      <c r="G2022" s="11"/>
      <c r="H2022" s="6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</row>
    <row r="2023" ht="19.5" customHeight="1">
      <c r="A2023" s="8"/>
      <c r="B2023" s="13"/>
      <c r="C2023" s="8"/>
      <c r="D2023" s="14"/>
      <c r="E2023" s="22"/>
      <c r="F2023" s="10"/>
      <c r="G2023" s="11"/>
      <c r="H2023" s="6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</row>
    <row r="2024" ht="19.5" customHeight="1">
      <c r="A2024" s="8"/>
      <c r="B2024" s="13"/>
      <c r="C2024" s="8"/>
      <c r="D2024" s="14"/>
      <c r="E2024" s="22"/>
      <c r="F2024" s="10"/>
      <c r="G2024" s="11"/>
      <c r="H2024" s="6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</row>
    <row r="2025" ht="19.5" customHeight="1">
      <c r="A2025" s="8"/>
      <c r="B2025" s="13"/>
      <c r="C2025" s="8"/>
      <c r="D2025" s="14"/>
      <c r="E2025" s="22"/>
      <c r="F2025" s="10"/>
      <c r="G2025" s="11"/>
      <c r="H2025" s="6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</row>
    <row r="2026" ht="19.5" customHeight="1">
      <c r="A2026" s="8"/>
      <c r="B2026" s="13"/>
      <c r="C2026" s="8"/>
      <c r="D2026" s="14"/>
      <c r="E2026" s="22"/>
      <c r="F2026" s="10"/>
      <c r="G2026" s="11"/>
      <c r="H2026" s="6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</row>
    <row r="2027" ht="19.5" customHeight="1">
      <c r="A2027" s="8"/>
      <c r="B2027" s="13"/>
      <c r="C2027" s="8"/>
      <c r="D2027" s="14"/>
      <c r="E2027" s="22"/>
      <c r="F2027" s="10"/>
      <c r="G2027" s="11"/>
      <c r="H2027" s="6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</row>
    <row r="2028" ht="19.5" customHeight="1">
      <c r="A2028" s="8"/>
      <c r="B2028" s="13"/>
      <c r="C2028" s="8"/>
      <c r="D2028" s="14"/>
      <c r="E2028" s="22"/>
      <c r="F2028" s="10"/>
      <c r="G2028" s="11"/>
      <c r="H2028" s="6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</row>
    <row r="2029" ht="19.5" customHeight="1">
      <c r="A2029" s="8"/>
      <c r="B2029" s="13"/>
      <c r="C2029" s="8"/>
      <c r="D2029" s="14"/>
      <c r="E2029" s="22"/>
      <c r="F2029" s="10"/>
      <c r="G2029" s="11"/>
      <c r="H2029" s="6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</row>
    <row r="2030" ht="19.5" customHeight="1">
      <c r="A2030" s="8"/>
      <c r="B2030" s="13"/>
      <c r="C2030" s="8"/>
      <c r="D2030" s="14"/>
      <c r="E2030" s="22"/>
      <c r="F2030" s="10"/>
      <c r="G2030" s="11"/>
      <c r="H2030" s="6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</row>
    <row r="2031" ht="19.5" customHeight="1">
      <c r="A2031" s="8"/>
      <c r="B2031" s="13"/>
      <c r="C2031" s="8"/>
      <c r="D2031" s="14"/>
      <c r="E2031" s="22"/>
      <c r="F2031" s="10"/>
      <c r="G2031" s="11"/>
      <c r="H2031" s="6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</row>
    <row r="2032" ht="19.5" customHeight="1">
      <c r="A2032" s="8"/>
      <c r="B2032" s="13"/>
      <c r="C2032" s="8"/>
      <c r="D2032" s="14"/>
      <c r="E2032" s="22"/>
      <c r="F2032" s="10"/>
      <c r="G2032" s="11"/>
      <c r="H2032" s="6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</row>
    <row r="2033" ht="19.5" customHeight="1">
      <c r="A2033" s="8"/>
      <c r="B2033" s="13"/>
      <c r="C2033" s="8"/>
      <c r="D2033" s="14"/>
      <c r="E2033" s="22"/>
      <c r="F2033" s="10"/>
      <c r="G2033" s="11"/>
      <c r="H2033" s="6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</row>
    <row r="2034" ht="19.5" customHeight="1">
      <c r="A2034" s="8"/>
      <c r="B2034" s="13"/>
      <c r="C2034" s="8"/>
      <c r="D2034" s="14"/>
      <c r="E2034" s="22"/>
      <c r="F2034" s="10"/>
      <c r="G2034" s="11"/>
      <c r="H2034" s="6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</row>
    <row r="2035" ht="19.5" customHeight="1">
      <c r="A2035" s="8"/>
      <c r="B2035" s="13"/>
      <c r="C2035" s="8"/>
      <c r="D2035" s="14"/>
      <c r="E2035" s="22"/>
      <c r="F2035" s="10"/>
      <c r="G2035" s="11"/>
      <c r="H2035" s="6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</row>
    <row r="2036" ht="19.5" customHeight="1">
      <c r="A2036" s="8"/>
      <c r="B2036" s="13"/>
      <c r="C2036" s="8"/>
      <c r="D2036" s="14"/>
      <c r="E2036" s="22"/>
      <c r="F2036" s="10"/>
      <c r="G2036" s="11"/>
      <c r="H2036" s="6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</row>
    <row r="2037" ht="19.5" customHeight="1">
      <c r="A2037" s="8"/>
      <c r="B2037" s="13"/>
      <c r="C2037" s="8"/>
      <c r="D2037" s="14"/>
      <c r="E2037" s="22"/>
      <c r="F2037" s="10"/>
      <c r="G2037" s="11"/>
      <c r="H2037" s="6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</row>
    <row r="2038" ht="19.5" customHeight="1">
      <c r="A2038" s="8"/>
      <c r="B2038" s="13"/>
      <c r="C2038" s="8"/>
      <c r="D2038" s="14"/>
      <c r="E2038" s="22"/>
      <c r="F2038" s="10"/>
      <c r="G2038" s="11"/>
      <c r="H2038" s="6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</row>
    <row r="2039" ht="19.5" customHeight="1">
      <c r="A2039" s="8"/>
      <c r="B2039" s="13"/>
      <c r="C2039" s="8"/>
      <c r="D2039" s="14"/>
      <c r="E2039" s="22"/>
      <c r="F2039" s="10"/>
      <c r="G2039" s="11"/>
      <c r="H2039" s="6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</row>
    <row r="2040" ht="19.5" customHeight="1">
      <c r="A2040" s="8"/>
      <c r="B2040" s="13"/>
      <c r="C2040" s="8"/>
      <c r="D2040" s="14"/>
      <c r="E2040" s="22"/>
      <c r="F2040" s="10"/>
      <c r="G2040" s="11"/>
      <c r="H2040" s="6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</row>
    <row r="2041" ht="19.5" customHeight="1">
      <c r="A2041" s="8"/>
      <c r="B2041" s="13"/>
      <c r="C2041" s="8"/>
      <c r="D2041" s="14"/>
      <c r="E2041" s="22"/>
      <c r="F2041" s="10"/>
      <c r="G2041" s="11"/>
      <c r="H2041" s="6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</row>
    <row r="2042" ht="19.5" customHeight="1">
      <c r="A2042" s="8"/>
      <c r="B2042" s="13"/>
      <c r="C2042" s="8"/>
      <c r="D2042" s="14"/>
      <c r="E2042" s="22"/>
      <c r="F2042" s="10"/>
      <c r="G2042" s="11"/>
      <c r="H2042" s="6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</row>
    <row r="2043" ht="19.5" customHeight="1">
      <c r="A2043" s="8"/>
      <c r="B2043" s="13"/>
      <c r="C2043" s="8"/>
      <c r="D2043" s="14"/>
      <c r="E2043" s="22"/>
      <c r="F2043" s="10"/>
      <c r="G2043" s="11"/>
      <c r="H2043" s="6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</row>
    <row r="2044" ht="19.5" customHeight="1">
      <c r="A2044" s="8"/>
      <c r="B2044" s="13"/>
      <c r="C2044" s="8"/>
      <c r="D2044" s="14"/>
      <c r="E2044" s="22"/>
      <c r="F2044" s="10"/>
      <c r="G2044" s="11"/>
      <c r="H2044" s="6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</row>
    <row r="2045" ht="19.5" customHeight="1">
      <c r="A2045" s="8"/>
      <c r="B2045" s="13"/>
      <c r="C2045" s="8"/>
      <c r="D2045" s="14"/>
      <c r="E2045" s="22"/>
      <c r="F2045" s="10"/>
      <c r="G2045" s="11"/>
      <c r="H2045" s="6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</row>
    <row r="2046" ht="19.5" customHeight="1">
      <c r="A2046" s="8"/>
      <c r="B2046" s="13"/>
      <c r="C2046" s="8"/>
      <c r="D2046" s="14"/>
      <c r="E2046" s="22"/>
      <c r="F2046" s="10"/>
      <c r="G2046" s="11"/>
      <c r="H2046" s="6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</row>
    <row r="2047" ht="19.5" customHeight="1">
      <c r="A2047" s="8"/>
      <c r="B2047" s="13"/>
      <c r="C2047" s="8"/>
      <c r="D2047" s="14"/>
      <c r="E2047" s="22"/>
      <c r="F2047" s="10"/>
      <c r="G2047" s="11"/>
      <c r="H2047" s="6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</row>
    <row r="2048" ht="19.5" customHeight="1">
      <c r="A2048" s="8"/>
      <c r="B2048" s="13"/>
      <c r="C2048" s="8"/>
      <c r="D2048" s="14"/>
      <c r="E2048" s="22"/>
      <c r="F2048" s="10"/>
      <c r="G2048" s="11"/>
      <c r="H2048" s="6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</row>
    <row r="2049" ht="19.5" customHeight="1">
      <c r="A2049" s="8"/>
      <c r="B2049" s="13"/>
      <c r="C2049" s="8"/>
      <c r="D2049" s="14"/>
      <c r="E2049" s="22"/>
      <c r="F2049" s="10"/>
      <c r="G2049" s="11"/>
      <c r="H2049" s="6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</row>
    <row r="2050" ht="19.5" customHeight="1">
      <c r="A2050" s="8"/>
      <c r="B2050" s="13"/>
      <c r="C2050" s="8"/>
      <c r="D2050" s="14"/>
      <c r="E2050" s="22"/>
      <c r="F2050" s="10"/>
      <c r="G2050" s="11"/>
      <c r="H2050" s="6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</row>
    <row r="2051" ht="19.5" customHeight="1">
      <c r="A2051" s="8"/>
      <c r="B2051" s="13"/>
      <c r="C2051" s="8"/>
      <c r="D2051" s="14"/>
      <c r="E2051" s="22"/>
      <c r="F2051" s="10"/>
      <c r="G2051" s="11"/>
      <c r="H2051" s="6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</row>
    <row r="2052" ht="19.5" customHeight="1">
      <c r="A2052" s="8"/>
      <c r="B2052" s="13"/>
      <c r="C2052" s="8"/>
      <c r="D2052" s="14"/>
      <c r="E2052" s="22"/>
      <c r="F2052" s="10"/>
      <c r="G2052" s="11"/>
      <c r="H2052" s="6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</row>
    <row r="2053" ht="19.5" customHeight="1">
      <c r="A2053" s="8"/>
      <c r="B2053" s="13"/>
      <c r="C2053" s="8"/>
      <c r="D2053" s="14"/>
      <c r="E2053" s="22"/>
      <c r="F2053" s="10"/>
      <c r="G2053" s="11"/>
      <c r="H2053" s="6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</row>
    <row r="2054" ht="19.5" customHeight="1">
      <c r="A2054" s="8"/>
      <c r="B2054" s="13"/>
      <c r="C2054" s="8"/>
      <c r="D2054" s="14"/>
      <c r="E2054" s="22"/>
      <c r="F2054" s="10"/>
      <c r="G2054" s="11"/>
      <c r="H2054" s="6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</row>
    <row r="2055" ht="19.5" customHeight="1">
      <c r="A2055" s="8"/>
      <c r="B2055" s="13"/>
      <c r="C2055" s="8"/>
      <c r="D2055" s="14"/>
      <c r="E2055" s="22"/>
      <c r="F2055" s="10"/>
      <c r="G2055" s="11"/>
      <c r="H2055" s="6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</row>
    <row r="2056" ht="19.5" customHeight="1">
      <c r="A2056" s="8"/>
      <c r="B2056" s="13"/>
      <c r="C2056" s="8"/>
      <c r="D2056" s="14"/>
      <c r="E2056" s="22"/>
      <c r="F2056" s="10"/>
      <c r="G2056" s="11"/>
      <c r="H2056" s="6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</row>
    <row r="2057" ht="19.5" customHeight="1">
      <c r="A2057" s="8"/>
      <c r="B2057" s="13"/>
      <c r="C2057" s="8"/>
      <c r="D2057" s="14"/>
      <c r="E2057" s="22"/>
      <c r="F2057" s="10"/>
      <c r="G2057" s="11"/>
      <c r="H2057" s="6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</row>
    <row r="2058" ht="19.5" customHeight="1">
      <c r="A2058" s="8"/>
      <c r="B2058" s="13"/>
      <c r="C2058" s="8"/>
      <c r="D2058" s="14"/>
      <c r="E2058" s="22"/>
      <c r="F2058" s="10"/>
      <c r="G2058" s="11"/>
      <c r="H2058" s="6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</row>
    <row r="2059" ht="19.5" customHeight="1">
      <c r="A2059" s="8"/>
      <c r="B2059" s="13"/>
      <c r="C2059" s="8"/>
      <c r="D2059" s="14"/>
      <c r="E2059" s="22"/>
      <c r="F2059" s="10"/>
      <c r="G2059" s="11"/>
      <c r="H2059" s="6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</row>
    <row r="2060" ht="19.5" customHeight="1">
      <c r="A2060" s="8"/>
      <c r="B2060" s="13"/>
      <c r="C2060" s="8"/>
      <c r="D2060" s="14"/>
      <c r="E2060" s="22"/>
      <c r="F2060" s="10"/>
      <c r="G2060" s="11"/>
      <c r="H2060" s="6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</row>
    <row r="2061" ht="19.5" customHeight="1">
      <c r="A2061" s="8"/>
      <c r="B2061" s="13"/>
      <c r="C2061" s="8"/>
      <c r="D2061" s="14"/>
      <c r="E2061" s="22"/>
      <c r="F2061" s="10"/>
      <c r="G2061" s="11"/>
      <c r="H2061" s="6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</row>
    <row r="2062" ht="19.5" customHeight="1">
      <c r="A2062" s="8"/>
      <c r="B2062" s="13"/>
      <c r="C2062" s="8"/>
      <c r="D2062" s="14"/>
      <c r="E2062" s="22"/>
      <c r="F2062" s="10"/>
      <c r="G2062" s="11"/>
      <c r="H2062" s="6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</row>
    <row r="2063" ht="19.5" customHeight="1">
      <c r="A2063" s="8"/>
      <c r="B2063" s="13"/>
      <c r="C2063" s="8"/>
      <c r="D2063" s="14"/>
      <c r="E2063" s="22"/>
      <c r="F2063" s="10"/>
      <c r="G2063" s="11"/>
      <c r="H2063" s="6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</row>
    <row r="2064" ht="19.5" customHeight="1">
      <c r="A2064" s="8"/>
      <c r="B2064" s="13"/>
      <c r="C2064" s="8"/>
      <c r="D2064" s="14"/>
      <c r="E2064" s="22"/>
      <c r="F2064" s="10"/>
      <c r="G2064" s="11"/>
      <c r="H2064" s="6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</row>
    <row r="2065" ht="19.5" customHeight="1">
      <c r="A2065" s="8"/>
      <c r="B2065" s="13"/>
      <c r="C2065" s="8"/>
      <c r="D2065" s="14"/>
      <c r="E2065" s="22"/>
      <c r="F2065" s="10"/>
      <c r="G2065" s="11"/>
      <c r="H2065" s="6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</row>
    <row r="2066" ht="19.5" customHeight="1">
      <c r="A2066" s="8"/>
      <c r="B2066" s="13"/>
      <c r="C2066" s="8"/>
      <c r="D2066" s="14"/>
      <c r="E2066" s="22"/>
      <c r="F2066" s="10"/>
      <c r="G2066" s="11"/>
      <c r="H2066" s="6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</row>
    <row r="2067" ht="19.5" customHeight="1">
      <c r="A2067" s="8"/>
      <c r="B2067" s="13"/>
      <c r="C2067" s="8"/>
      <c r="D2067" s="14"/>
      <c r="E2067" s="22"/>
      <c r="F2067" s="10"/>
      <c r="G2067" s="11"/>
      <c r="H2067" s="6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</row>
    <row r="2068" ht="19.5" customHeight="1">
      <c r="A2068" s="8"/>
      <c r="B2068" s="13"/>
      <c r="C2068" s="8"/>
      <c r="D2068" s="14"/>
      <c r="E2068" s="22"/>
      <c r="F2068" s="10"/>
      <c r="G2068" s="11"/>
      <c r="H2068" s="6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</row>
    <row r="2069" ht="19.5" customHeight="1">
      <c r="A2069" s="8"/>
      <c r="B2069" s="13"/>
      <c r="C2069" s="8"/>
      <c r="D2069" s="14"/>
      <c r="E2069" s="22"/>
      <c r="F2069" s="10"/>
      <c r="G2069" s="11"/>
      <c r="H2069" s="6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</row>
    <row r="2070" ht="19.5" customHeight="1">
      <c r="A2070" s="8"/>
      <c r="B2070" s="13"/>
      <c r="C2070" s="8"/>
      <c r="D2070" s="14"/>
      <c r="E2070" s="22"/>
      <c r="F2070" s="10"/>
      <c r="G2070" s="11"/>
      <c r="H2070" s="6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</row>
    <row r="2071" ht="19.5" customHeight="1">
      <c r="A2071" s="8"/>
      <c r="B2071" s="13"/>
      <c r="C2071" s="8"/>
      <c r="D2071" s="14"/>
      <c r="E2071" s="22"/>
      <c r="F2071" s="10"/>
      <c r="G2071" s="11"/>
      <c r="H2071" s="6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</row>
    <row r="2072" ht="19.5" customHeight="1">
      <c r="A2072" s="8"/>
      <c r="B2072" s="13"/>
      <c r="C2072" s="8"/>
      <c r="D2072" s="14"/>
      <c r="E2072" s="22"/>
      <c r="F2072" s="10"/>
      <c r="G2072" s="11"/>
      <c r="H2072" s="6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</row>
    <row r="2073" ht="19.5" customHeight="1">
      <c r="A2073" s="8"/>
      <c r="B2073" s="13"/>
      <c r="C2073" s="8"/>
      <c r="D2073" s="14"/>
      <c r="E2073" s="22"/>
      <c r="F2073" s="10"/>
      <c r="G2073" s="11"/>
      <c r="H2073" s="6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</row>
    <row r="2074" ht="19.5" customHeight="1">
      <c r="A2074" s="8"/>
      <c r="B2074" s="13"/>
      <c r="C2074" s="8"/>
      <c r="D2074" s="14"/>
      <c r="E2074" s="22"/>
      <c r="F2074" s="10"/>
      <c r="G2074" s="11"/>
      <c r="H2074" s="6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</row>
    <row r="2075" ht="19.5" customHeight="1">
      <c r="A2075" s="8"/>
      <c r="B2075" s="13"/>
      <c r="C2075" s="8"/>
      <c r="D2075" s="14"/>
      <c r="E2075" s="22"/>
      <c r="F2075" s="10"/>
      <c r="G2075" s="11"/>
      <c r="H2075" s="6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</row>
    <row r="2076" ht="19.5" customHeight="1">
      <c r="A2076" s="8"/>
      <c r="B2076" s="13"/>
      <c r="C2076" s="8"/>
      <c r="D2076" s="14"/>
      <c r="E2076" s="22"/>
      <c r="F2076" s="10"/>
      <c r="G2076" s="11"/>
      <c r="H2076" s="6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</row>
    <row r="2077" ht="19.5" customHeight="1">
      <c r="A2077" s="8"/>
      <c r="B2077" s="13"/>
      <c r="C2077" s="8"/>
      <c r="D2077" s="14"/>
      <c r="E2077" s="22"/>
      <c r="F2077" s="10"/>
      <c r="G2077" s="11"/>
      <c r="H2077" s="6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</row>
    <row r="2078" ht="19.5" customHeight="1">
      <c r="A2078" s="8"/>
      <c r="B2078" s="13"/>
      <c r="C2078" s="8"/>
      <c r="D2078" s="14"/>
      <c r="E2078" s="22"/>
      <c r="F2078" s="10"/>
      <c r="G2078" s="11"/>
      <c r="H2078" s="6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</row>
    <row r="2079" ht="19.5" customHeight="1">
      <c r="A2079" s="8"/>
      <c r="B2079" s="13"/>
      <c r="C2079" s="8"/>
      <c r="D2079" s="14"/>
      <c r="E2079" s="22"/>
      <c r="F2079" s="10"/>
      <c r="G2079" s="11"/>
      <c r="H2079" s="6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</row>
    <row r="2080" ht="19.5" customHeight="1">
      <c r="A2080" s="8"/>
      <c r="B2080" s="13"/>
      <c r="C2080" s="8"/>
      <c r="D2080" s="14"/>
      <c r="E2080" s="22"/>
      <c r="F2080" s="10"/>
      <c r="G2080" s="11"/>
      <c r="H2080" s="6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</row>
    <row r="2081" ht="19.5" customHeight="1">
      <c r="A2081" s="8"/>
      <c r="B2081" s="13"/>
      <c r="C2081" s="8"/>
      <c r="D2081" s="14"/>
      <c r="E2081" s="22"/>
      <c r="F2081" s="10"/>
      <c r="G2081" s="11"/>
      <c r="H2081" s="6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</row>
    <row r="2082" ht="19.5" customHeight="1">
      <c r="A2082" s="8"/>
      <c r="B2082" s="13"/>
      <c r="C2082" s="8"/>
      <c r="D2082" s="14"/>
      <c r="E2082" s="22"/>
      <c r="F2082" s="10"/>
      <c r="G2082" s="11"/>
      <c r="H2082" s="6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</row>
    <row r="2083" ht="19.5" customHeight="1">
      <c r="A2083" s="8"/>
      <c r="B2083" s="13"/>
      <c r="C2083" s="8"/>
      <c r="D2083" s="14"/>
      <c r="E2083" s="22"/>
      <c r="F2083" s="10"/>
      <c r="G2083" s="11"/>
      <c r="H2083" s="6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</row>
    <row r="2084" ht="19.5" customHeight="1">
      <c r="A2084" s="8"/>
      <c r="B2084" s="13"/>
      <c r="C2084" s="8"/>
      <c r="D2084" s="14"/>
      <c r="E2084" s="22"/>
      <c r="F2084" s="10"/>
      <c r="G2084" s="11"/>
      <c r="H2084" s="6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</row>
    <row r="2085" ht="19.5" customHeight="1">
      <c r="A2085" s="8"/>
      <c r="B2085" s="13"/>
      <c r="C2085" s="8"/>
      <c r="D2085" s="14"/>
      <c r="E2085" s="22"/>
      <c r="F2085" s="10"/>
      <c r="G2085" s="11"/>
      <c r="H2085" s="6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</row>
    <row r="2086" ht="19.5" customHeight="1">
      <c r="A2086" s="8"/>
      <c r="B2086" s="13"/>
      <c r="C2086" s="8"/>
      <c r="D2086" s="14"/>
      <c r="E2086" s="22"/>
      <c r="F2086" s="10"/>
      <c r="G2086" s="11"/>
      <c r="H2086" s="6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</row>
    <row r="2087" ht="19.5" customHeight="1">
      <c r="A2087" s="8"/>
      <c r="B2087" s="13"/>
      <c r="C2087" s="8"/>
      <c r="D2087" s="14"/>
      <c r="E2087" s="22"/>
      <c r="F2087" s="10"/>
      <c r="G2087" s="11"/>
      <c r="H2087" s="6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</row>
    <row r="2088" ht="19.5" customHeight="1">
      <c r="A2088" s="8"/>
      <c r="B2088" s="13"/>
      <c r="C2088" s="8"/>
      <c r="D2088" s="14"/>
      <c r="E2088" s="22"/>
      <c r="F2088" s="10"/>
      <c r="G2088" s="11"/>
      <c r="H2088" s="6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</row>
    <row r="2089" ht="19.5" customHeight="1">
      <c r="A2089" s="8"/>
      <c r="B2089" s="13"/>
      <c r="C2089" s="8"/>
      <c r="D2089" s="14"/>
      <c r="E2089" s="22"/>
      <c r="F2089" s="10"/>
      <c r="G2089" s="11"/>
      <c r="H2089" s="6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</row>
    <row r="2090" ht="19.5" customHeight="1">
      <c r="A2090" s="8"/>
      <c r="B2090" s="13"/>
      <c r="C2090" s="8"/>
      <c r="D2090" s="14"/>
      <c r="E2090" s="22"/>
      <c r="F2090" s="10"/>
      <c r="G2090" s="11"/>
      <c r="H2090" s="6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</row>
    <row r="2091" ht="19.5" customHeight="1">
      <c r="A2091" s="8"/>
      <c r="B2091" s="13"/>
      <c r="C2091" s="8"/>
      <c r="D2091" s="14"/>
      <c r="E2091" s="22"/>
      <c r="F2091" s="10"/>
      <c r="G2091" s="11"/>
      <c r="H2091" s="6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</row>
    <row r="2092" ht="19.5" customHeight="1">
      <c r="A2092" s="8"/>
      <c r="B2092" s="13"/>
      <c r="C2092" s="8"/>
      <c r="D2092" s="14"/>
      <c r="E2092" s="22"/>
      <c r="F2092" s="10"/>
      <c r="G2092" s="11"/>
      <c r="H2092" s="6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</row>
    <row r="2093" ht="19.5" customHeight="1">
      <c r="A2093" s="8"/>
      <c r="B2093" s="13"/>
      <c r="C2093" s="8"/>
      <c r="D2093" s="14"/>
      <c r="E2093" s="22"/>
      <c r="F2093" s="10"/>
      <c r="G2093" s="11"/>
      <c r="H2093" s="6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</row>
    <row r="2094" ht="19.5" customHeight="1">
      <c r="A2094" s="8"/>
      <c r="B2094" s="13"/>
      <c r="C2094" s="8"/>
      <c r="D2094" s="14"/>
      <c r="E2094" s="22"/>
      <c r="F2094" s="10"/>
      <c r="G2094" s="11"/>
      <c r="H2094" s="6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</row>
    <row r="2095" ht="19.5" customHeight="1">
      <c r="A2095" s="8"/>
      <c r="B2095" s="13"/>
      <c r="C2095" s="8"/>
      <c r="D2095" s="14"/>
      <c r="E2095" s="22"/>
      <c r="F2095" s="10"/>
      <c r="G2095" s="11"/>
      <c r="H2095" s="6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</row>
    <row r="2096" ht="19.5" customHeight="1">
      <c r="A2096" s="8"/>
      <c r="B2096" s="13"/>
      <c r="C2096" s="8"/>
      <c r="D2096" s="14"/>
      <c r="E2096" s="22"/>
      <c r="F2096" s="10"/>
      <c r="G2096" s="11"/>
      <c r="H2096" s="6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</row>
    <row r="2097" ht="19.5" customHeight="1">
      <c r="A2097" s="8"/>
      <c r="B2097" s="13"/>
      <c r="C2097" s="8"/>
      <c r="D2097" s="14"/>
      <c r="E2097" s="22"/>
      <c r="F2097" s="10"/>
      <c r="G2097" s="11"/>
      <c r="H2097" s="6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</row>
    <row r="2098" ht="19.5" customHeight="1">
      <c r="A2098" s="8"/>
      <c r="B2098" s="13"/>
      <c r="C2098" s="8"/>
      <c r="D2098" s="14"/>
      <c r="E2098" s="22"/>
      <c r="F2098" s="10"/>
      <c r="G2098" s="11"/>
      <c r="H2098" s="6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</row>
    <row r="2099" ht="19.5" customHeight="1">
      <c r="A2099" s="8"/>
      <c r="B2099" s="13"/>
      <c r="C2099" s="8"/>
      <c r="D2099" s="14"/>
      <c r="E2099" s="22"/>
      <c r="F2099" s="10"/>
      <c r="G2099" s="11"/>
      <c r="H2099" s="6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</row>
    <row r="2100" ht="19.5" customHeight="1">
      <c r="A2100" s="8"/>
      <c r="B2100" s="13"/>
      <c r="C2100" s="8"/>
      <c r="D2100" s="14"/>
      <c r="E2100" s="22"/>
      <c r="F2100" s="10"/>
      <c r="G2100" s="11"/>
      <c r="H2100" s="6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</row>
    <row r="2101" ht="19.5" customHeight="1">
      <c r="A2101" s="8"/>
      <c r="B2101" s="13"/>
      <c r="C2101" s="8"/>
      <c r="D2101" s="14"/>
      <c r="E2101" s="22"/>
      <c r="F2101" s="10"/>
      <c r="G2101" s="11"/>
      <c r="H2101" s="6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</row>
    <row r="2102" ht="19.5" customHeight="1">
      <c r="A2102" s="8"/>
      <c r="B2102" s="13"/>
      <c r="C2102" s="8"/>
      <c r="D2102" s="14"/>
      <c r="E2102" s="22"/>
      <c r="F2102" s="10"/>
      <c r="G2102" s="11"/>
      <c r="H2102" s="6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</row>
    <row r="2103" ht="19.5" customHeight="1">
      <c r="A2103" s="8"/>
      <c r="B2103" s="13"/>
      <c r="C2103" s="8"/>
      <c r="D2103" s="14"/>
      <c r="E2103" s="22"/>
      <c r="F2103" s="10"/>
      <c r="G2103" s="11"/>
      <c r="H2103" s="6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</row>
    <row r="2104" ht="19.5" customHeight="1">
      <c r="A2104" s="8"/>
      <c r="B2104" s="13"/>
      <c r="C2104" s="8"/>
      <c r="D2104" s="14"/>
      <c r="E2104" s="22"/>
      <c r="F2104" s="10"/>
      <c r="G2104" s="11"/>
      <c r="H2104" s="6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</row>
    <row r="2105" ht="19.5" customHeight="1">
      <c r="A2105" s="8"/>
      <c r="B2105" s="13"/>
      <c r="C2105" s="8"/>
      <c r="D2105" s="14"/>
      <c r="E2105" s="22"/>
      <c r="F2105" s="10"/>
      <c r="G2105" s="11"/>
      <c r="H2105" s="6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</row>
    <row r="2106" ht="19.5" customHeight="1">
      <c r="A2106" s="8"/>
      <c r="B2106" s="13"/>
      <c r="C2106" s="8"/>
      <c r="D2106" s="14"/>
      <c r="E2106" s="22"/>
      <c r="F2106" s="10"/>
      <c r="G2106" s="11"/>
      <c r="H2106" s="6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</row>
    <row r="2107" ht="19.5" customHeight="1">
      <c r="A2107" s="8"/>
      <c r="B2107" s="13"/>
      <c r="C2107" s="8"/>
      <c r="D2107" s="14"/>
      <c r="E2107" s="22"/>
      <c r="F2107" s="10"/>
      <c r="G2107" s="11"/>
      <c r="H2107" s="6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</row>
    <row r="2108" ht="19.5" customHeight="1">
      <c r="A2108" s="8"/>
      <c r="B2108" s="13"/>
      <c r="C2108" s="8"/>
      <c r="D2108" s="14"/>
      <c r="E2108" s="22"/>
      <c r="F2108" s="10"/>
      <c r="G2108" s="11"/>
      <c r="H2108" s="6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</row>
    <row r="2109" ht="19.5" customHeight="1">
      <c r="A2109" s="8"/>
      <c r="B2109" s="13"/>
      <c r="C2109" s="8"/>
      <c r="D2109" s="14"/>
      <c r="E2109" s="22"/>
      <c r="F2109" s="10"/>
      <c r="G2109" s="11"/>
      <c r="H2109" s="6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</row>
    <row r="2110" ht="19.5" customHeight="1">
      <c r="A2110" s="8"/>
      <c r="B2110" s="13"/>
      <c r="C2110" s="8"/>
      <c r="D2110" s="14"/>
      <c r="E2110" s="22"/>
      <c r="F2110" s="10"/>
      <c r="G2110" s="11"/>
      <c r="H2110" s="6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</row>
    <row r="2111" ht="19.5" customHeight="1">
      <c r="A2111" s="8"/>
      <c r="B2111" s="13"/>
      <c r="C2111" s="8"/>
      <c r="D2111" s="14"/>
      <c r="E2111" s="22"/>
      <c r="F2111" s="10"/>
      <c r="G2111" s="11"/>
      <c r="H2111" s="6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</row>
    <row r="2112" ht="19.5" customHeight="1">
      <c r="A2112" s="8"/>
      <c r="B2112" s="13"/>
      <c r="C2112" s="8"/>
      <c r="D2112" s="14"/>
      <c r="E2112" s="22"/>
      <c r="F2112" s="10"/>
      <c r="G2112" s="11"/>
      <c r="H2112" s="6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</row>
    <row r="2113" ht="19.5" customHeight="1">
      <c r="A2113" s="8"/>
      <c r="B2113" s="13"/>
      <c r="C2113" s="8"/>
      <c r="D2113" s="14"/>
      <c r="E2113" s="22"/>
      <c r="F2113" s="10"/>
      <c r="G2113" s="11"/>
      <c r="H2113" s="6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</row>
    <row r="2114" ht="19.5" customHeight="1">
      <c r="A2114" s="8"/>
      <c r="B2114" s="13"/>
      <c r="C2114" s="8"/>
      <c r="D2114" s="14"/>
      <c r="E2114" s="22"/>
      <c r="F2114" s="10"/>
      <c r="G2114" s="11"/>
      <c r="H2114" s="6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</row>
    <row r="2115" ht="19.5" customHeight="1">
      <c r="A2115" s="8"/>
      <c r="B2115" s="13"/>
      <c r="C2115" s="8"/>
      <c r="D2115" s="14"/>
      <c r="E2115" s="22"/>
      <c r="F2115" s="10"/>
      <c r="G2115" s="11"/>
      <c r="H2115" s="6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</row>
    <row r="2116" ht="19.5" customHeight="1">
      <c r="A2116" s="8"/>
      <c r="B2116" s="13"/>
      <c r="C2116" s="8"/>
      <c r="D2116" s="14"/>
      <c r="E2116" s="22"/>
      <c r="F2116" s="10"/>
      <c r="G2116" s="11"/>
      <c r="H2116" s="6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</row>
    <row r="2117" ht="19.5" customHeight="1">
      <c r="A2117" s="8"/>
      <c r="B2117" s="13"/>
      <c r="C2117" s="8"/>
      <c r="D2117" s="14"/>
      <c r="E2117" s="22"/>
      <c r="F2117" s="10"/>
      <c r="G2117" s="11"/>
      <c r="H2117" s="6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</row>
    <row r="2118" ht="19.5" customHeight="1">
      <c r="A2118" s="8"/>
      <c r="B2118" s="13"/>
      <c r="C2118" s="8"/>
      <c r="D2118" s="14"/>
      <c r="E2118" s="22"/>
      <c r="F2118" s="10"/>
      <c r="G2118" s="11"/>
      <c r="H2118" s="6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</row>
    <row r="2119" ht="19.5" customHeight="1">
      <c r="A2119" s="8"/>
      <c r="B2119" s="13"/>
      <c r="C2119" s="8"/>
      <c r="D2119" s="14"/>
      <c r="E2119" s="22"/>
      <c r="F2119" s="10"/>
      <c r="G2119" s="11"/>
      <c r="H2119" s="6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</row>
    <row r="2120" ht="19.5" customHeight="1">
      <c r="A2120" s="8"/>
      <c r="B2120" s="13"/>
      <c r="C2120" s="8"/>
      <c r="D2120" s="14"/>
      <c r="E2120" s="22"/>
      <c r="F2120" s="10"/>
      <c r="G2120" s="11"/>
      <c r="H2120" s="6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</row>
    <row r="2121" ht="19.5" customHeight="1">
      <c r="A2121" s="8"/>
      <c r="B2121" s="13"/>
      <c r="C2121" s="8"/>
      <c r="D2121" s="14"/>
      <c r="E2121" s="22"/>
      <c r="F2121" s="10"/>
      <c r="G2121" s="11"/>
      <c r="H2121" s="6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</row>
    <row r="2122" ht="19.5" customHeight="1">
      <c r="A2122" s="8"/>
      <c r="B2122" s="13"/>
      <c r="C2122" s="8"/>
      <c r="D2122" s="14"/>
      <c r="E2122" s="22"/>
      <c r="F2122" s="10"/>
      <c r="G2122" s="11"/>
      <c r="H2122" s="6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</row>
    <row r="2123" ht="19.5" customHeight="1">
      <c r="A2123" s="8"/>
      <c r="B2123" s="13"/>
      <c r="C2123" s="8"/>
      <c r="D2123" s="14"/>
      <c r="E2123" s="22"/>
      <c r="F2123" s="10"/>
      <c r="G2123" s="11"/>
      <c r="H2123" s="6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</row>
    <row r="2124" ht="19.5" customHeight="1">
      <c r="A2124" s="8"/>
      <c r="B2124" s="13"/>
      <c r="C2124" s="8"/>
      <c r="D2124" s="14"/>
      <c r="E2124" s="22"/>
      <c r="F2124" s="10"/>
      <c r="G2124" s="11"/>
      <c r="H2124" s="6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</row>
    <row r="2125" ht="19.5" customHeight="1">
      <c r="A2125" s="8"/>
      <c r="B2125" s="13"/>
      <c r="C2125" s="8"/>
      <c r="D2125" s="14"/>
      <c r="E2125" s="22"/>
      <c r="F2125" s="10"/>
      <c r="G2125" s="11"/>
      <c r="H2125" s="6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</row>
    <row r="2126" ht="19.5" customHeight="1">
      <c r="A2126" s="8"/>
      <c r="B2126" s="13"/>
      <c r="C2126" s="8"/>
      <c r="D2126" s="14"/>
      <c r="E2126" s="22"/>
      <c r="F2126" s="10"/>
      <c r="G2126" s="11"/>
      <c r="H2126" s="6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</row>
    <row r="2127" ht="19.5" customHeight="1">
      <c r="A2127" s="8"/>
      <c r="B2127" s="13"/>
      <c r="C2127" s="8"/>
      <c r="D2127" s="14"/>
      <c r="E2127" s="22"/>
      <c r="F2127" s="10"/>
      <c r="G2127" s="11"/>
      <c r="H2127" s="6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  <c r="AA2127" s="8"/>
      <c r="AB2127" s="8"/>
    </row>
    <row r="2128" ht="19.5" customHeight="1">
      <c r="A2128" s="8"/>
      <c r="B2128" s="13"/>
      <c r="C2128" s="8"/>
      <c r="D2128" s="14"/>
      <c r="E2128" s="22"/>
      <c r="F2128" s="10"/>
      <c r="G2128" s="11"/>
      <c r="H2128" s="6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</row>
    <row r="2129" ht="19.5" customHeight="1">
      <c r="A2129" s="8"/>
      <c r="B2129" s="13"/>
      <c r="C2129" s="8"/>
      <c r="D2129" s="14"/>
      <c r="E2129" s="22"/>
      <c r="F2129" s="10"/>
      <c r="G2129" s="11"/>
      <c r="H2129" s="6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</row>
    <row r="2130" ht="19.5" customHeight="1">
      <c r="A2130" s="8"/>
      <c r="B2130" s="13"/>
      <c r="C2130" s="8"/>
      <c r="D2130" s="14"/>
      <c r="E2130" s="22"/>
      <c r="F2130" s="10"/>
      <c r="G2130" s="11"/>
      <c r="H2130" s="6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</row>
    <row r="2131" ht="19.5" customHeight="1">
      <c r="A2131" s="8"/>
      <c r="B2131" s="13"/>
      <c r="C2131" s="8"/>
      <c r="D2131" s="14"/>
      <c r="E2131" s="22"/>
      <c r="F2131" s="10"/>
      <c r="G2131" s="11"/>
      <c r="H2131" s="6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</row>
    <row r="2132" ht="19.5" customHeight="1">
      <c r="A2132" s="8"/>
      <c r="B2132" s="13"/>
      <c r="C2132" s="8"/>
      <c r="D2132" s="14"/>
      <c r="E2132" s="22"/>
      <c r="F2132" s="10"/>
      <c r="G2132" s="11"/>
      <c r="H2132" s="6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</row>
    <row r="2133" ht="19.5" customHeight="1">
      <c r="A2133" s="8"/>
      <c r="B2133" s="13"/>
      <c r="C2133" s="8"/>
      <c r="D2133" s="14"/>
      <c r="E2133" s="22"/>
      <c r="F2133" s="10"/>
      <c r="G2133" s="11"/>
      <c r="H2133" s="6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</row>
    <row r="2134" ht="19.5" customHeight="1">
      <c r="A2134" s="8"/>
      <c r="B2134" s="13"/>
      <c r="C2134" s="8"/>
      <c r="D2134" s="14"/>
      <c r="E2134" s="22"/>
      <c r="F2134" s="10"/>
      <c r="G2134" s="11"/>
      <c r="H2134" s="6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</row>
    <row r="2135" ht="19.5" customHeight="1">
      <c r="A2135" s="8"/>
      <c r="B2135" s="13"/>
      <c r="C2135" s="8"/>
      <c r="D2135" s="14"/>
      <c r="E2135" s="22"/>
      <c r="F2135" s="10"/>
      <c r="G2135" s="11"/>
      <c r="H2135" s="6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</row>
    <row r="2136" ht="19.5" customHeight="1">
      <c r="A2136" s="8"/>
      <c r="B2136" s="13"/>
      <c r="C2136" s="8"/>
      <c r="D2136" s="14"/>
      <c r="E2136" s="22"/>
      <c r="F2136" s="10"/>
      <c r="G2136" s="11"/>
      <c r="H2136" s="6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</row>
    <row r="2137" ht="19.5" customHeight="1">
      <c r="A2137" s="8"/>
      <c r="B2137" s="13"/>
      <c r="C2137" s="8"/>
      <c r="D2137" s="14"/>
      <c r="E2137" s="22"/>
      <c r="F2137" s="10"/>
      <c r="G2137" s="11"/>
      <c r="H2137" s="6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</row>
    <row r="2138" ht="19.5" customHeight="1">
      <c r="A2138" s="8"/>
      <c r="B2138" s="13"/>
      <c r="C2138" s="8"/>
      <c r="D2138" s="14"/>
      <c r="E2138" s="22"/>
      <c r="F2138" s="10"/>
      <c r="G2138" s="11"/>
      <c r="H2138" s="6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</row>
    <row r="2139" ht="19.5" customHeight="1">
      <c r="A2139" s="8"/>
      <c r="B2139" s="13"/>
      <c r="C2139" s="8"/>
      <c r="D2139" s="14"/>
      <c r="E2139" s="22"/>
      <c r="F2139" s="10"/>
      <c r="G2139" s="11"/>
      <c r="H2139" s="6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</row>
    <row r="2140" ht="19.5" customHeight="1">
      <c r="A2140" s="8"/>
      <c r="B2140" s="13"/>
      <c r="C2140" s="8"/>
      <c r="D2140" s="14"/>
      <c r="E2140" s="22"/>
      <c r="F2140" s="10"/>
      <c r="G2140" s="11"/>
      <c r="H2140" s="6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</row>
    <row r="2141" ht="19.5" customHeight="1">
      <c r="A2141" s="8"/>
      <c r="B2141" s="13"/>
      <c r="C2141" s="8"/>
      <c r="D2141" s="14"/>
      <c r="E2141" s="22"/>
      <c r="F2141" s="10"/>
      <c r="G2141" s="11"/>
      <c r="H2141" s="6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</row>
    <row r="2142" ht="19.5" customHeight="1">
      <c r="A2142" s="8"/>
      <c r="B2142" s="13"/>
      <c r="C2142" s="8"/>
      <c r="D2142" s="14"/>
      <c r="E2142" s="22"/>
      <c r="F2142" s="10"/>
      <c r="G2142" s="11"/>
      <c r="H2142" s="6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8"/>
    </row>
    <row r="2143" ht="19.5" customHeight="1">
      <c r="A2143" s="8"/>
      <c r="B2143" s="13"/>
      <c r="C2143" s="8"/>
      <c r="D2143" s="14"/>
      <c r="E2143" s="22"/>
      <c r="F2143" s="10"/>
      <c r="G2143" s="11"/>
      <c r="H2143" s="6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</row>
    <row r="2144" ht="19.5" customHeight="1">
      <c r="A2144" s="8"/>
      <c r="B2144" s="13"/>
      <c r="C2144" s="8"/>
      <c r="D2144" s="14"/>
      <c r="E2144" s="22"/>
      <c r="F2144" s="10"/>
      <c r="G2144" s="11"/>
      <c r="H2144" s="6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</row>
    <row r="2145" ht="19.5" customHeight="1">
      <c r="A2145" s="8"/>
      <c r="B2145" s="13"/>
      <c r="C2145" s="8"/>
      <c r="D2145" s="14"/>
      <c r="E2145" s="22"/>
      <c r="F2145" s="10"/>
      <c r="G2145" s="11"/>
      <c r="H2145" s="6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</row>
    <row r="2146" ht="19.5" customHeight="1">
      <c r="A2146" s="8"/>
      <c r="B2146" s="13"/>
      <c r="C2146" s="8"/>
      <c r="D2146" s="14"/>
      <c r="E2146" s="22"/>
      <c r="F2146" s="10"/>
      <c r="G2146" s="11"/>
      <c r="H2146" s="6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</row>
    <row r="2147" ht="19.5" customHeight="1">
      <c r="A2147" s="8"/>
      <c r="B2147" s="13"/>
      <c r="C2147" s="8"/>
      <c r="D2147" s="14"/>
      <c r="E2147" s="22"/>
      <c r="F2147" s="10"/>
      <c r="G2147" s="11"/>
      <c r="H2147" s="6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</row>
    <row r="2148" ht="19.5" customHeight="1">
      <c r="A2148" s="8"/>
      <c r="B2148" s="13"/>
      <c r="C2148" s="8"/>
      <c r="D2148" s="14"/>
      <c r="E2148" s="22"/>
      <c r="F2148" s="10"/>
      <c r="G2148" s="11"/>
      <c r="H2148" s="6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</row>
    <row r="2149" ht="19.5" customHeight="1">
      <c r="A2149" s="8"/>
      <c r="B2149" s="13"/>
      <c r="C2149" s="8"/>
      <c r="D2149" s="14"/>
      <c r="E2149" s="22"/>
      <c r="F2149" s="10"/>
      <c r="G2149" s="11"/>
      <c r="H2149" s="6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</row>
    <row r="2150" ht="19.5" customHeight="1">
      <c r="A2150" s="8"/>
      <c r="B2150" s="13"/>
      <c r="C2150" s="8"/>
      <c r="D2150" s="14"/>
      <c r="E2150" s="22"/>
      <c r="F2150" s="10"/>
      <c r="G2150" s="11"/>
      <c r="H2150" s="6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</row>
    <row r="2151" ht="19.5" customHeight="1">
      <c r="A2151" s="8"/>
      <c r="B2151" s="13"/>
      <c r="C2151" s="8"/>
      <c r="D2151" s="14"/>
      <c r="E2151" s="22"/>
      <c r="F2151" s="10"/>
      <c r="G2151" s="11"/>
      <c r="H2151" s="6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</row>
    <row r="2152" ht="19.5" customHeight="1">
      <c r="A2152" s="8"/>
      <c r="B2152" s="13"/>
      <c r="C2152" s="8"/>
      <c r="D2152" s="14"/>
      <c r="E2152" s="22"/>
      <c r="F2152" s="10"/>
      <c r="G2152" s="11"/>
      <c r="H2152" s="6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</row>
    <row r="2153" ht="19.5" customHeight="1">
      <c r="A2153" s="8"/>
      <c r="B2153" s="13"/>
      <c r="C2153" s="8"/>
      <c r="D2153" s="14"/>
      <c r="E2153" s="22"/>
      <c r="F2153" s="10"/>
      <c r="G2153" s="11"/>
      <c r="H2153" s="6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</row>
    <row r="2154" ht="19.5" customHeight="1">
      <c r="A2154" s="8"/>
      <c r="B2154" s="13"/>
      <c r="C2154" s="8"/>
      <c r="D2154" s="14"/>
      <c r="E2154" s="22"/>
      <c r="F2154" s="10"/>
      <c r="G2154" s="11"/>
      <c r="H2154" s="6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</row>
    <row r="2155" ht="19.5" customHeight="1">
      <c r="A2155" s="8"/>
      <c r="B2155" s="13"/>
      <c r="C2155" s="8"/>
      <c r="D2155" s="14"/>
      <c r="E2155" s="22"/>
      <c r="F2155" s="10"/>
      <c r="G2155" s="11"/>
      <c r="H2155" s="6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</row>
    <row r="2156" ht="19.5" customHeight="1">
      <c r="A2156" s="8"/>
      <c r="B2156" s="13"/>
      <c r="C2156" s="8"/>
      <c r="D2156" s="14"/>
      <c r="E2156" s="22"/>
      <c r="F2156" s="10"/>
      <c r="G2156" s="11"/>
      <c r="H2156" s="6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</row>
    <row r="2157" ht="19.5" customHeight="1">
      <c r="A2157" s="8"/>
      <c r="B2157" s="13"/>
      <c r="C2157" s="8"/>
      <c r="D2157" s="14"/>
      <c r="E2157" s="22"/>
      <c r="F2157" s="10"/>
      <c r="G2157" s="11"/>
      <c r="H2157" s="6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</row>
    <row r="2158" ht="19.5" customHeight="1">
      <c r="A2158" s="8"/>
      <c r="B2158" s="13"/>
      <c r="C2158" s="8"/>
      <c r="D2158" s="14"/>
      <c r="E2158" s="22"/>
      <c r="F2158" s="10"/>
      <c r="G2158" s="11"/>
      <c r="H2158" s="6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</row>
    <row r="2159" ht="19.5" customHeight="1">
      <c r="A2159" s="8"/>
      <c r="B2159" s="13"/>
      <c r="C2159" s="8"/>
      <c r="D2159" s="14"/>
      <c r="E2159" s="22"/>
      <c r="F2159" s="10"/>
      <c r="G2159" s="11"/>
      <c r="H2159" s="6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</row>
    <row r="2160" ht="19.5" customHeight="1">
      <c r="A2160" s="8"/>
      <c r="B2160" s="13"/>
      <c r="C2160" s="8"/>
      <c r="D2160" s="14"/>
      <c r="E2160" s="22"/>
      <c r="F2160" s="10"/>
      <c r="G2160" s="11"/>
      <c r="H2160" s="6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</row>
    <row r="2161" ht="19.5" customHeight="1">
      <c r="A2161" s="8"/>
      <c r="B2161" s="13"/>
      <c r="C2161" s="8"/>
      <c r="D2161" s="14"/>
      <c r="E2161" s="22"/>
      <c r="F2161" s="10"/>
      <c r="G2161" s="11"/>
      <c r="H2161" s="6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</row>
    <row r="2162" ht="19.5" customHeight="1">
      <c r="A2162" s="8"/>
      <c r="B2162" s="13"/>
      <c r="C2162" s="8"/>
      <c r="D2162" s="14"/>
      <c r="E2162" s="22"/>
      <c r="F2162" s="10"/>
      <c r="G2162" s="11"/>
      <c r="H2162" s="6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</row>
    <row r="2163" ht="19.5" customHeight="1">
      <c r="A2163" s="8"/>
      <c r="B2163" s="13"/>
      <c r="C2163" s="8"/>
      <c r="D2163" s="14"/>
      <c r="E2163" s="22"/>
      <c r="F2163" s="10"/>
      <c r="G2163" s="11"/>
      <c r="H2163" s="6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</row>
    <row r="2164" ht="19.5" customHeight="1">
      <c r="A2164" s="8"/>
      <c r="B2164" s="13"/>
      <c r="C2164" s="8"/>
      <c r="D2164" s="14"/>
      <c r="E2164" s="22"/>
      <c r="F2164" s="10"/>
      <c r="G2164" s="11"/>
      <c r="H2164" s="6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</row>
    <row r="2165" ht="19.5" customHeight="1">
      <c r="A2165" s="8"/>
      <c r="B2165" s="13"/>
      <c r="C2165" s="8"/>
      <c r="D2165" s="14"/>
      <c r="E2165" s="22"/>
      <c r="F2165" s="10"/>
      <c r="G2165" s="11"/>
      <c r="H2165" s="6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</row>
    <row r="2166" ht="19.5" customHeight="1">
      <c r="A2166" s="8"/>
      <c r="B2166" s="13"/>
      <c r="C2166" s="8"/>
      <c r="D2166" s="14"/>
      <c r="E2166" s="22"/>
      <c r="F2166" s="10"/>
      <c r="G2166" s="11"/>
      <c r="H2166" s="6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</row>
    <row r="2167" ht="19.5" customHeight="1">
      <c r="A2167" s="8"/>
      <c r="B2167" s="13"/>
      <c r="C2167" s="8"/>
      <c r="D2167" s="14"/>
      <c r="E2167" s="22"/>
      <c r="F2167" s="10"/>
      <c r="G2167" s="11"/>
      <c r="H2167" s="6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</row>
    <row r="2168" ht="19.5" customHeight="1">
      <c r="A2168" s="8"/>
      <c r="B2168" s="13"/>
      <c r="C2168" s="8"/>
      <c r="D2168" s="14"/>
      <c r="E2168" s="22"/>
      <c r="F2168" s="10"/>
      <c r="G2168" s="11"/>
      <c r="H2168" s="6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</row>
    <row r="2169" ht="19.5" customHeight="1">
      <c r="A2169" s="8"/>
      <c r="B2169" s="13"/>
      <c r="C2169" s="8"/>
      <c r="D2169" s="14"/>
      <c r="E2169" s="22"/>
      <c r="F2169" s="10"/>
      <c r="G2169" s="11"/>
      <c r="H2169" s="6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</row>
    <row r="2170" ht="19.5" customHeight="1">
      <c r="A2170" s="8"/>
      <c r="B2170" s="13"/>
      <c r="C2170" s="8"/>
      <c r="D2170" s="14"/>
      <c r="E2170" s="22"/>
      <c r="F2170" s="10"/>
      <c r="G2170" s="11"/>
      <c r="H2170" s="6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</row>
    <row r="2171" ht="19.5" customHeight="1">
      <c r="A2171" s="8"/>
      <c r="B2171" s="13"/>
      <c r="C2171" s="8"/>
      <c r="D2171" s="14"/>
      <c r="E2171" s="22"/>
      <c r="F2171" s="10"/>
      <c r="G2171" s="11"/>
      <c r="H2171" s="6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</row>
    <row r="2172" ht="19.5" customHeight="1">
      <c r="A2172" s="8"/>
      <c r="B2172" s="13"/>
      <c r="C2172" s="8"/>
      <c r="D2172" s="14"/>
      <c r="E2172" s="22"/>
      <c r="F2172" s="10"/>
      <c r="G2172" s="11"/>
      <c r="H2172" s="6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</row>
    <row r="2173" ht="19.5" customHeight="1">
      <c r="A2173" s="8"/>
      <c r="B2173" s="13"/>
      <c r="C2173" s="8"/>
      <c r="D2173" s="14"/>
      <c r="E2173" s="22"/>
      <c r="F2173" s="10"/>
      <c r="G2173" s="11"/>
      <c r="H2173" s="6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</row>
    <row r="2174" ht="19.5" customHeight="1">
      <c r="A2174" s="8"/>
      <c r="B2174" s="13"/>
      <c r="C2174" s="8"/>
      <c r="D2174" s="14"/>
      <c r="E2174" s="22"/>
      <c r="F2174" s="10"/>
      <c r="G2174" s="11"/>
      <c r="H2174" s="6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</row>
    <row r="2175" ht="19.5" customHeight="1">
      <c r="A2175" s="8"/>
      <c r="B2175" s="13"/>
      <c r="C2175" s="8"/>
      <c r="D2175" s="14"/>
      <c r="E2175" s="22"/>
      <c r="F2175" s="10"/>
      <c r="G2175" s="11"/>
      <c r="H2175" s="6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</row>
    <row r="2176" ht="19.5" customHeight="1">
      <c r="A2176" s="8"/>
      <c r="B2176" s="13"/>
      <c r="C2176" s="8"/>
      <c r="D2176" s="14"/>
      <c r="E2176" s="22"/>
      <c r="F2176" s="10"/>
      <c r="G2176" s="11"/>
      <c r="H2176" s="6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</row>
    <row r="2177" ht="19.5" customHeight="1">
      <c r="A2177" s="8"/>
      <c r="B2177" s="13"/>
      <c r="C2177" s="8"/>
      <c r="D2177" s="14"/>
      <c r="E2177" s="22"/>
      <c r="F2177" s="10"/>
      <c r="G2177" s="11"/>
      <c r="H2177" s="6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</row>
    <row r="2178" ht="19.5" customHeight="1">
      <c r="A2178" s="8"/>
      <c r="B2178" s="13"/>
      <c r="C2178" s="8"/>
      <c r="D2178" s="14"/>
      <c r="E2178" s="22"/>
      <c r="F2178" s="10"/>
      <c r="G2178" s="11"/>
      <c r="H2178" s="6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</row>
    <row r="2179" ht="19.5" customHeight="1">
      <c r="A2179" s="8"/>
      <c r="B2179" s="13"/>
      <c r="C2179" s="8"/>
      <c r="D2179" s="14"/>
      <c r="E2179" s="22"/>
      <c r="F2179" s="10"/>
      <c r="G2179" s="11"/>
      <c r="H2179" s="6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</row>
    <row r="2180" ht="19.5" customHeight="1">
      <c r="A2180" s="8"/>
      <c r="B2180" s="13"/>
      <c r="C2180" s="8"/>
      <c r="D2180" s="14"/>
      <c r="E2180" s="22"/>
      <c r="F2180" s="10"/>
      <c r="G2180" s="11"/>
      <c r="H2180" s="6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</row>
    <row r="2181" ht="19.5" customHeight="1">
      <c r="A2181" s="8"/>
      <c r="B2181" s="13"/>
      <c r="C2181" s="8"/>
      <c r="D2181" s="14"/>
      <c r="E2181" s="22"/>
      <c r="F2181" s="10"/>
      <c r="G2181" s="11"/>
      <c r="H2181" s="6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</row>
    <row r="2182" ht="19.5" customHeight="1">
      <c r="A2182" s="8"/>
      <c r="B2182" s="13"/>
      <c r="C2182" s="8"/>
      <c r="D2182" s="14"/>
      <c r="E2182" s="22"/>
      <c r="F2182" s="10"/>
      <c r="G2182" s="11"/>
      <c r="H2182" s="6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</row>
    <row r="2183" ht="19.5" customHeight="1">
      <c r="A2183" s="8"/>
      <c r="B2183" s="13"/>
      <c r="C2183" s="8"/>
      <c r="D2183" s="14"/>
      <c r="E2183" s="22"/>
      <c r="F2183" s="10"/>
      <c r="G2183" s="11"/>
      <c r="H2183" s="6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</row>
    <row r="2184" ht="19.5" customHeight="1">
      <c r="A2184" s="8"/>
      <c r="B2184" s="13"/>
      <c r="C2184" s="8"/>
      <c r="D2184" s="14"/>
      <c r="E2184" s="22"/>
      <c r="F2184" s="10"/>
      <c r="G2184" s="11"/>
      <c r="H2184" s="6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</row>
    <row r="2185" ht="19.5" customHeight="1">
      <c r="A2185" s="8"/>
      <c r="B2185" s="13"/>
      <c r="C2185" s="8"/>
      <c r="D2185" s="14"/>
      <c r="E2185" s="22"/>
      <c r="F2185" s="10"/>
      <c r="G2185" s="11"/>
      <c r="H2185" s="6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</row>
    <row r="2186" ht="19.5" customHeight="1">
      <c r="A2186" s="8"/>
      <c r="B2186" s="13"/>
      <c r="C2186" s="8"/>
      <c r="D2186" s="14"/>
      <c r="E2186" s="22"/>
      <c r="F2186" s="10"/>
      <c r="G2186" s="11"/>
      <c r="H2186" s="6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</row>
    <row r="2187" ht="19.5" customHeight="1">
      <c r="A2187" s="8"/>
      <c r="B2187" s="13"/>
      <c r="C2187" s="8"/>
      <c r="D2187" s="14"/>
      <c r="E2187" s="22"/>
      <c r="F2187" s="10"/>
      <c r="G2187" s="11"/>
      <c r="H2187" s="6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</row>
    <row r="2188" ht="19.5" customHeight="1">
      <c r="A2188" s="8"/>
      <c r="B2188" s="13"/>
      <c r="C2188" s="8"/>
      <c r="D2188" s="14"/>
      <c r="E2188" s="22"/>
      <c r="F2188" s="10"/>
      <c r="G2188" s="11"/>
      <c r="H2188" s="6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</row>
    <row r="2189" ht="19.5" customHeight="1">
      <c r="A2189" s="8"/>
      <c r="B2189" s="13"/>
      <c r="C2189" s="8"/>
      <c r="D2189" s="14"/>
      <c r="E2189" s="22"/>
      <c r="F2189" s="10"/>
      <c r="G2189" s="11"/>
      <c r="H2189" s="6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</row>
    <row r="2190" ht="19.5" customHeight="1">
      <c r="A2190" s="8"/>
      <c r="B2190" s="13"/>
      <c r="C2190" s="8"/>
      <c r="D2190" s="14"/>
      <c r="E2190" s="22"/>
      <c r="F2190" s="10"/>
      <c r="G2190" s="11"/>
      <c r="H2190" s="6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</row>
    <row r="2191" ht="19.5" customHeight="1">
      <c r="A2191" s="8"/>
      <c r="B2191" s="13"/>
      <c r="C2191" s="8"/>
      <c r="D2191" s="14"/>
      <c r="E2191" s="22"/>
      <c r="F2191" s="10"/>
      <c r="G2191" s="11"/>
      <c r="H2191" s="6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</row>
    <row r="2192" ht="19.5" customHeight="1">
      <c r="A2192" s="8"/>
      <c r="B2192" s="13"/>
      <c r="C2192" s="8"/>
      <c r="D2192" s="14"/>
      <c r="E2192" s="22"/>
      <c r="F2192" s="10"/>
      <c r="G2192" s="11"/>
      <c r="H2192" s="6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</row>
    <row r="2193" ht="19.5" customHeight="1">
      <c r="A2193" s="8"/>
      <c r="B2193" s="13"/>
      <c r="C2193" s="8"/>
      <c r="D2193" s="14"/>
      <c r="E2193" s="22"/>
      <c r="F2193" s="10"/>
      <c r="G2193" s="11"/>
      <c r="H2193" s="6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</row>
    <row r="2194" ht="19.5" customHeight="1">
      <c r="A2194" s="8"/>
      <c r="B2194" s="13"/>
      <c r="C2194" s="8"/>
      <c r="D2194" s="14"/>
      <c r="E2194" s="22"/>
      <c r="F2194" s="10"/>
      <c r="G2194" s="11"/>
      <c r="H2194" s="6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</row>
    <row r="2195" ht="19.5" customHeight="1">
      <c r="A2195" s="8"/>
      <c r="B2195" s="13"/>
      <c r="C2195" s="8"/>
      <c r="D2195" s="14"/>
      <c r="E2195" s="22"/>
      <c r="F2195" s="10"/>
      <c r="G2195" s="11"/>
      <c r="H2195" s="6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</row>
    <row r="2196" ht="19.5" customHeight="1">
      <c r="A2196" s="8"/>
      <c r="B2196" s="13"/>
      <c r="C2196" s="8"/>
      <c r="D2196" s="14"/>
      <c r="E2196" s="22"/>
      <c r="F2196" s="10"/>
      <c r="G2196" s="11"/>
      <c r="H2196" s="6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</row>
    <row r="2197" ht="19.5" customHeight="1">
      <c r="A2197" s="8"/>
      <c r="B2197" s="13"/>
      <c r="C2197" s="8"/>
      <c r="D2197" s="14"/>
      <c r="E2197" s="22"/>
      <c r="F2197" s="10"/>
      <c r="G2197" s="11"/>
      <c r="H2197" s="6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</row>
    <row r="2198" ht="19.5" customHeight="1">
      <c r="A2198" s="8"/>
      <c r="B2198" s="13"/>
      <c r="C2198" s="8"/>
      <c r="D2198" s="14"/>
      <c r="E2198" s="22"/>
      <c r="F2198" s="10"/>
      <c r="G2198" s="11"/>
      <c r="H2198" s="6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</row>
    <row r="2199" ht="19.5" customHeight="1">
      <c r="A2199" s="8"/>
      <c r="B2199" s="13"/>
      <c r="C2199" s="8"/>
      <c r="D2199" s="14"/>
      <c r="E2199" s="22"/>
      <c r="F2199" s="10"/>
      <c r="G2199" s="11"/>
      <c r="H2199" s="6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</row>
    <row r="2200" ht="19.5" customHeight="1">
      <c r="A2200" s="8"/>
      <c r="B2200" s="13"/>
      <c r="C2200" s="8"/>
      <c r="D2200" s="14"/>
      <c r="E2200" s="22"/>
      <c r="F2200" s="10"/>
      <c r="G2200" s="11"/>
      <c r="H2200" s="6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</row>
    <row r="2201" ht="19.5" customHeight="1">
      <c r="A2201" s="8"/>
      <c r="B2201" s="13"/>
      <c r="C2201" s="8"/>
      <c r="D2201" s="14"/>
      <c r="E2201" s="22"/>
      <c r="F2201" s="10"/>
      <c r="G2201" s="11"/>
      <c r="H2201" s="6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</row>
    <row r="2202" ht="19.5" customHeight="1">
      <c r="A2202" s="8"/>
      <c r="B2202" s="13"/>
      <c r="C2202" s="8"/>
      <c r="D2202" s="14"/>
      <c r="E2202" s="22"/>
      <c r="F2202" s="10"/>
      <c r="G2202" s="11"/>
      <c r="H2202" s="6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</row>
    <row r="2203" ht="19.5" customHeight="1">
      <c r="A2203" s="8"/>
      <c r="B2203" s="13"/>
      <c r="C2203" s="8"/>
      <c r="D2203" s="14"/>
      <c r="E2203" s="22"/>
      <c r="F2203" s="10"/>
      <c r="G2203" s="11"/>
      <c r="H2203" s="6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</row>
    <row r="2204" ht="19.5" customHeight="1">
      <c r="A2204" s="8"/>
      <c r="B2204" s="13"/>
      <c r="C2204" s="8"/>
      <c r="D2204" s="14"/>
      <c r="E2204" s="22"/>
      <c r="F2204" s="10"/>
      <c r="G2204" s="11"/>
      <c r="H2204" s="6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</row>
    <row r="2205" ht="19.5" customHeight="1">
      <c r="A2205" s="8"/>
      <c r="B2205" s="13"/>
      <c r="C2205" s="8"/>
      <c r="D2205" s="14"/>
      <c r="E2205" s="22"/>
      <c r="F2205" s="10"/>
      <c r="G2205" s="11"/>
      <c r="H2205" s="6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</row>
    <row r="2206" ht="19.5" customHeight="1">
      <c r="A2206" s="8"/>
      <c r="B2206" s="13"/>
      <c r="C2206" s="8"/>
      <c r="D2206" s="14"/>
      <c r="E2206" s="22"/>
      <c r="F2206" s="10"/>
      <c r="G2206" s="11"/>
      <c r="H2206" s="6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</row>
    <row r="2207" ht="19.5" customHeight="1">
      <c r="A2207" s="8"/>
      <c r="B2207" s="13"/>
      <c r="C2207" s="8"/>
      <c r="D2207" s="14"/>
      <c r="E2207" s="22"/>
      <c r="F2207" s="10"/>
      <c r="G2207" s="11"/>
      <c r="H2207" s="6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</row>
    <row r="2208" ht="19.5" customHeight="1">
      <c r="A2208" s="8"/>
      <c r="B2208" s="13"/>
      <c r="C2208" s="8"/>
      <c r="D2208" s="14"/>
      <c r="E2208" s="22"/>
      <c r="F2208" s="10"/>
      <c r="G2208" s="11"/>
      <c r="H2208" s="6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</row>
    <row r="2209" ht="19.5" customHeight="1">
      <c r="A2209" s="8"/>
      <c r="B2209" s="13"/>
      <c r="C2209" s="8"/>
      <c r="D2209" s="14"/>
      <c r="E2209" s="22"/>
      <c r="F2209" s="10"/>
      <c r="G2209" s="11"/>
      <c r="H2209" s="6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</row>
    <row r="2210" ht="19.5" customHeight="1">
      <c r="A2210" s="8"/>
      <c r="B2210" s="13"/>
      <c r="C2210" s="8"/>
      <c r="D2210" s="14"/>
      <c r="E2210" s="22"/>
      <c r="F2210" s="10"/>
      <c r="G2210" s="11"/>
      <c r="H2210" s="6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</row>
    <row r="2211" ht="19.5" customHeight="1">
      <c r="A2211" s="8"/>
      <c r="B2211" s="13"/>
      <c r="C2211" s="8"/>
      <c r="D2211" s="14"/>
      <c r="E2211" s="22"/>
      <c r="F2211" s="10"/>
      <c r="G2211" s="11"/>
      <c r="H2211" s="6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</row>
    <row r="2212" ht="19.5" customHeight="1">
      <c r="A2212" s="8"/>
      <c r="B2212" s="13"/>
      <c r="C2212" s="8"/>
      <c r="D2212" s="14"/>
      <c r="E2212" s="22"/>
      <c r="F2212" s="10"/>
      <c r="G2212" s="11"/>
      <c r="H2212" s="6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</row>
    <row r="2213" ht="19.5" customHeight="1">
      <c r="A2213" s="8"/>
      <c r="B2213" s="13"/>
      <c r="C2213" s="8"/>
      <c r="D2213" s="14"/>
      <c r="E2213" s="22"/>
      <c r="F2213" s="10"/>
      <c r="G2213" s="11"/>
      <c r="H2213" s="6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</row>
    <row r="2214" ht="19.5" customHeight="1">
      <c r="A2214" s="8"/>
      <c r="B2214" s="13"/>
      <c r="C2214" s="8"/>
      <c r="D2214" s="14"/>
      <c r="E2214" s="22"/>
      <c r="F2214" s="10"/>
      <c r="G2214" s="11"/>
      <c r="H2214" s="6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</row>
    <row r="2215" ht="19.5" customHeight="1">
      <c r="A2215" s="8"/>
      <c r="B2215" s="13"/>
      <c r="C2215" s="8"/>
      <c r="D2215" s="14"/>
      <c r="E2215" s="22"/>
      <c r="F2215" s="10"/>
      <c r="G2215" s="11"/>
      <c r="H2215" s="6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</row>
    <row r="2216" ht="19.5" customHeight="1">
      <c r="A2216" s="8"/>
      <c r="B2216" s="13"/>
      <c r="C2216" s="8"/>
      <c r="D2216" s="14"/>
      <c r="E2216" s="22"/>
      <c r="F2216" s="10"/>
      <c r="G2216" s="11"/>
      <c r="H2216" s="6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</row>
    <row r="2217" ht="19.5" customHeight="1">
      <c r="A2217" s="8"/>
      <c r="B2217" s="13"/>
      <c r="C2217" s="8"/>
      <c r="D2217" s="14"/>
      <c r="E2217" s="22"/>
      <c r="F2217" s="10"/>
      <c r="G2217" s="11"/>
      <c r="H2217" s="6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</row>
    <row r="2218" ht="19.5" customHeight="1">
      <c r="A2218" s="8"/>
      <c r="B2218" s="13"/>
      <c r="C2218" s="8"/>
      <c r="D2218" s="14"/>
      <c r="E2218" s="22"/>
      <c r="F2218" s="10"/>
      <c r="G2218" s="11"/>
      <c r="H2218" s="6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</row>
    <row r="2219" ht="19.5" customHeight="1">
      <c r="A2219" s="8"/>
      <c r="B2219" s="13"/>
      <c r="C2219" s="8"/>
      <c r="D2219" s="14"/>
      <c r="E2219" s="22"/>
      <c r="F2219" s="10"/>
      <c r="G2219" s="11"/>
      <c r="H2219" s="6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</row>
    <row r="2220" ht="19.5" customHeight="1">
      <c r="A2220" s="8"/>
      <c r="B2220" s="13"/>
      <c r="C2220" s="8"/>
      <c r="D2220" s="14"/>
      <c r="E2220" s="22"/>
      <c r="F2220" s="10"/>
      <c r="G2220" s="11"/>
      <c r="H2220" s="6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</row>
    <row r="2221" ht="19.5" customHeight="1">
      <c r="A2221" s="8"/>
      <c r="B2221" s="13"/>
      <c r="C2221" s="8"/>
      <c r="D2221" s="14"/>
      <c r="E2221" s="22"/>
      <c r="F2221" s="10"/>
      <c r="G2221" s="11"/>
      <c r="H2221" s="6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</row>
    <row r="2222" ht="19.5" customHeight="1">
      <c r="A2222" s="8"/>
      <c r="B2222" s="13"/>
      <c r="C2222" s="8"/>
      <c r="D2222" s="14"/>
      <c r="E2222" s="22"/>
      <c r="F2222" s="10"/>
      <c r="G2222" s="11"/>
      <c r="H2222" s="6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</row>
    <row r="2223" ht="19.5" customHeight="1">
      <c r="A2223" s="8"/>
      <c r="B2223" s="13"/>
      <c r="C2223" s="8"/>
      <c r="D2223" s="14"/>
      <c r="E2223" s="22"/>
      <c r="F2223" s="10"/>
      <c r="G2223" s="11"/>
      <c r="H2223" s="6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</row>
    <row r="2224" ht="19.5" customHeight="1">
      <c r="A2224" s="8"/>
      <c r="B2224" s="13"/>
      <c r="C2224" s="8"/>
      <c r="D2224" s="14"/>
      <c r="E2224" s="22"/>
      <c r="F2224" s="10"/>
      <c r="G2224" s="11"/>
      <c r="H2224" s="6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</row>
    <row r="2225" ht="19.5" customHeight="1">
      <c r="A2225" s="8"/>
      <c r="B2225" s="13"/>
      <c r="C2225" s="8"/>
      <c r="D2225" s="14"/>
      <c r="E2225" s="22"/>
      <c r="F2225" s="10"/>
      <c r="G2225" s="11"/>
      <c r="H2225" s="6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</row>
    <row r="2226" ht="19.5" customHeight="1">
      <c r="A2226" s="8"/>
      <c r="B2226" s="13"/>
      <c r="C2226" s="8"/>
      <c r="D2226" s="14"/>
      <c r="E2226" s="22"/>
      <c r="F2226" s="10"/>
      <c r="G2226" s="11"/>
      <c r="H2226" s="6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8"/>
    </row>
    <row r="2227" ht="19.5" customHeight="1">
      <c r="A2227" s="8"/>
      <c r="B2227" s="13"/>
      <c r="C2227" s="8"/>
      <c r="D2227" s="14"/>
      <c r="E2227" s="22"/>
      <c r="F2227" s="10"/>
      <c r="G2227" s="11"/>
      <c r="H2227" s="6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</row>
    <row r="2228" ht="19.5" customHeight="1">
      <c r="A2228" s="8"/>
      <c r="B2228" s="13"/>
      <c r="C2228" s="8"/>
      <c r="D2228" s="14"/>
      <c r="E2228" s="22"/>
      <c r="F2228" s="10"/>
      <c r="G2228" s="11"/>
      <c r="H2228" s="6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</row>
    <row r="2229" ht="19.5" customHeight="1">
      <c r="A2229" s="8"/>
      <c r="B2229" s="13"/>
      <c r="C2229" s="8"/>
      <c r="D2229" s="14"/>
      <c r="E2229" s="22"/>
      <c r="F2229" s="10"/>
      <c r="G2229" s="11"/>
      <c r="H2229" s="6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</row>
    <row r="2230" ht="19.5" customHeight="1">
      <c r="A2230" s="8"/>
      <c r="B2230" s="13"/>
      <c r="C2230" s="8"/>
      <c r="D2230" s="14"/>
      <c r="E2230" s="22"/>
      <c r="F2230" s="10"/>
      <c r="G2230" s="11"/>
      <c r="H2230" s="6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</row>
    <row r="2231" ht="19.5" customHeight="1">
      <c r="A2231" s="8"/>
      <c r="B2231" s="13"/>
      <c r="C2231" s="8"/>
      <c r="D2231" s="14"/>
      <c r="E2231" s="22"/>
      <c r="F2231" s="10"/>
      <c r="G2231" s="11"/>
      <c r="H2231" s="6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</row>
    <row r="2232" ht="19.5" customHeight="1">
      <c r="A2232" s="8"/>
      <c r="B2232" s="13"/>
      <c r="C2232" s="8"/>
      <c r="D2232" s="14"/>
      <c r="E2232" s="22"/>
      <c r="F2232" s="10"/>
      <c r="G2232" s="11"/>
      <c r="H2232" s="6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8"/>
      <c r="AB2232" s="8"/>
    </row>
    <row r="2233" ht="19.5" customHeight="1">
      <c r="A2233" s="8"/>
      <c r="B2233" s="13"/>
      <c r="C2233" s="8"/>
      <c r="D2233" s="14"/>
      <c r="E2233" s="22"/>
      <c r="F2233" s="10"/>
      <c r="G2233" s="11"/>
      <c r="H2233" s="6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</row>
    <row r="2234" ht="19.5" customHeight="1">
      <c r="A2234" s="8"/>
      <c r="B2234" s="13"/>
      <c r="C2234" s="8"/>
      <c r="D2234" s="14"/>
      <c r="E2234" s="22"/>
      <c r="F2234" s="10"/>
      <c r="G2234" s="11"/>
      <c r="H2234" s="6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</row>
    <row r="2235" ht="19.5" customHeight="1">
      <c r="A2235" s="8"/>
      <c r="B2235" s="13"/>
      <c r="C2235" s="8"/>
      <c r="D2235" s="14"/>
      <c r="E2235" s="22"/>
      <c r="F2235" s="10"/>
      <c r="G2235" s="11"/>
      <c r="H2235" s="6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</row>
    <row r="2236" ht="19.5" customHeight="1">
      <c r="A2236" s="8"/>
      <c r="B2236" s="13"/>
      <c r="C2236" s="8"/>
      <c r="D2236" s="14"/>
      <c r="E2236" s="22"/>
      <c r="F2236" s="10"/>
      <c r="G2236" s="11"/>
      <c r="H2236" s="6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</row>
    <row r="2237" ht="19.5" customHeight="1">
      <c r="A2237" s="8"/>
      <c r="B2237" s="13"/>
      <c r="C2237" s="8"/>
      <c r="D2237" s="14"/>
      <c r="E2237" s="22"/>
      <c r="F2237" s="10"/>
      <c r="G2237" s="11"/>
      <c r="H2237" s="6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8"/>
      <c r="AB2237" s="8"/>
    </row>
    <row r="2238" ht="19.5" customHeight="1">
      <c r="A2238" s="8"/>
      <c r="B2238" s="13"/>
      <c r="C2238" s="8"/>
      <c r="D2238" s="14"/>
      <c r="E2238" s="22"/>
      <c r="F2238" s="10"/>
      <c r="G2238" s="11"/>
      <c r="H2238" s="6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</row>
    <row r="2239" ht="19.5" customHeight="1">
      <c r="A2239" s="8"/>
      <c r="B2239" s="13"/>
      <c r="C2239" s="8"/>
      <c r="D2239" s="14"/>
      <c r="E2239" s="22"/>
      <c r="F2239" s="10"/>
      <c r="G2239" s="11"/>
      <c r="H2239" s="6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</row>
    <row r="2240" ht="19.5" customHeight="1">
      <c r="A2240" s="8"/>
      <c r="B2240" s="13"/>
      <c r="C2240" s="8"/>
      <c r="D2240" s="14"/>
      <c r="E2240" s="22"/>
      <c r="F2240" s="10"/>
      <c r="G2240" s="11"/>
      <c r="H2240" s="6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8"/>
      <c r="AB2240" s="8"/>
    </row>
    <row r="2241" ht="19.5" customHeight="1">
      <c r="A2241" s="8"/>
      <c r="B2241" s="13"/>
      <c r="C2241" s="8"/>
      <c r="D2241" s="14"/>
      <c r="E2241" s="22"/>
      <c r="F2241" s="10"/>
      <c r="G2241" s="11"/>
      <c r="H2241" s="6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8"/>
    </row>
    <row r="2242" ht="19.5" customHeight="1">
      <c r="A2242" s="8"/>
      <c r="B2242" s="13"/>
      <c r="C2242" s="8"/>
      <c r="D2242" s="14"/>
      <c r="E2242" s="22"/>
      <c r="F2242" s="10"/>
      <c r="G2242" s="11"/>
      <c r="H2242" s="6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</row>
    <row r="2243" ht="19.5" customHeight="1">
      <c r="A2243" s="8"/>
      <c r="B2243" s="13"/>
      <c r="C2243" s="8"/>
      <c r="D2243" s="14"/>
      <c r="E2243" s="22"/>
      <c r="F2243" s="10"/>
      <c r="G2243" s="11"/>
      <c r="H2243" s="6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</row>
    <row r="2244" ht="19.5" customHeight="1">
      <c r="A2244" s="8"/>
      <c r="B2244" s="13"/>
      <c r="C2244" s="8"/>
      <c r="D2244" s="14"/>
      <c r="E2244" s="22"/>
      <c r="F2244" s="10"/>
      <c r="G2244" s="11"/>
      <c r="H2244" s="6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</row>
    <row r="2245" ht="19.5" customHeight="1">
      <c r="A2245" s="8"/>
      <c r="B2245" s="13"/>
      <c r="C2245" s="8"/>
      <c r="D2245" s="14"/>
      <c r="E2245" s="22"/>
      <c r="F2245" s="10"/>
      <c r="G2245" s="11"/>
      <c r="H2245" s="6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</row>
    <row r="2246" ht="19.5" customHeight="1">
      <c r="A2246" s="8"/>
      <c r="B2246" s="13"/>
      <c r="C2246" s="8"/>
      <c r="D2246" s="14"/>
      <c r="E2246" s="22"/>
      <c r="F2246" s="10"/>
      <c r="G2246" s="11"/>
      <c r="H2246" s="6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</row>
    <row r="2247" ht="19.5" customHeight="1">
      <c r="A2247" s="8"/>
      <c r="B2247" s="13"/>
      <c r="C2247" s="8"/>
      <c r="D2247" s="14"/>
      <c r="E2247" s="22"/>
      <c r="F2247" s="10"/>
      <c r="G2247" s="11"/>
      <c r="H2247" s="6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8"/>
      <c r="AB2247" s="8"/>
    </row>
    <row r="2248" ht="19.5" customHeight="1">
      <c r="A2248" s="8"/>
      <c r="B2248" s="13"/>
      <c r="C2248" s="8"/>
      <c r="D2248" s="14"/>
      <c r="E2248" s="22"/>
      <c r="F2248" s="10"/>
      <c r="G2248" s="11"/>
      <c r="H2248" s="6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</row>
    <row r="2249" ht="19.5" customHeight="1">
      <c r="A2249" s="8"/>
      <c r="B2249" s="13"/>
      <c r="C2249" s="8"/>
      <c r="D2249" s="14"/>
      <c r="E2249" s="22"/>
      <c r="F2249" s="10"/>
      <c r="G2249" s="11"/>
      <c r="H2249" s="6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8"/>
      <c r="AB2249" s="8"/>
    </row>
    <row r="2250" ht="19.5" customHeight="1">
      <c r="A2250" s="8"/>
      <c r="B2250" s="13"/>
      <c r="C2250" s="8"/>
      <c r="D2250" s="14"/>
      <c r="E2250" s="22"/>
      <c r="F2250" s="10"/>
      <c r="G2250" s="11"/>
      <c r="H2250" s="6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8"/>
    </row>
    <row r="2251" ht="19.5" customHeight="1">
      <c r="A2251" s="8"/>
      <c r="B2251" s="13"/>
      <c r="C2251" s="8"/>
      <c r="D2251" s="14"/>
      <c r="E2251" s="22"/>
      <c r="F2251" s="10"/>
      <c r="G2251" s="11"/>
      <c r="H2251" s="6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</row>
    <row r="2252" ht="19.5" customHeight="1">
      <c r="A2252" s="8"/>
      <c r="B2252" s="13"/>
      <c r="C2252" s="8"/>
      <c r="D2252" s="14"/>
      <c r="E2252" s="22"/>
      <c r="F2252" s="10"/>
      <c r="G2252" s="11"/>
      <c r="H2252" s="6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8"/>
      <c r="AB2252" s="8"/>
    </row>
    <row r="2253" ht="19.5" customHeight="1">
      <c r="A2253" s="8"/>
      <c r="B2253" s="13"/>
      <c r="C2253" s="8"/>
      <c r="D2253" s="14"/>
      <c r="E2253" s="22"/>
      <c r="F2253" s="10"/>
      <c r="G2253" s="11"/>
      <c r="H2253" s="6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8"/>
    </row>
    <row r="2254" ht="19.5" customHeight="1">
      <c r="A2254" s="8"/>
      <c r="B2254" s="13"/>
      <c r="C2254" s="8"/>
      <c r="D2254" s="14"/>
      <c r="E2254" s="22"/>
      <c r="F2254" s="10"/>
      <c r="G2254" s="11"/>
      <c r="H2254" s="6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</row>
    <row r="2255" ht="19.5" customHeight="1">
      <c r="A2255" s="8"/>
      <c r="B2255" s="13"/>
      <c r="C2255" s="8"/>
      <c r="D2255" s="14"/>
      <c r="E2255" s="22"/>
      <c r="F2255" s="10"/>
      <c r="G2255" s="11"/>
      <c r="H2255" s="6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</row>
    <row r="2256" ht="19.5" customHeight="1">
      <c r="A2256" s="8"/>
      <c r="B2256" s="13"/>
      <c r="C2256" s="8"/>
      <c r="D2256" s="14"/>
      <c r="E2256" s="22"/>
      <c r="F2256" s="10"/>
      <c r="G2256" s="11"/>
      <c r="H2256" s="6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8"/>
    </row>
    <row r="2257" ht="19.5" customHeight="1">
      <c r="A2257" s="8"/>
      <c r="B2257" s="13"/>
      <c r="C2257" s="8"/>
      <c r="D2257" s="14"/>
      <c r="E2257" s="22"/>
      <c r="F2257" s="10"/>
      <c r="G2257" s="11"/>
      <c r="H2257" s="6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</row>
    <row r="2258" ht="19.5" customHeight="1">
      <c r="A2258" s="8"/>
      <c r="B2258" s="13"/>
      <c r="C2258" s="8"/>
      <c r="D2258" s="14"/>
      <c r="E2258" s="22"/>
      <c r="F2258" s="10"/>
      <c r="G2258" s="11"/>
      <c r="H2258" s="6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</row>
    <row r="2259" ht="19.5" customHeight="1">
      <c r="A2259" s="8"/>
      <c r="B2259" s="13"/>
      <c r="C2259" s="8"/>
      <c r="D2259" s="14"/>
      <c r="E2259" s="22"/>
      <c r="F2259" s="10"/>
      <c r="G2259" s="11"/>
      <c r="H2259" s="6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8"/>
    </row>
    <row r="2260" ht="19.5" customHeight="1">
      <c r="A2260" s="8"/>
      <c r="B2260" s="13"/>
      <c r="C2260" s="8"/>
      <c r="D2260" s="14"/>
      <c r="E2260" s="22"/>
      <c r="F2260" s="10"/>
      <c r="G2260" s="11"/>
      <c r="H2260" s="6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</row>
    <row r="2261" ht="19.5" customHeight="1">
      <c r="A2261" s="8"/>
      <c r="B2261" s="13"/>
      <c r="C2261" s="8"/>
      <c r="D2261" s="14"/>
      <c r="E2261" s="22"/>
      <c r="F2261" s="10"/>
      <c r="G2261" s="11"/>
      <c r="H2261" s="6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</row>
    <row r="2262" ht="19.5" customHeight="1">
      <c r="A2262" s="8"/>
      <c r="B2262" s="13"/>
      <c r="C2262" s="8"/>
      <c r="D2262" s="14"/>
      <c r="E2262" s="22"/>
      <c r="F2262" s="10"/>
      <c r="G2262" s="11"/>
      <c r="H2262" s="6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</row>
    <row r="2263" ht="19.5" customHeight="1">
      <c r="A2263" s="8"/>
      <c r="B2263" s="13"/>
      <c r="C2263" s="8"/>
      <c r="D2263" s="14"/>
      <c r="E2263" s="22"/>
      <c r="F2263" s="10"/>
      <c r="G2263" s="11"/>
      <c r="H2263" s="6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</row>
    <row r="2264" ht="19.5" customHeight="1">
      <c r="A2264" s="8"/>
      <c r="B2264" s="13"/>
      <c r="C2264" s="8"/>
      <c r="D2264" s="14"/>
      <c r="E2264" s="22"/>
      <c r="F2264" s="10"/>
      <c r="G2264" s="11"/>
      <c r="H2264" s="6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8"/>
    </row>
    <row r="2265" ht="19.5" customHeight="1">
      <c r="A2265" s="8"/>
      <c r="B2265" s="13"/>
      <c r="C2265" s="8"/>
      <c r="D2265" s="14"/>
      <c r="E2265" s="22"/>
      <c r="F2265" s="10"/>
      <c r="G2265" s="11"/>
      <c r="H2265" s="6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</row>
    <row r="2266" ht="19.5" customHeight="1">
      <c r="A2266" s="8"/>
      <c r="B2266" s="13"/>
      <c r="C2266" s="8"/>
      <c r="D2266" s="14"/>
      <c r="E2266" s="22"/>
      <c r="F2266" s="10"/>
      <c r="G2266" s="11"/>
      <c r="H2266" s="6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</row>
    <row r="2267" ht="19.5" customHeight="1">
      <c r="A2267" s="8"/>
      <c r="B2267" s="13"/>
      <c r="C2267" s="8"/>
      <c r="D2267" s="14"/>
      <c r="E2267" s="22"/>
      <c r="F2267" s="10"/>
      <c r="G2267" s="11"/>
      <c r="H2267" s="6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</row>
    <row r="2268" ht="19.5" customHeight="1">
      <c r="A2268" s="8"/>
      <c r="B2268" s="13"/>
      <c r="C2268" s="8"/>
      <c r="D2268" s="14"/>
      <c r="E2268" s="22"/>
      <c r="F2268" s="10"/>
      <c r="G2268" s="11"/>
      <c r="H2268" s="6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</row>
    <row r="2269" ht="19.5" customHeight="1">
      <c r="A2269" s="8"/>
      <c r="B2269" s="13"/>
      <c r="C2269" s="8"/>
      <c r="D2269" s="14"/>
      <c r="E2269" s="22"/>
      <c r="F2269" s="10"/>
      <c r="G2269" s="11"/>
      <c r="H2269" s="6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</row>
    <row r="2270" ht="19.5" customHeight="1">
      <c r="A2270" s="8"/>
      <c r="B2270" s="13"/>
      <c r="C2270" s="8"/>
      <c r="D2270" s="14"/>
      <c r="E2270" s="22"/>
      <c r="F2270" s="10"/>
      <c r="G2270" s="11"/>
      <c r="H2270" s="6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8"/>
    </row>
    <row r="2271" ht="19.5" customHeight="1">
      <c r="A2271" s="8"/>
      <c r="B2271" s="13"/>
      <c r="C2271" s="8"/>
      <c r="D2271" s="14"/>
      <c r="E2271" s="22"/>
      <c r="F2271" s="10"/>
      <c r="G2271" s="11"/>
      <c r="H2271" s="6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</row>
    <row r="2272" ht="19.5" customHeight="1">
      <c r="A2272" s="8"/>
      <c r="B2272" s="13"/>
      <c r="C2272" s="8"/>
      <c r="D2272" s="14"/>
      <c r="E2272" s="22"/>
      <c r="F2272" s="10"/>
      <c r="G2272" s="11"/>
      <c r="H2272" s="6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</row>
    <row r="2273" ht="19.5" customHeight="1">
      <c r="A2273" s="8"/>
      <c r="B2273" s="13"/>
      <c r="C2273" s="8"/>
      <c r="D2273" s="14"/>
      <c r="E2273" s="22"/>
      <c r="F2273" s="10"/>
      <c r="G2273" s="11"/>
      <c r="H2273" s="6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</row>
    <row r="2274" ht="19.5" customHeight="1">
      <c r="A2274" s="8"/>
      <c r="B2274" s="13"/>
      <c r="C2274" s="8"/>
      <c r="D2274" s="14"/>
      <c r="E2274" s="22"/>
      <c r="F2274" s="10"/>
      <c r="G2274" s="11"/>
      <c r="H2274" s="6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</row>
    <row r="2275" ht="19.5" customHeight="1">
      <c r="A2275" s="8"/>
      <c r="B2275" s="13"/>
      <c r="C2275" s="8"/>
      <c r="D2275" s="14"/>
      <c r="E2275" s="22"/>
      <c r="F2275" s="10"/>
      <c r="G2275" s="11"/>
      <c r="H2275" s="6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</row>
    <row r="2276" ht="19.5" customHeight="1">
      <c r="A2276" s="8"/>
      <c r="B2276" s="13"/>
      <c r="C2276" s="8"/>
      <c r="D2276" s="14"/>
      <c r="E2276" s="22"/>
      <c r="F2276" s="10"/>
      <c r="G2276" s="11"/>
      <c r="H2276" s="6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</row>
    <row r="2277" ht="19.5" customHeight="1">
      <c r="A2277" s="8"/>
      <c r="B2277" s="13"/>
      <c r="C2277" s="8"/>
      <c r="D2277" s="14"/>
      <c r="E2277" s="22"/>
      <c r="F2277" s="10"/>
      <c r="G2277" s="11"/>
      <c r="H2277" s="6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8"/>
      <c r="AB2277" s="8"/>
    </row>
    <row r="2278" ht="19.5" customHeight="1">
      <c r="A2278" s="8"/>
      <c r="B2278" s="13"/>
      <c r="C2278" s="8"/>
      <c r="D2278" s="14"/>
      <c r="E2278" s="22"/>
      <c r="F2278" s="10"/>
      <c r="G2278" s="11"/>
      <c r="H2278" s="6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</row>
    <row r="2279" ht="19.5" customHeight="1">
      <c r="A2279" s="8"/>
      <c r="B2279" s="13"/>
      <c r="C2279" s="8"/>
      <c r="D2279" s="14"/>
      <c r="E2279" s="22"/>
      <c r="F2279" s="10"/>
      <c r="G2279" s="11"/>
      <c r="H2279" s="6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</row>
    <row r="2280" ht="19.5" customHeight="1">
      <c r="A2280" s="8"/>
      <c r="B2280" s="13"/>
      <c r="C2280" s="8"/>
      <c r="D2280" s="14"/>
      <c r="E2280" s="22"/>
      <c r="F2280" s="10"/>
      <c r="G2280" s="11"/>
      <c r="H2280" s="6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</row>
    <row r="2281" ht="19.5" customHeight="1">
      <c r="A2281" s="8"/>
      <c r="B2281" s="13"/>
      <c r="C2281" s="8"/>
      <c r="D2281" s="14"/>
      <c r="E2281" s="22"/>
      <c r="F2281" s="10"/>
      <c r="G2281" s="11"/>
      <c r="H2281" s="6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</row>
    <row r="2282" ht="19.5" customHeight="1">
      <c r="A2282" s="8"/>
      <c r="B2282" s="13"/>
      <c r="C2282" s="8"/>
      <c r="D2282" s="14"/>
      <c r="E2282" s="22"/>
      <c r="F2282" s="10"/>
      <c r="G2282" s="11"/>
      <c r="H2282" s="6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</row>
    <row r="2283" ht="19.5" customHeight="1">
      <c r="A2283" s="8"/>
      <c r="B2283" s="13"/>
      <c r="C2283" s="8"/>
      <c r="D2283" s="14"/>
      <c r="E2283" s="22"/>
      <c r="F2283" s="10"/>
      <c r="G2283" s="11"/>
      <c r="H2283" s="6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8"/>
      <c r="AB2283" s="8"/>
    </row>
    <row r="2284" ht="19.5" customHeight="1">
      <c r="A2284" s="8"/>
      <c r="B2284" s="13"/>
      <c r="C2284" s="8"/>
      <c r="D2284" s="14"/>
      <c r="E2284" s="22"/>
      <c r="F2284" s="10"/>
      <c r="G2284" s="11"/>
      <c r="H2284" s="6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</row>
    <row r="2285" ht="19.5" customHeight="1">
      <c r="A2285" s="8"/>
      <c r="B2285" s="13"/>
      <c r="C2285" s="8"/>
      <c r="D2285" s="14"/>
      <c r="E2285" s="22"/>
      <c r="F2285" s="10"/>
      <c r="G2285" s="11"/>
      <c r="H2285" s="6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</row>
    <row r="2286" ht="19.5" customHeight="1">
      <c r="A2286" s="8"/>
      <c r="B2286" s="13"/>
      <c r="C2286" s="8"/>
      <c r="D2286" s="14"/>
      <c r="E2286" s="22"/>
      <c r="F2286" s="10"/>
      <c r="G2286" s="11"/>
      <c r="H2286" s="6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</row>
    <row r="2287" ht="19.5" customHeight="1">
      <c r="A2287" s="8"/>
      <c r="B2287" s="13"/>
      <c r="C2287" s="8"/>
      <c r="D2287" s="14"/>
      <c r="E2287" s="22"/>
      <c r="F2287" s="10"/>
      <c r="G2287" s="11"/>
      <c r="H2287" s="6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</row>
    <row r="2288" ht="19.5" customHeight="1">
      <c r="A2288" s="8"/>
      <c r="B2288" s="13"/>
      <c r="C2288" s="8"/>
      <c r="D2288" s="14"/>
      <c r="E2288" s="22"/>
      <c r="F2288" s="10"/>
      <c r="G2288" s="11"/>
      <c r="H2288" s="6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</row>
    <row r="2289" ht="19.5" customHeight="1">
      <c r="A2289" s="8"/>
      <c r="B2289" s="13"/>
      <c r="C2289" s="8"/>
      <c r="D2289" s="14"/>
      <c r="E2289" s="22"/>
      <c r="F2289" s="10"/>
      <c r="G2289" s="11"/>
      <c r="H2289" s="6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</row>
    <row r="2290" ht="19.5" customHeight="1">
      <c r="A2290" s="8"/>
      <c r="B2290" s="13"/>
      <c r="C2290" s="8"/>
      <c r="D2290" s="14"/>
      <c r="E2290" s="22"/>
      <c r="F2290" s="10"/>
      <c r="G2290" s="11"/>
      <c r="H2290" s="6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</row>
    <row r="2291" ht="19.5" customHeight="1">
      <c r="A2291" s="8"/>
      <c r="B2291" s="13"/>
      <c r="C2291" s="8"/>
      <c r="D2291" s="14"/>
      <c r="E2291" s="22"/>
      <c r="F2291" s="10"/>
      <c r="G2291" s="11"/>
      <c r="H2291" s="6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</row>
    <row r="2292" ht="19.5" customHeight="1">
      <c r="A2292" s="8"/>
      <c r="B2292" s="13"/>
      <c r="C2292" s="8"/>
      <c r="D2292" s="14"/>
      <c r="E2292" s="22"/>
      <c r="F2292" s="10"/>
      <c r="G2292" s="11"/>
      <c r="H2292" s="6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</row>
    <row r="2293" ht="19.5" customHeight="1">
      <c r="A2293" s="8"/>
      <c r="B2293" s="13"/>
      <c r="C2293" s="8"/>
      <c r="D2293" s="14"/>
      <c r="E2293" s="22"/>
      <c r="F2293" s="10"/>
      <c r="G2293" s="11"/>
      <c r="H2293" s="6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</row>
    <row r="2294" ht="19.5" customHeight="1">
      <c r="A2294" s="8"/>
      <c r="B2294" s="13"/>
      <c r="C2294" s="8"/>
      <c r="D2294" s="14"/>
      <c r="E2294" s="22"/>
      <c r="F2294" s="10"/>
      <c r="G2294" s="11"/>
      <c r="H2294" s="6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</row>
    <row r="2295" ht="19.5" customHeight="1">
      <c r="A2295" s="8"/>
      <c r="B2295" s="13"/>
      <c r="C2295" s="8"/>
      <c r="D2295" s="14"/>
      <c r="E2295" s="22"/>
      <c r="F2295" s="10"/>
      <c r="G2295" s="11"/>
      <c r="H2295" s="6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</row>
    <row r="2296" ht="19.5" customHeight="1">
      <c r="A2296" s="8"/>
      <c r="B2296" s="13"/>
      <c r="C2296" s="8"/>
      <c r="D2296" s="14"/>
      <c r="E2296" s="22"/>
      <c r="F2296" s="10"/>
      <c r="G2296" s="11"/>
      <c r="H2296" s="6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</row>
    <row r="2297" ht="19.5" customHeight="1">
      <c r="A2297" s="8"/>
      <c r="B2297" s="13"/>
      <c r="C2297" s="8"/>
      <c r="D2297" s="14"/>
      <c r="E2297" s="22"/>
      <c r="F2297" s="10"/>
      <c r="G2297" s="11"/>
      <c r="H2297" s="6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</row>
    <row r="2298" ht="19.5" customHeight="1">
      <c r="A2298" s="8"/>
      <c r="B2298" s="13"/>
      <c r="C2298" s="8"/>
      <c r="D2298" s="14"/>
      <c r="E2298" s="22"/>
      <c r="F2298" s="10"/>
      <c r="G2298" s="11"/>
      <c r="H2298" s="6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</row>
    <row r="2299" ht="19.5" customHeight="1">
      <c r="A2299" s="8"/>
      <c r="B2299" s="13"/>
      <c r="C2299" s="8"/>
      <c r="D2299" s="14"/>
      <c r="E2299" s="22"/>
      <c r="F2299" s="10"/>
      <c r="G2299" s="11"/>
      <c r="H2299" s="6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</row>
    <row r="2300" ht="19.5" customHeight="1">
      <c r="A2300" s="8"/>
      <c r="B2300" s="13"/>
      <c r="C2300" s="8"/>
      <c r="D2300" s="14"/>
      <c r="E2300" s="22"/>
      <c r="F2300" s="10"/>
      <c r="G2300" s="11"/>
      <c r="H2300" s="6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</row>
    <row r="2301" ht="19.5" customHeight="1">
      <c r="A2301" s="8"/>
      <c r="B2301" s="13"/>
      <c r="C2301" s="8"/>
      <c r="D2301" s="14"/>
      <c r="E2301" s="22"/>
      <c r="F2301" s="10"/>
      <c r="G2301" s="11"/>
      <c r="H2301" s="6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</row>
    <row r="2302" ht="19.5" customHeight="1">
      <c r="A2302" s="8"/>
      <c r="B2302" s="13"/>
      <c r="C2302" s="8"/>
      <c r="D2302" s="14"/>
      <c r="E2302" s="22"/>
      <c r="F2302" s="10"/>
      <c r="G2302" s="11"/>
      <c r="H2302" s="6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</row>
    <row r="2303" ht="19.5" customHeight="1">
      <c r="A2303" s="8"/>
      <c r="B2303" s="13"/>
      <c r="C2303" s="8"/>
      <c r="D2303" s="14"/>
      <c r="E2303" s="22"/>
      <c r="F2303" s="10"/>
      <c r="G2303" s="11"/>
      <c r="H2303" s="6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</row>
    <row r="2304" ht="19.5" customHeight="1">
      <c r="A2304" s="8"/>
      <c r="B2304" s="13"/>
      <c r="C2304" s="8"/>
      <c r="D2304" s="14"/>
      <c r="E2304" s="22"/>
      <c r="F2304" s="10"/>
      <c r="G2304" s="11"/>
      <c r="H2304" s="6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</row>
    <row r="2305" ht="19.5" customHeight="1">
      <c r="A2305" s="8"/>
      <c r="B2305" s="13"/>
      <c r="C2305" s="8"/>
      <c r="D2305" s="14"/>
      <c r="E2305" s="22"/>
      <c r="F2305" s="10"/>
      <c r="G2305" s="11"/>
      <c r="H2305" s="6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</row>
    <row r="2306" ht="19.5" customHeight="1">
      <c r="A2306" s="8"/>
      <c r="B2306" s="13"/>
      <c r="C2306" s="8"/>
      <c r="D2306" s="14"/>
      <c r="E2306" s="22"/>
      <c r="F2306" s="10"/>
      <c r="G2306" s="11"/>
      <c r="H2306" s="6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</row>
    <row r="2307" ht="19.5" customHeight="1">
      <c r="A2307" s="8"/>
      <c r="B2307" s="13"/>
      <c r="C2307" s="8"/>
      <c r="D2307" s="14"/>
      <c r="E2307" s="22"/>
      <c r="F2307" s="10"/>
      <c r="G2307" s="11"/>
      <c r="H2307" s="6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</row>
    <row r="2308" ht="19.5" customHeight="1">
      <c r="A2308" s="8"/>
      <c r="B2308" s="13"/>
      <c r="C2308" s="8"/>
      <c r="D2308" s="14"/>
      <c r="E2308" s="22"/>
      <c r="F2308" s="10"/>
      <c r="G2308" s="11"/>
      <c r="H2308" s="6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</row>
    <row r="2309" ht="19.5" customHeight="1">
      <c r="A2309" s="8"/>
      <c r="B2309" s="13"/>
      <c r="C2309" s="8"/>
      <c r="D2309" s="14"/>
      <c r="E2309" s="22"/>
      <c r="F2309" s="10"/>
      <c r="G2309" s="11"/>
      <c r="H2309" s="6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</row>
    <row r="2310" ht="19.5" customHeight="1">
      <c r="A2310" s="8"/>
      <c r="B2310" s="13"/>
      <c r="C2310" s="8"/>
      <c r="D2310" s="14"/>
      <c r="E2310" s="22"/>
      <c r="F2310" s="10"/>
      <c r="G2310" s="11"/>
      <c r="H2310" s="6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</row>
    <row r="2311" ht="19.5" customHeight="1">
      <c r="A2311" s="8"/>
      <c r="B2311" s="13"/>
      <c r="C2311" s="8"/>
      <c r="D2311" s="14"/>
      <c r="E2311" s="22"/>
      <c r="F2311" s="10"/>
      <c r="G2311" s="11"/>
      <c r="H2311" s="6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</row>
    <row r="2312" ht="19.5" customHeight="1">
      <c r="A2312" s="8"/>
      <c r="B2312" s="13"/>
      <c r="C2312" s="8"/>
      <c r="D2312" s="14"/>
      <c r="E2312" s="22"/>
      <c r="F2312" s="10"/>
      <c r="G2312" s="11"/>
      <c r="H2312" s="6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</row>
    <row r="2313" ht="19.5" customHeight="1">
      <c r="A2313" s="8"/>
      <c r="B2313" s="13"/>
      <c r="C2313" s="8"/>
      <c r="D2313" s="14"/>
      <c r="E2313" s="22"/>
      <c r="F2313" s="10"/>
      <c r="G2313" s="11"/>
      <c r="H2313" s="6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</row>
    <row r="2314" ht="19.5" customHeight="1">
      <c r="A2314" s="8"/>
      <c r="B2314" s="13"/>
      <c r="C2314" s="8"/>
      <c r="D2314" s="14"/>
      <c r="E2314" s="22"/>
      <c r="F2314" s="10"/>
      <c r="G2314" s="11"/>
      <c r="H2314" s="6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</row>
    <row r="2315" ht="19.5" customHeight="1">
      <c r="A2315" s="8"/>
      <c r="B2315" s="13"/>
      <c r="C2315" s="8"/>
      <c r="D2315" s="14"/>
      <c r="E2315" s="22"/>
      <c r="F2315" s="10"/>
      <c r="G2315" s="11"/>
      <c r="H2315" s="6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</row>
    <row r="2316" ht="19.5" customHeight="1">
      <c r="A2316" s="8"/>
      <c r="B2316" s="13"/>
      <c r="C2316" s="8"/>
      <c r="D2316" s="14"/>
      <c r="E2316" s="22"/>
      <c r="F2316" s="10"/>
      <c r="G2316" s="11"/>
      <c r="H2316" s="6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</row>
    <row r="2317" ht="19.5" customHeight="1">
      <c r="A2317" s="8"/>
      <c r="B2317" s="13"/>
      <c r="C2317" s="8"/>
      <c r="D2317" s="14"/>
      <c r="E2317" s="22"/>
      <c r="F2317" s="10"/>
      <c r="G2317" s="11"/>
      <c r="H2317" s="6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</row>
    <row r="2318" ht="19.5" customHeight="1">
      <c r="A2318" s="8"/>
      <c r="B2318" s="13"/>
      <c r="C2318" s="8"/>
      <c r="D2318" s="14"/>
      <c r="E2318" s="22"/>
      <c r="F2318" s="10"/>
      <c r="G2318" s="11"/>
      <c r="H2318" s="6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</row>
    <row r="2319" ht="19.5" customHeight="1">
      <c r="A2319" s="8"/>
      <c r="B2319" s="13"/>
      <c r="C2319" s="8"/>
      <c r="D2319" s="14"/>
      <c r="E2319" s="22"/>
      <c r="F2319" s="10"/>
      <c r="G2319" s="11"/>
      <c r="H2319" s="6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</row>
    <row r="2320" ht="19.5" customHeight="1">
      <c r="A2320" s="8"/>
      <c r="B2320" s="13"/>
      <c r="C2320" s="8"/>
      <c r="D2320" s="14"/>
      <c r="E2320" s="22"/>
      <c r="F2320" s="10"/>
      <c r="G2320" s="11"/>
      <c r="H2320" s="6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</row>
    <row r="2321" ht="19.5" customHeight="1">
      <c r="A2321" s="8"/>
      <c r="B2321" s="13"/>
      <c r="C2321" s="8"/>
      <c r="D2321" s="14"/>
      <c r="E2321" s="22"/>
      <c r="F2321" s="10"/>
      <c r="G2321" s="11"/>
      <c r="H2321" s="6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</row>
    <row r="2322" ht="19.5" customHeight="1">
      <c r="A2322" s="8"/>
      <c r="B2322" s="13"/>
      <c r="C2322" s="8"/>
      <c r="D2322" s="14"/>
      <c r="E2322" s="22"/>
      <c r="F2322" s="10"/>
      <c r="G2322" s="11"/>
      <c r="H2322" s="6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</row>
    <row r="2323" ht="19.5" customHeight="1">
      <c r="A2323" s="8"/>
      <c r="B2323" s="13"/>
      <c r="C2323" s="8"/>
      <c r="D2323" s="14"/>
      <c r="E2323" s="22"/>
      <c r="F2323" s="10"/>
      <c r="G2323" s="11"/>
      <c r="H2323" s="6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</row>
    <row r="2324" ht="19.5" customHeight="1">
      <c r="A2324" s="8"/>
      <c r="B2324" s="13"/>
      <c r="C2324" s="8"/>
      <c r="D2324" s="14"/>
      <c r="E2324" s="22"/>
      <c r="F2324" s="10"/>
      <c r="G2324" s="11"/>
      <c r="H2324" s="6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</row>
    <row r="2325" ht="19.5" customHeight="1">
      <c r="A2325" s="8"/>
      <c r="B2325" s="13"/>
      <c r="C2325" s="8"/>
      <c r="D2325" s="14"/>
      <c r="E2325" s="22"/>
      <c r="F2325" s="10"/>
      <c r="G2325" s="11"/>
      <c r="H2325" s="6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</row>
    <row r="2326" ht="19.5" customHeight="1">
      <c r="A2326" s="8"/>
      <c r="B2326" s="13"/>
      <c r="C2326" s="8"/>
      <c r="D2326" s="14"/>
      <c r="E2326" s="22"/>
      <c r="F2326" s="10"/>
      <c r="G2326" s="11"/>
      <c r="H2326" s="6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</row>
    <row r="2327" ht="19.5" customHeight="1">
      <c r="A2327" s="8"/>
      <c r="B2327" s="13"/>
      <c r="C2327" s="8"/>
      <c r="D2327" s="14"/>
      <c r="E2327" s="22"/>
      <c r="F2327" s="10"/>
      <c r="G2327" s="11"/>
      <c r="H2327" s="6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</row>
    <row r="2328" ht="19.5" customHeight="1">
      <c r="A2328" s="8"/>
      <c r="B2328" s="13"/>
      <c r="C2328" s="8"/>
      <c r="D2328" s="14"/>
      <c r="E2328" s="22"/>
      <c r="F2328" s="10"/>
      <c r="G2328" s="11"/>
      <c r="H2328" s="6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</row>
    <row r="2329" ht="19.5" customHeight="1">
      <c r="A2329" s="8"/>
      <c r="B2329" s="13"/>
      <c r="C2329" s="8"/>
      <c r="D2329" s="14"/>
      <c r="E2329" s="22"/>
      <c r="F2329" s="10"/>
      <c r="G2329" s="11"/>
      <c r="H2329" s="6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</row>
    <row r="2330" ht="19.5" customHeight="1">
      <c r="A2330" s="8"/>
      <c r="B2330" s="13"/>
      <c r="C2330" s="8"/>
      <c r="D2330" s="14"/>
      <c r="E2330" s="22"/>
      <c r="F2330" s="10"/>
      <c r="G2330" s="11"/>
      <c r="H2330" s="6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</row>
    <row r="2331" ht="19.5" customHeight="1">
      <c r="A2331" s="8"/>
      <c r="B2331" s="13"/>
      <c r="C2331" s="8"/>
      <c r="D2331" s="14"/>
      <c r="E2331" s="22"/>
      <c r="F2331" s="10"/>
      <c r="G2331" s="11"/>
      <c r="H2331" s="6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</row>
    <row r="2332" ht="19.5" customHeight="1">
      <c r="A2332" s="8"/>
      <c r="B2332" s="13"/>
      <c r="C2332" s="8"/>
      <c r="D2332" s="14"/>
      <c r="E2332" s="22"/>
      <c r="F2332" s="10"/>
      <c r="G2332" s="11"/>
      <c r="H2332" s="6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</row>
    <row r="2333" ht="19.5" customHeight="1">
      <c r="A2333" s="8"/>
      <c r="B2333" s="13"/>
      <c r="C2333" s="8"/>
      <c r="D2333" s="14"/>
      <c r="E2333" s="22"/>
      <c r="F2333" s="10"/>
      <c r="G2333" s="11"/>
      <c r="H2333" s="6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</row>
    <row r="2334" ht="19.5" customHeight="1">
      <c r="A2334" s="8"/>
      <c r="B2334" s="13"/>
      <c r="C2334" s="8"/>
      <c r="D2334" s="14"/>
      <c r="E2334" s="22"/>
      <c r="F2334" s="10"/>
      <c r="G2334" s="11"/>
      <c r="H2334" s="6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</row>
    <row r="2335" ht="19.5" customHeight="1">
      <c r="A2335" s="8"/>
      <c r="B2335" s="13"/>
      <c r="C2335" s="8"/>
      <c r="D2335" s="14"/>
      <c r="E2335" s="22"/>
      <c r="F2335" s="10"/>
      <c r="G2335" s="11"/>
      <c r="H2335" s="6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</row>
    <row r="2336" ht="19.5" customHeight="1">
      <c r="A2336" s="8"/>
      <c r="B2336" s="13"/>
      <c r="C2336" s="8"/>
      <c r="D2336" s="14"/>
      <c r="E2336" s="22"/>
      <c r="F2336" s="10"/>
      <c r="G2336" s="11"/>
      <c r="H2336" s="6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</row>
    <row r="2337" ht="19.5" customHeight="1">
      <c r="A2337" s="8"/>
      <c r="B2337" s="13"/>
      <c r="C2337" s="8"/>
      <c r="D2337" s="14"/>
      <c r="E2337" s="22"/>
      <c r="F2337" s="10"/>
      <c r="G2337" s="11"/>
      <c r="H2337" s="6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</row>
    <row r="2338" ht="19.5" customHeight="1">
      <c r="A2338" s="8"/>
      <c r="B2338" s="13"/>
      <c r="C2338" s="8"/>
      <c r="D2338" s="14"/>
      <c r="E2338" s="22"/>
      <c r="F2338" s="10"/>
      <c r="G2338" s="11"/>
      <c r="H2338" s="6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</row>
    <row r="2339" ht="19.5" customHeight="1">
      <c r="A2339" s="8"/>
      <c r="B2339" s="13"/>
      <c r="C2339" s="8"/>
      <c r="D2339" s="14"/>
      <c r="E2339" s="22"/>
      <c r="F2339" s="10"/>
      <c r="G2339" s="11"/>
      <c r="H2339" s="6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</row>
    <row r="2340" ht="19.5" customHeight="1">
      <c r="A2340" s="8"/>
      <c r="B2340" s="13"/>
      <c r="C2340" s="8"/>
      <c r="D2340" s="14"/>
      <c r="E2340" s="22"/>
      <c r="F2340" s="10"/>
      <c r="G2340" s="11"/>
      <c r="H2340" s="6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</row>
    <row r="2341" ht="19.5" customHeight="1">
      <c r="A2341" s="8"/>
      <c r="B2341" s="13"/>
      <c r="C2341" s="8"/>
      <c r="D2341" s="14"/>
      <c r="E2341" s="22"/>
      <c r="F2341" s="10"/>
      <c r="G2341" s="11"/>
      <c r="H2341" s="6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</row>
    <row r="2342" ht="19.5" customHeight="1">
      <c r="A2342" s="8"/>
      <c r="B2342" s="13"/>
      <c r="C2342" s="8"/>
      <c r="D2342" s="14"/>
      <c r="E2342" s="22"/>
      <c r="F2342" s="10"/>
      <c r="G2342" s="11"/>
      <c r="H2342" s="6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</row>
    <row r="2343" ht="19.5" customHeight="1">
      <c r="A2343" s="8"/>
      <c r="B2343" s="13"/>
      <c r="C2343" s="8"/>
      <c r="D2343" s="14"/>
      <c r="E2343" s="22"/>
      <c r="F2343" s="10"/>
      <c r="G2343" s="11"/>
      <c r="H2343" s="6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</row>
    <row r="2344" ht="19.5" customHeight="1">
      <c r="A2344" s="8"/>
      <c r="B2344" s="13"/>
      <c r="C2344" s="8"/>
      <c r="D2344" s="14"/>
      <c r="E2344" s="22"/>
      <c r="F2344" s="10"/>
      <c r="G2344" s="11"/>
      <c r="H2344" s="6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</row>
    <row r="2345" ht="19.5" customHeight="1">
      <c r="A2345" s="8"/>
      <c r="B2345" s="13"/>
      <c r="C2345" s="8"/>
      <c r="D2345" s="14"/>
      <c r="E2345" s="22"/>
      <c r="F2345" s="10"/>
      <c r="G2345" s="11"/>
      <c r="H2345" s="6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</row>
    <row r="2346" ht="19.5" customHeight="1">
      <c r="A2346" s="8"/>
      <c r="B2346" s="13"/>
      <c r="C2346" s="8"/>
      <c r="D2346" s="14"/>
      <c r="E2346" s="22"/>
      <c r="F2346" s="10"/>
      <c r="G2346" s="11"/>
      <c r="H2346" s="6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</row>
    <row r="2347" ht="19.5" customHeight="1">
      <c r="A2347" s="8"/>
      <c r="B2347" s="13"/>
      <c r="C2347" s="8"/>
      <c r="D2347" s="14"/>
      <c r="E2347" s="22"/>
      <c r="F2347" s="10"/>
      <c r="G2347" s="11"/>
      <c r="H2347" s="6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</row>
    <row r="2348" ht="19.5" customHeight="1">
      <c r="A2348" s="8"/>
      <c r="B2348" s="13"/>
      <c r="C2348" s="8"/>
      <c r="D2348" s="14"/>
      <c r="E2348" s="22"/>
      <c r="F2348" s="10"/>
      <c r="G2348" s="11"/>
      <c r="H2348" s="6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</row>
    <row r="2349" ht="19.5" customHeight="1">
      <c r="A2349" s="8"/>
      <c r="B2349" s="13"/>
      <c r="C2349" s="8"/>
      <c r="D2349" s="14"/>
      <c r="E2349" s="22"/>
      <c r="F2349" s="10"/>
      <c r="G2349" s="11"/>
      <c r="H2349" s="6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</row>
    <row r="2350" ht="19.5" customHeight="1">
      <c r="A2350" s="8"/>
      <c r="B2350" s="13"/>
      <c r="C2350" s="8"/>
      <c r="D2350" s="14"/>
      <c r="E2350" s="22"/>
      <c r="F2350" s="10"/>
      <c r="G2350" s="11"/>
      <c r="H2350" s="6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</row>
    <row r="2351" ht="19.5" customHeight="1">
      <c r="A2351" s="8"/>
      <c r="B2351" s="13"/>
      <c r="C2351" s="8"/>
      <c r="D2351" s="14"/>
      <c r="E2351" s="22"/>
      <c r="F2351" s="10"/>
      <c r="G2351" s="11"/>
      <c r="H2351" s="6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</row>
    <row r="2352" ht="19.5" customHeight="1">
      <c r="A2352" s="8"/>
      <c r="B2352" s="13"/>
      <c r="C2352" s="8"/>
      <c r="D2352" s="14"/>
      <c r="E2352" s="22"/>
      <c r="F2352" s="10"/>
      <c r="G2352" s="11"/>
      <c r="H2352" s="6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</row>
    <row r="2353" ht="19.5" customHeight="1">
      <c r="A2353" s="8"/>
      <c r="B2353" s="13"/>
      <c r="C2353" s="8"/>
      <c r="D2353" s="14"/>
      <c r="E2353" s="22"/>
      <c r="F2353" s="10"/>
      <c r="G2353" s="11"/>
      <c r="H2353" s="6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</row>
    <row r="2354" ht="19.5" customHeight="1">
      <c r="A2354" s="8"/>
      <c r="B2354" s="13"/>
      <c r="C2354" s="8"/>
      <c r="D2354" s="14"/>
      <c r="E2354" s="22"/>
      <c r="F2354" s="10"/>
      <c r="G2354" s="11"/>
      <c r="H2354" s="6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</row>
    <row r="2355" ht="19.5" customHeight="1">
      <c r="A2355" s="8"/>
      <c r="B2355" s="13"/>
      <c r="C2355" s="8"/>
      <c r="D2355" s="14"/>
      <c r="E2355" s="22"/>
      <c r="F2355" s="10"/>
      <c r="G2355" s="11"/>
      <c r="H2355" s="6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</row>
    <row r="2356" ht="19.5" customHeight="1">
      <c r="A2356" s="8"/>
      <c r="B2356" s="13"/>
      <c r="C2356" s="8"/>
      <c r="D2356" s="14"/>
      <c r="E2356" s="22"/>
      <c r="F2356" s="10"/>
      <c r="G2356" s="11"/>
      <c r="H2356" s="6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</row>
    <row r="2357" ht="19.5" customHeight="1">
      <c r="A2357" s="8"/>
      <c r="B2357" s="13"/>
      <c r="C2357" s="8"/>
      <c r="D2357" s="14"/>
      <c r="E2357" s="22"/>
      <c r="F2357" s="10"/>
      <c r="G2357" s="11"/>
      <c r="H2357" s="6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</row>
    <row r="2358" ht="19.5" customHeight="1">
      <c r="A2358" s="8"/>
      <c r="B2358" s="13"/>
      <c r="C2358" s="8"/>
      <c r="D2358" s="14"/>
      <c r="E2358" s="22"/>
      <c r="F2358" s="10"/>
      <c r="G2358" s="11"/>
      <c r="H2358" s="6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</row>
    <row r="2359" ht="19.5" customHeight="1">
      <c r="A2359" s="8"/>
      <c r="B2359" s="13"/>
      <c r="C2359" s="8"/>
      <c r="D2359" s="14"/>
      <c r="E2359" s="22"/>
      <c r="F2359" s="10"/>
      <c r="G2359" s="11"/>
      <c r="H2359" s="6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</row>
    <row r="2360" ht="19.5" customHeight="1">
      <c r="A2360" s="8"/>
      <c r="B2360" s="13"/>
      <c r="C2360" s="8"/>
      <c r="D2360" s="14"/>
      <c r="E2360" s="22"/>
      <c r="F2360" s="10"/>
      <c r="G2360" s="11"/>
      <c r="H2360" s="6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8"/>
    </row>
    <row r="2361" ht="19.5" customHeight="1">
      <c r="A2361" s="8"/>
      <c r="B2361" s="13"/>
      <c r="C2361" s="8"/>
      <c r="D2361" s="14"/>
      <c r="E2361" s="22"/>
      <c r="F2361" s="10"/>
      <c r="G2361" s="11"/>
      <c r="H2361" s="6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8"/>
      <c r="AB2361" s="8"/>
    </row>
    <row r="2362" ht="19.5" customHeight="1">
      <c r="A2362" s="8"/>
      <c r="B2362" s="13"/>
      <c r="C2362" s="8"/>
      <c r="D2362" s="14"/>
      <c r="E2362" s="22"/>
      <c r="F2362" s="10"/>
      <c r="G2362" s="11"/>
      <c r="H2362" s="6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</row>
    <row r="2363" ht="19.5" customHeight="1">
      <c r="A2363" s="8"/>
      <c r="B2363" s="13"/>
      <c r="C2363" s="8"/>
      <c r="D2363" s="14"/>
      <c r="E2363" s="22"/>
      <c r="F2363" s="10"/>
      <c r="G2363" s="11"/>
      <c r="H2363" s="6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</row>
    <row r="2364" ht="19.5" customHeight="1">
      <c r="A2364" s="8"/>
      <c r="B2364" s="13"/>
      <c r="C2364" s="8"/>
      <c r="D2364" s="14"/>
      <c r="E2364" s="22"/>
      <c r="F2364" s="10"/>
      <c r="G2364" s="11"/>
      <c r="H2364" s="6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</row>
    <row r="2365" ht="19.5" customHeight="1">
      <c r="A2365" s="8"/>
      <c r="B2365" s="13"/>
      <c r="C2365" s="8"/>
      <c r="D2365" s="14"/>
      <c r="E2365" s="22"/>
      <c r="F2365" s="10"/>
      <c r="G2365" s="11"/>
      <c r="H2365" s="6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</row>
    <row r="2366" ht="19.5" customHeight="1">
      <c r="A2366" s="8"/>
      <c r="B2366" s="13"/>
      <c r="C2366" s="8"/>
      <c r="D2366" s="14"/>
      <c r="E2366" s="22"/>
      <c r="F2366" s="10"/>
      <c r="G2366" s="11"/>
      <c r="H2366" s="6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</row>
    <row r="2367" ht="19.5" customHeight="1">
      <c r="A2367" s="8"/>
      <c r="B2367" s="13"/>
      <c r="C2367" s="8"/>
      <c r="D2367" s="14"/>
      <c r="E2367" s="22"/>
      <c r="F2367" s="10"/>
      <c r="G2367" s="11"/>
      <c r="H2367" s="6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</row>
    <row r="2368" ht="19.5" customHeight="1">
      <c r="A2368" s="8"/>
      <c r="B2368" s="13"/>
      <c r="C2368" s="8"/>
      <c r="D2368" s="14"/>
      <c r="E2368" s="22"/>
      <c r="F2368" s="10"/>
      <c r="G2368" s="11"/>
      <c r="H2368" s="6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</row>
    <row r="2369" ht="19.5" customHeight="1">
      <c r="A2369" s="8"/>
      <c r="B2369" s="13"/>
      <c r="C2369" s="8"/>
      <c r="D2369" s="14"/>
      <c r="E2369" s="22"/>
      <c r="F2369" s="10"/>
      <c r="G2369" s="11"/>
      <c r="H2369" s="6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</row>
    <row r="2370" ht="19.5" customHeight="1">
      <c r="A2370" s="8"/>
      <c r="B2370" s="13"/>
      <c r="C2370" s="8"/>
      <c r="D2370" s="14"/>
      <c r="E2370" s="22"/>
      <c r="F2370" s="10"/>
      <c r="G2370" s="11"/>
      <c r="H2370" s="6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</row>
    <row r="2371" ht="19.5" customHeight="1">
      <c r="A2371" s="8"/>
      <c r="B2371" s="13"/>
      <c r="C2371" s="8"/>
      <c r="D2371" s="14"/>
      <c r="E2371" s="22"/>
      <c r="F2371" s="10"/>
      <c r="G2371" s="11"/>
      <c r="H2371" s="6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</row>
    <row r="2372" ht="19.5" customHeight="1">
      <c r="A2372" s="8"/>
      <c r="B2372" s="13"/>
      <c r="C2372" s="8"/>
      <c r="D2372" s="14"/>
      <c r="E2372" s="22"/>
      <c r="F2372" s="10"/>
      <c r="G2372" s="11"/>
      <c r="H2372" s="6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</row>
    <row r="2373" ht="19.5" customHeight="1">
      <c r="A2373" s="8"/>
      <c r="B2373" s="13"/>
      <c r="C2373" s="8"/>
      <c r="D2373" s="14"/>
      <c r="E2373" s="22"/>
      <c r="F2373" s="10"/>
      <c r="G2373" s="11"/>
      <c r="H2373" s="6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</row>
    <row r="2374" ht="19.5" customHeight="1">
      <c r="A2374" s="8"/>
      <c r="B2374" s="13"/>
      <c r="C2374" s="8"/>
      <c r="D2374" s="14"/>
      <c r="E2374" s="22"/>
      <c r="F2374" s="10"/>
      <c r="G2374" s="11"/>
      <c r="H2374" s="6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</row>
    <row r="2375" ht="19.5" customHeight="1">
      <c r="A2375" s="8"/>
      <c r="B2375" s="13"/>
      <c r="C2375" s="8"/>
      <c r="D2375" s="14"/>
      <c r="E2375" s="22"/>
      <c r="F2375" s="10"/>
      <c r="G2375" s="11"/>
      <c r="H2375" s="6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</row>
    <row r="2376" ht="19.5" customHeight="1">
      <c r="A2376" s="8"/>
      <c r="B2376" s="13"/>
      <c r="C2376" s="8"/>
      <c r="D2376" s="14"/>
      <c r="E2376" s="22"/>
      <c r="F2376" s="10"/>
      <c r="G2376" s="11"/>
      <c r="H2376" s="6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</row>
    <row r="2377" ht="19.5" customHeight="1">
      <c r="A2377" s="8"/>
      <c r="B2377" s="13"/>
      <c r="C2377" s="8"/>
      <c r="D2377" s="14"/>
      <c r="E2377" s="22"/>
      <c r="F2377" s="10"/>
      <c r="G2377" s="11"/>
      <c r="H2377" s="6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</row>
    <row r="2378" ht="19.5" customHeight="1">
      <c r="A2378" s="8"/>
      <c r="B2378" s="13"/>
      <c r="C2378" s="8"/>
      <c r="D2378" s="14"/>
      <c r="E2378" s="22"/>
      <c r="F2378" s="10"/>
      <c r="G2378" s="11"/>
      <c r="H2378" s="6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</row>
    <row r="2379" ht="19.5" customHeight="1">
      <c r="A2379" s="8"/>
      <c r="B2379" s="13"/>
      <c r="C2379" s="8"/>
      <c r="D2379" s="14"/>
      <c r="E2379" s="22"/>
      <c r="F2379" s="10"/>
      <c r="G2379" s="11"/>
      <c r="H2379" s="6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</row>
    <row r="2380" ht="19.5" customHeight="1">
      <c r="A2380" s="8"/>
      <c r="B2380" s="13"/>
      <c r="C2380" s="8"/>
      <c r="D2380" s="14"/>
      <c r="E2380" s="22"/>
      <c r="F2380" s="10"/>
      <c r="G2380" s="11"/>
      <c r="H2380" s="6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</row>
    <row r="2381" ht="19.5" customHeight="1">
      <c r="A2381" s="8"/>
      <c r="B2381" s="13"/>
      <c r="C2381" s="8"/>
      <c r="D2381" s="14"/>
      <c r="E2381" s="22"/>
      <c r="F2381" s="10"/>
      <c r="G2381" s="11"/>
      <c r="H2381" s="6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</row>
    <row r="2382" ht="19.5" customHeight="1">
      <c r="A2382" s="8"/>
      <c r="B2382" s="13"/>
      <c r="C2382" s="8"/>
      <c r="D2382" s="14"/>
      <c r="E2382" s="22"/>
      <c r="F2382" s="10"/>
      <c r="G2382" s="11"/>
      <c r="H2382" s="6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</row>
    <row r="2383" ht="19.5" customHeight="1">
      <c r="A2383" s="8"/>
      <c r="B2383" s="13"/>
      <c r="C2383" s="8"/>
      <c r="D2383" s="14"/>
      <c r="E2383" s="22"/>
      <c r="F2383" s="10"/>
      <c r="G2383" s="11"/>
      <c r="H2383" s="6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</row>
    <row r="2384" ht="19.5" customHeight="1">
      <c r="A2384" s="8"/>
      <c r="B2384" s="13"/>
      <c r="C2384" s="8"/>
      <c r="D2384" s="14"/>
      <c r="E2384" s="22"/>
      <c r="F2384" s="10"/>
      <c r="G2384" s="11"/>
      <c r="H2384" s="6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</row>
    <row r="2385" ht="19.5" customHeight="1">
      <c r="A2385" s="8"/>
      <c r="B2385" s="13"/>
      <c r="C2385" s="8"/>
      <c r="D2385" s="14"/>
      <c r="E2385" s="22"/>
      <c r="F2385" s="10"/>
      <c r="G2385" s="11"/>
      <c r="H2385" s="6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</row>
    <row r="2386" ht="19.5" customHeight="1">
      <c r="A2386" s="8"/>
      <c r="B2386" s="13"/>
      <c r="C2386" s="8"/>
      <c r="D2386" s="14"/>
      <c r="E2386" s="22"/>
      <c r="F2386" s="10"/>
      <c r="G2386" s="11"/>
      <c r="H2386" s="6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</row>
    <row r="2387" ht="19.5" customHeight="1">
      <c r="A2387" s="8"/>
      <c r="B2387" s="13"/>
      <c r="C2387" s="8"/>
      <c r="D2387" s="14"/>
      <c r="E2387" s="22"/>
      <c r="F2387" s="10"/>
      <c r="G2387" s="11"/>
      <c r="H2387" s="6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</row>
    <row r="2388" ht="19.5" customHeight="1">
      <c r="A2388" s="8"/>
      <c r="B2388" s="13"/>
      <c r="C2388" s="8"/>
      <c r="D2388" s="14"/>
      <c r="E2388" s="22"/>
      <c r="F2388" s="10"/>
      <c r="G2388" s="11"/>
      <c r="H2388" s="6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</row>
    <row r="2389" ht="19.5" customHeight="1">
      <c r="A2389" s="8"/>
      <c r="B2389" s="13"/>
      <c r="C2389" s="8"/>
      <c r="D2389" s="14"/>
      <c r="E2389" s="22"/>
      <c r="F2389" s="10"/>
      <c r="G2389" s="11"/>
      <c r="H2389" s="6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</row>
    <row r="2390" ht="19.5" customHeight="1">
      <c r="A2390" s="8"/>
      <c r="B2390" s="13"/>
      <c r="C2390" s="8"/>
      <c r="D2390" s="14"/>
      <c r="E2390" s="22"/>
      <c r="F2390" s="10"/>
      <c r="G2390" s="11"/>
      <c r="H2390" s="6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</row>
    <row r="2391" ht="19.5" customHeight="1">
      <c r="A2391" s="8"/>
      <c r="B2391" s="13"/>
      <c r="C2391" s="8"/>
      <c r="D2391" s="14"/>
      <c r="E2391" s="22"/>
      <c r="F2391" s="10"/>
      <c r="G2391" s="11"/>
      <c r="H2391" s="6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</row>
    <row r="2392" ht="19.5" customHeight="1">
      <c r="A2392" s="8"/>
      <c r="B2392" s="13"/>
      <c r="C2392" s="8"/>
      <c r="D2392" s="14"/>
      <c r="E2392" s="22"/>
      <c r="F2392" s="10"/>
      <c r="G2392" s="11"/>
      <c r="H2392" s="6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</row>
    <row r="2393" ht="19.5" customHeight="1">
      <c r="A2393" s="8"/>
      <c r="B2393" s="13"/>
      <c r="C2393" s="8"/>
      <c r="D2393" s="14"/>
      <c r="E2393" s="22"/>
      <c r="F2393" s="10"/>
      <c r="G2393" s="11"/>
      <c r="H2393" s="6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</row>
    <row r="2394" ht="19.5" customHeight="1">
      <c r="A2394" s="8"/>
      <c r="B2394" s="13"/>
      <c r="C2394" s="8"/>
      <c r="D2394" s="14"/>
      <c r="E2394" s="22"/>
      <c r="F2394" s="10"/>
      <c r="G2394" s="11"/>
      <c r="H2394" s="6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</row>
    <row r="2395" ht="19.5" customHeight="1">
      <c r="A2395" s="8"/>
      <c r="B2395" s="13"/>
      <c r="C2395" s="8"/>
      <c r="D2395" s="14"/>
      <c r="E2395" s="22"/>
      <c r="F2395" s="10"/>
      <c r="G2395" s="11"/>
      <c r="H2395" s="6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</row>
    <row r="2396" ht="19.5" customHeight="1">
      <c r="A2396" s="8"/>
      <c r="B2396" s="13"/>
      <c r="C2396" s="8"/>
      <c r="D2396" s="14"/>
      <c r="E2396" s="22"/>
      <c r="F2396" s="10"/>
      <c r="G2396" s="11"/>
      <c r="H2396" s="6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</row>
    <row r="2397" ht="19.5" customHeight="1">
      <c r="A2397" s="8"/>
      <c r="B2397" s="13"/>
      <c r="C2397" s="8"/>
      <c r="D2397" s="14"/>
      <c r="E2397" s="22"/>
      <c r="F2397" s="10"/>
      <c r="G2397" s="11"/>
      <c r="H2397" s="6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8"/>
      <c r="AB2397" s="8"/>
    </row>
    <row r="2398" ht="19.5" customHeight="1">
      <c r="A2398" s="8"/>
      <c r="B2398" s="13"/>
      <c r="C2398" s="8"/>
      <c r="D2398" s="14"/>
      <c r="E2398" s="22"/>
      <c r="F2398" s="10"/>
      <c r="G2398" s="11"/>
      <c r="H2398" s="6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</row>
    <row r="2399" ht="19.5" customHeight="1">
      <c r="A2399" s="8"/>
      <c r="B2399" s="13"/>
      <c r="C2399" s="8"/>
      <c r="D2399" s="14"/>
      <c r="E2399" s="22"/>
      <c r="F2399" s="10"/>
      <c r="G2399" s="11"/>
      <c r="H2399" s="6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</row>
    <row r="2400" ht="19.5" customHeight="1">
      <c r="A2400" s="8"/>
      <c r="B2400" s="13"/>
      <c r="C2400" s="8"/>
      <c r="D2400" s="14"/>
      <c r="E2400" s="22"/>
      <c r="F2400" s="10"/>
      <c r="G2400" s="11"/>
      <c r="H2400" s="6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</row>
    <row r="2401" ht="19.5" customHeight="1">
      <c r="A2401" s="8"/>
      <c r="B2401" s="13"/>
      <c r="C2401" s="8"/>
      <c r="D2401" s="14"/>
      <c r="E2401" s="22"/>
      <c r="F2401" s="10"/>
      <c r="G2401" s="11"/>
      <c r="H2401" s="6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</row>
    <row r="2402" ht="19.5" customHeight="1">
      <c r="A2402" s="8"/>
      <c r="B2402" s="13"/>
      <c r="C2402" s="8"/>
      <c r="D2402" s="14"/>
      <c r="E2402" s="22"/>
      <c r="F2402" s="10"/>
      <c r="G2402" s="11"/>
      <c r="H2402" s="6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</row>
    <row r="2403" ht="19.5" customHeight="1">
      <c r="A2403" s="8"/>
      <c r="B2403" s="13"/>
      <c r="C2403" s="8"/>
      <c r="D2403" s="14"/>
      <c r="E2403" s="22"/>
      <c r="F2403" s="10"/>
      <c r="G2403" s="11"/>
      <c r="H2403" s="6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</row>
    <row r="2404" ht="19.5" customHeight="1">
      <c r="A2404" s="8"/>
      <c r="B2404" s="13"/>
      <c r="C2404" s="8"/>
      <c r="D2404" s="14"/>
      <c r="E2404" s="22"/>
      <c r="F2404" s="10"/>
      <c r="G2404" s="11"/>
      <c r="H2404" s="6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</row>
    <row r="2405" ht="19.5" customHeight="1">
      <c r="A2405" s="8"/>
      <c r="B2405" s="13"/>
      <c r="C2405" s="8"/>
      <c r="D2405" s="14"/>
      <c r="E2405" s="22"/>
      <c r="F2405" s="10"/>
      <c r="G2405" s="11"/>
      <c r="H2405" s="6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</row>
    <row r="2406" ht="19.5" customHeight="1">
      <c r="A2406" s="8"/>
      <c r="B2406" s="13"/>
      <c r="C2406" s="8"/>
      <c r="D2406" s="14"/>
      <c r="E2406" s="22"/>
      <c r="F2406" s="10"/>
      <c r="G2406" s="11"/>
      <c r="H2406" s="6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</row>
    <row r="2407" ht="19.5" customHeight="1">
      <c r="A2407" s="8"/>
      <c r="B2407" s="13"/>
      <c r="C2407" s="8"/>
      <c r="D2407" s="14"/>
      <c r="E2407" s="22"/>
      <c r="F2407" s="10"/>
      <c r="G2407" s="11"/>
      <c r="H2407" s="6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</row>
    <row r="2408" ht="19.5" customHeight="1">
      <c r="A2408" s="8"/>
      <c r="B2408" s="13"/>
      <c r="C2408" s="8"/>
      <c r="D2408" s="14"/>
      <c r="E2408" s="22"/>
      <c r="F2408" s="10"/>
      <c r="G2408" s="11"/>
      <c r="H2408" s="6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</row>
    <row r="2409" ht="19.5" customHeight="1">
      <c r="A2409" s="8"/>
      <c r="B2409" s="13"/>
      <c r="C2409" s="8"/>
      <c r="D2409" s="14"/>
      <c r="E2409" s="22"/>
      <c r="F2409" s="10"/>
      <c r="G2409" s="11"/>
      <c r="H2409" s="6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</row>
    <row r="2410" ht="19.5" customHeight="1">
      <c r="A2410" s="8"/>
      <c r="B2410" s="13"/>
      <c r="C2410" s="8"/>
      <c r="D2410" s="14"/>
      <c r="E2410" s="22"/>
      <c r="F2410" s="10"/>
      <c r="G2410" s="11"/>
      <c r="H2410" s="6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</row>
    <row r="2411" ht="19.5" customHeight="1">
      <c r="A2411" s="8"/>
      <c r="B2411" s="13"/>
      <c r="C2411" s="8"/>
      <c r="D2411" s="14"/>
      <c r="E2411" s="22"/>
      <c r="F2411" s="10"/>
      <c r="G2411" s="11"/>
      <c r="H2411" s="6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</row>
    <row r="2412" ht="19.5" customHeight="1">
      <c r="A2412" s="8"/>
      <c r="B2412" s="13"/>
      <c r="C2412" s="8"/>
      <c r="D2412" s="14"/>
      <c r="E2412" s="22"/>
      <c r="F2412" s="10"/>
      <c r="G2412" s="11"/>
      <c r="H2412" s="6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</row>
    <row r="2413" ht="19.5" customHeight="1">
      <c r="A2413" s="8"/>
      <c r="B2413" s="13"/>
      <c r="C2413" s="8"/>
      <c r="D2413" s="14"/>
      <c r="E2413" s="22"/>
      <c r="F2413" s="10"/>
      <c r="G2413" s="11"/>
      <c r="H2413" s="6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</row>
    <row r="2414" ht="19.5" customHeight="1">
      <c r="A2414" s="8"/>
      <c r="B2414" s="13"/>
      <c r="C2414" s="8"/>
      <c r="D2414" s="14"/>
      <c r="E2414" s="22"/>
      <c r="F2414" s="10"/>
      <c r="G2414" s="11"/>
      <c r="H2414" s="6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</row>
    <row r="2415" ht="19.5" customHeight="1">
      <c r="A2415" s="8"/>
      <c r="B2415" s="13"/>
      <c r="C2415" s="8"/>
      <c r="D2415" s="14"/>
      <c r="E2415" s="22"/>
      <c r="F2415" s="10"/>
      <c r="G2415" s="11"/>
      <c r="H2415" s="6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</row>
    <row r="2416" ht="19.5" customHeight="1">
      <c r="A2416" s="8"/>
      <c r="B2416" s="13"/>
      <c r="C2416" s="8"/>
      <c r="D2416" s="14"/>
      <c r="E2416" s="22"/>
      <c r="F2416" s="10"/>
      <c r="G2416" s="11"/>
      <c r="H2416" s="6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</row>
    <row r="2417" ht="19.5" customHeight="1">
      <c r="A2417" s="8"/>
      <c r="B2417" s="13"/>
      <c r="C2417" s="8"/>
      <c r="D2417" s="14"/>
      <c r="E2417" s="22"/>
      <c r="F2417" s="10"/>
      <c r="G2417" s="11"/>
      <c r="H2417" s="6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</row>
    <row r="2418" ht="19.5" customHeight="1">
      <c r="A2418" s="8"/>
      <c r="B2418" s="13"/>
      <c r="C2418" s="8"/>
      <c r="D2418" s="14"/>
      <c r="E2418" s="22"/>
      <c r="F2418" s="10"/>
      <c r="G2418" s="11"/>
      <c r="H2418" s="6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</row>
    <row r="2419" ht="19.5" customHeight="1">
      <c r="A2419" s="8"/>
      <c r="B2419" s="13"/>
      <c r="C2419" s="8"/>
      <c r="D2419" s="14"/>
      <c r="E2419" s="22"/>
      <c r="F2419" s="10"/>
      <c r="G2419" s="11"/>
      <c r="H2419" s="6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</row>
    <row r="2420" ht="19.5" customHeight="1">
      <c r="A2420" s="8"/>
      <c r="B2420" s="13"/>
      <c r="C2420" s="8"/>
      <c r="D2420" s="14"/>
      <c r="E2420" s="22"/>
      <c r="F2420" s="10"/>
      <c r="G2420" s="11"/>
      <c r="H2420" s="6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</row>
    <row r="2421" ht="19.5" customHeight="1">
      <c r="A2421" s="8"/>
      <c r="B2421" s="13"/>
      <c r="C2421" s="8"/>
      <c r="D2421" s="14"/>
      <c r="E2421" s="22"/>
      <c r="F2421" s="10"/>
      <c r="G2421" s="11"/>
      <c r="H2421" s="6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</row>
    <row r="2422" ht="19.5" customHeight="1">
      <c r="A2422" s="8"/>
      <c r="B2422" s="13"/>
      <c r="C2422" s="8"/>
      <c r="D2422" s="14"/>
      <c r="E2422" s="22"/>
      <c r="F2422" s="10"/>
      <c r="G2422" s="11"/>
      <c r="H2422" s="6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</row>
    <row r="2423" ht="19.5" customHeight="1">
      <c r="A2423" s="8"/>
      <c r="B2423" s="13"/>
      <c r="C2423" s="8"/>
      <c r="D2423" s="14"/>
      <c r="E2423" s="22"/>
      <c r="F2423" s="10"/>
      <c r="G2423" s="11"/>
      <c r="H2423" s="6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</row>
    <row r="2424" ht="19.5" customHeight="1">
      <c r="A2424" s="8"/>
      <c r="B2424" s="13"/>
      <c r="C2424" s="8"/>
      <c r="D2424" s="14"/>
      <c r="E2424" s="22"/>
      <c r="F2424" s="10"/>
      <c r="G2424" s="11"/>
      <c r="H2424" s="6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</row>
    <row r="2425" ht="19.5" customHeight="1">
      <c r="A2425" s="8"/>
      <c r="B2425" s="13"/>
      <c r="C2425" s="8"/>
      <c r="D2425" s="14"/>
      <c r="E2425" s="22"/>
      <c r="F2425" s="10"/>
      <c r="G2425" s="11"/>
      <c r="H2425" s="6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</row>
    <row r="2426" ht="19.5" customHeight="1">
      <c r="A2426" s="8"/>
      <c r="B2426" s="13"/>
      <c r="C2426" s="8"/>
      <c r="D2426" s="14"/>
      <c r="E2426" s="22"/>
      <c r="F2426" s="10"/>
      <c r="G2426" s="11"/>
      <c r="H2426" s="6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</row>
    <row r="2427" ht="19.5" customHeight="1">
      <c r="A2427" s="8"/>
      <c r="B2427" s="13"/>
      <c r="C2427" s="8"/>
      <c r="D2427" s="14"/>
      <c r="E2427" s="22"/>
      <c r="F2427" s="10"/>
      <c r="G2427" s="11"/>
      <c r="H2427" s="6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</row>
    <row r="2428" ht="19.5" customHeight="1">
      <c r="A2428" s="8"/>
      <c r="B2428" s="13"/>
      <c r="C2428" s="8"/>
      <c r="D2428" s="14"/>
      <c r="E2428" s="22"/>
      <c r="F2428" s="10"/>
      <c r="G2428" s="11"/>
      <c r="H2428" s="6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</row>
    <row r="2429" ht="19.5" customHeight="1">
      <c r="A2429" s="8"/>
      <c r="B2429" s="13"/>
      <c r="C2429" s="8"/>
      <c r="D2429" s="14"/>
      <c r="E2429" s="22"/>
      <c r="F2429" s="10"/>
      <c r="G2429" s="11"/>
      <c r="H2429" s="6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</row>
    <row r="2430" ht="19.5" customHeight="1">
      <c r="A2430" s="8"/>
      <c r="B2430" s="13"/>
      <c r="C2430" s="8"/>
      <c r="D2430" s="14"/>
      <c r="E2430" s="22"/>
      <c r="F2430" s="10"/>
      <c r="G2430" s="11"/>
      <c r="H2430" s="6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</row>
    <row r="2431" ht="19.5" customHeight="1">
      <c r="A2431" s="8"/>
      <c r="B2431" s="13"/>
      <c r="C2431" s="8"/>
      <c r="D2431" s="14"/>
      <c r="E2431" s="22"/>
      <c r="F2431" s="10"/>
      <c r="G2431" s="11"/>
      <c r="H2431" s="6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</row>
    <row r="2432" ht="19.5" customHeight="1">
      <c r="A2432" s="8"/>
      <c r="B2432" s="13"/>
      <c r="C2432" s="8"/>
      <c r="D2432" s="14"/>
      <c r="E2432" s="22"/>
      <c r="F2432" s="10"/>
      <c r="G2432" s="11"/>
      <c r="H2432" s="6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</row>
    <row r="2433" ht="19.5" customHeight="1">
      <c r="A2433" s="8"/>
      <c r="B2433" s="13"/>
      <c r="C2433" s="8"/>
      <c r="D2433" s="14"/>
      <c r="E2433" s="22"/>
      <c r="F2433" s="10"/>
      <c r="G2433" s="11"/>
      <c r="H2433" s="6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</row>
    <row r="2434" ht="19.5" customHeight="1">
      <c r="A2434" s="8"/>
      <c r="B2434" s="13"/>
      <c r="C2434" s="8"/>
      <c r="D2434" s="14"/>
      <c r="E2434" s="22"/>
      <c r="F2434" s="10"/>
      <c r="G2434" s="11"/>
      <c r="H2434" s="6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</row>
    <row r="2435" ht="19.5" customHeight="1">
      <c r="A2435" s="8"/>
      <c r="B2435" s="13"/>
      <c r="C2435" s="8"/>
      <c r="D2435" s="14"/>
      <c r="E2435" s="22"/>
      <c r="F2435" s="10"/>
      <c r="G2435" s="11"/>
      <c r="H2435" s="6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</row>
    <row r="2436" ht="19.5" customHeight="1">
      <c r="A2436" s="8"/>
      <c r="B2436" s="13"/>
      <c r="C2436" s="8"/>
      <c r="D2436" s="14"/>
      <c r="E2436" s="22"/>
      <c r="F2436" s="10"/>
      <c r="G2436" s="11"/>
      <c r="H2436" s="6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</row>
    <row r="2437" ht="19.5" customHeight="1">
      <c r="A2437" s="8"/>
      <c r="B2437" s="13"/>
      <c r="C2437" s="8"/>
      <c r="D2437" s="14"/>
      <c r="E2437" s="22"/>
      <c r="F2437" s="10"/>
      <c r="G2437" s="11"/>
      <c r="H2437" s="6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</row>
    <row r="2438" ht="19.5" customHeight="1">
      <c r="A2438" s="8"/>
      <c r="B2438" s="13"/>
      <c r="C2438" s="8"/>
      <c r="D2438" s="14"/>
      <c r="E2438" s="22"/>
      <c r="F2438" s="10"/>
      <c r="G2438" s="11"/>
      <c r="H2438" s="6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</row>
    <row r="2439" ht="19.5" customHeight="1">
      <c r="A2439" s="8"/>
      <c r="B2439" s="13"/>
      <c r="C2439" s="8"/>
      <c r="D2439" s="14"/>
      <c r="E2439" s="22"/>
      <c r="F2439" s="10"/>
      <c r="G2439" s="11"/>
      <c r="H2439" s="6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</row>
    <row r="2440" ht="19.5" customHeight="1">
      <c r="A2440" s="8"/>
      <c r="B2440" s="13"/>
      <c r="C2440" s="8"/>
      <c r="D2440" s="14"/>
      <c r="E2440" s="22"/>
      <c r="F2440" s="10"/>
      <c r="G2440" s="11"/>
      <c r="H2440" s="6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</row>
    <row r="2441" ht="19.5" customHeight="1">
      <c r="A2441" s="8"/>
      <c r="B2441" s="13"/>
      <c r="C2441" s="8"/>
      <c r="D2441" s="14"/>
      <c r="E2441" s="22"/>
      <c r="F2441" s="10"/>
      <c r="G2441" s="11"/>
      <c r="H2441" s="6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</row>
    <row r="2442" ht="19.5" customHeight="1">
      <c r="A2442" s="8"/>
      <c r="B2442" s="13"/>
      <c r="C2442" s="8"/>
      <c r="D2442" s="14"/>
      <c r="E2442" s="22"/>
      <c r="F2442" s="10"/>
      <c r="G2442" s="11"/>
      <c r="H2442" s="6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</row>
    <row r="2443" ht="19.5" customHeight="1">
      <c r="A2443" s="8"/>
      <c r="B2443" s="13"/>
      <c r="C2443" s="8"/>
      <c r="D2443" s="14"/>
      <c r="E2443" s="22"/>
      <c r="F2443" s="10"/>
      <c r="G2443" s="11"/>
      <c r="H2443" s="6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</row>
    <row r="2444" ht="19.5" customHeight="1">
      <c r="A2444" s="8"/>
      <c r="B2444" s="13"/>
      <c r="C2444" s="8"/>
      <c r="D2444" s="14"/>
      <c r="E2444" s="22"/>
      <c r="F2444" s="10"/>
      <c r="G2444" s="11"/>
      <c r="H2444" s="6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</row>
    <row r="2445" ht="19.5" customHeight="1">
      <c r="A2445" s="8"/>
      <c r="B2445" s="13"/>
      <c r="C2445" s="8"/>
      <c r="D2445" s="14"/>
      <c r="E2445" s="22"/>
      <c r="F2445" s="10"/>
      <c r="G2445" s="11"/>
      <c r="H2445" s="6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</row>
    <row r="2446" ht="19.5" customHeight="1">
      <c r="A2446" s="8"/>
      <c r="B2446" s="13"/>
      <c r="C2446" s="8"/>
      <c r="D2446" s="14"/>
      <c r="E2446" s="22"/>
      <c r="F2446" s="10"/>
      <c r="G2446" s="11"/>
      <c r="H2446" s="6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</row>
    <row r="2447" ht="19.5" customHeight="1">
      <c r="A2447" s="8"/>
      <c r="B2447" s="13"/>
      <c r="C2447" s="8"/>
      <c r="D2447" s="14"/>
      <c r="E2447" s="22"/>
      <c r="F2447" s="10"/>
      <c r="G2447" s="11"/>
      <c r="H2447" s="6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</row>
    <row r="2448" ht="19.5" customHeight="1">
      <c r="A2448" s="8"/>
      <c r="B2448" s="13"/>
      <c r="C2448" s="8"/>
      <c r="D2448" s="14"/>
      <c r="E2448" s="22"/>
      <c r="F2448" s="10"/>
      <c r="G2448" s="11"/>
      <c r="H2448" s="6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</row>
    <row r="2449" ht="19.5" customHeight="1">
      <c r="A2449" s="8"/>
      <c r="B2449" s="13"/>
      <c r="C2449" s="8"/>
      <c r="D2449" s="14"/>
      <c r="E2449" s="22"/>
      <c r="F2449" s="10"/>
      <c r="G2449" s="11"/>
      <c r="H2449" s="6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</row>
    <row r="2450" ht="19.5" customHeight="1">
      <c r="A2450" s="8"/>
      <c r="B2450" s="13"/>
      <c r="C2450" s="8"/>
      <c r="D2450" s="14"/>
      <c r="E2450" s="22"/>
      <c r="F2450" s="10"/>
      <c r="G2450" s="11"/>
      <c r="H2450" s="6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</row>
    <row r="2451" ht="19.5" customHeight="1">
      <c r="A2451" s="8"/>
      <c r="B2451" s="13"/>
      <c r="C2451" s="8"/>
      <c r="D2451" s="14"/>
      <c r="E2451" s="22"/>
      <c r="F2451" s="10"/>
      <c r="G2451" s="11"/>
      <c r="H2451" s="6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</row>
    <row r="2452" ht="19.5" customHeight="1">
      <c r="A2452" s="8"/>
      <c r="B2452" s="13"/>
      <c r="C2452" s="8"/>
      <c r="D2452" s="14"/>
      <c r="E2452" s="22"/>
      <c r="F2452" s="10"/>
      <c r="G2452" s="11"/>
      <c r="H2452" s="6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</row>
    <row r="2453" ht="19.5" customHeight="1">
      <c r="A2453" s="8"/>
      <c r="B2453" s="13"/>
      <c r="C2453" s="8"/>
      <c r="D2453" s="14"/>
      <c r="E2453" s="22"/>
      <c r="F2453" s="10"/>
      <c r="G2453" s="11"/>
      <c r="H2453" s="6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</row>
    <row r="2454" ht="19.5" customHeight="1">
      <c r="A2454" s="8"/>
      <c r="B2454" s="13"/>
      <c r="C2454" s="8"/>
      <c r="D2454" s="14"/>
      <c r="E2454" s="22"/>
      <c r="F2454" s="10"/>
      <c r="G2454" s="11"/>
      <c r="H2454" s="6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</row>
    <row r="2455" ht="19.5" customHeight="1">
      <c r="A2455" s="8"/>
      <c r="B2455" s="13"/>
      <c r="C2455" s="8"/>
      <c r="D2455" s="14"/>
      <c r="E2455" s="22"/>
      <c r="F2455" s="10"/>
      <c r="G2455" s="11"/>
      <c r="H2455" s="6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</row>
    <row r="2456" ht="19.5" customHeight="1">
      <c r="A2456" s="8"/>
      <c r="B2456" s="13"/>
      <c r="C2456" s="8"/>
      <c r="D2456" s="14"/>
      <c r="E2456" s="22"/>
      <c r="F2456" s="10"/>
      <c r="G2456" s="11"/>
      <c r="H2456" s="6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</row>
    <row r="2457" ht="19.5" customHeight="1">
      <c r="A2457" s="8"/>
      <c r="B2457" s="13"/>
      <c r="C2457" s="8"/>
      <c r="D2457" s="14"/>
      <c r="E2457" s="22"/>
      <c r="F2457" s="10"/>
      <c r="G2457" s="11"/>
      <c r="H2457" s="6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8"/>
    </row>
    <row r="2458" ht="19.5" customHeight="1">
      <c r="A2458" s="8"/>
      <c r="B2458" s="13"/>
      <c r="C2458" s="8"/>
      <c r="D2458" s="14"/>
      <c r="E2458" s="22"/>
      <c r="F2458" s="10"/>
      <c r="G2458" s="11"/>
      <c r="H2458" s="6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</row>
    <row r="2459" ht="19.5" customHeight="1">
      <c r="A2459" s="8"/>
      <c r="B2459" s="13"/>
      <c r="C2459" s="8"/>
      <c r="D2459" s="14"/>
      <c r="E2459" s="22"/>
      <c r="F2459" s="10"/>
      <c r="G2459" s="11"/>
      <c r="H2459" s="6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</row>
    <row r="2460" ht="19.5" customHeight="1">
      <c r="A2460" s="8"/>
      <c r="B2460" s="13"/>
      <c r="C2460" s="8"/>
      <c r="D2460" s="14"/>
      <c r="E2460" s="22"/>
      <c r="F2460" s="10"/>
      <c r="G2460" s="11"/>
      <c r="H2460" s="6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</row>
    <row r="2461" ht="19.5" customHeight="1">
      <c r="A2461" s="8"/>
      <c r="B2461" s="13"/>
      <c r="C2461" s="8"/>
      <c r="D2461" s="14"/>
      <c r="E2461" s="22"/>
      <c r="F2461" s="10"/>
      <c r="G2461" s="11"/>
      <c r="H2461" s="6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</row>
    <row r="2462" ht="19.5" customHeight="1">
      <c r="A2462" s="8"/>
      <c r="B2462" s="13"/>
      <c r="C2462" s="8"/>
      <c r="D2462" s="14"/>
      <c r="E2462" s="22"/>
      <c r="F2462" s="10"/>
      <c r="G2462" s="11"/>
      <c r="H2462" s="6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</row>
    <row r="2463" ht="19.5" customHeight="1">
      <c r="A2463" s="8"/>
      <c r="B2463" s="13"/>
      <c r="C2463" s="8"/>
      <c r="D2463" s="14"/>
      <c r="E2463" s="22"/>
      <c r="F2463" s="10"/>
      <c r="G2463" s="11"/>
      <c r="H2463" s="6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</row>
    <row r="2464" ht="19.5" customHeight="1">
      <c r="A2464" s="8"/>
      <c r="B2464" s="13"/>
      <c r="C2464" s="8"/>
      <c r="D2464" s="14"/>
      <c r="E2464" s="22"/>
      <c r="F2464" s="10"/>
      <c r="G2464" s="11"/>
      <c r="H2464" s="6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</row>
    <row r="2465" ht="19.5" customHeight="1">
      <c r="A2465" s="8"/>
      <c r="B2465" s="13"/>
      <c r="C2465" s="8"/>
      <c r="D2465" s="14"/>
      <c r="E2465" s="22"/>
      <c r="F2465" s="10"/>
      <c r="G2465" s="11"/>
      <c r="H2465" s="6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</row>
    <row r="2466" ht="19.5" customHeight="1">
      <c r="A2466" s="8"/>
      <c r="B2466" s="13"/>
      <c r="C2466" s="8"/>
      <c r="D2466" s="14"/>
      <c r="E2466" s="22"/>
      <c r="F2466" s="10"/>
      <c r="G2466" s="11"/>
      <c r="H2466" s="6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</row>
    <row r="2467" ht="19.5" customHeight="1">
      <c r="A2467" s="8"/>
      <c r="B2467" s="13"/>
      <c r="C2467" s="8"/>
      <c r="D2467" s="14"/>
      <c r="E2467" s="22"/>
      <c r="F2467" s="10"/>
      <c r="G2467" s="11"/>
      <c r="H2467" s="6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</row>
    <row r="2468" ht="19.5" customHeight="1">
      <c r="A2468" s="8"/>
      <c r="B2468" s="13"/>
      <c r="C2468" s="8"/>
      <c r="D2468" s="14"/>
      <c r="E2468" s="22"/>
      <c r="F2468" s="10"/>
      <c r="G2468" s="11"/>
      <c r="H2468" s="6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</row>
    <row r="2469" ht="19.5" customHeight="1">
      <c r="A2469" s="8"/>
      <c r="B2469" s="13"/>
      <c r="C2469" s="8"/>
      <c r="D2469" s="14"/>
      <c r="E2469" s="22"/>
      <c r="F2469" s="10"/>
      <c r="G2469" s="11"/>
      <c r="H2469" s="6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</row>
    <row r="2470" ht="19.5" customHeight="1">
      <c r="A2470" s="8"/>
      <c r="B2470" s="13"/>
      <c r="C2470" s="8"/>
      <c r="D2470" s="14"/>
      <c r="E2470" s="22"/>
      <c r="F2470" s="10"/>
      <c r="G2470" s="11"/>
      <c r="H2470" s="6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</row>
    <row r="2471" ht="19.5" customHeight="1">
      <c r="A2471" s="8"/>
      <c r="B2471" s="13"/>
      <c r="C2471" s="8"/>
      <c r="D2471" s="14"/>
      <c r="E2471" s="22"/>
      <c r="F2471" s="10"/>
      <c r="G2471" s="11"/>
      <c r="H2471" s="6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</row>
    <row r="2472" ht="19.5" customHeight="1">
      <c r="A2472" s="8"/>
      <c r="B2472" s="13"/>
      <c r="C2472" s="8"/>
      <c r="D2472" s="14"/>
      <c r="E2472" s="22"/>
      <c r="F2472" s="10"/>
      <c r="G2472" s="11"/>
      <c r="H2472" s="6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8"/>
      <c r="AB2472" s="8"/>
    </row>
    <row r="2473" ht="19.5" customHeight="1">
      <c r="A2473" s="8"/>
      <c r="B2473" s="13"/>
      <c r="C2473" s="8"/>
      <c r="D2473" s="14"/>
      <c r="E2473" s="22"/>
      <c r="F2473" s="10"/>
      <c r="G2473" s="11"/>
      <c r="H2473" s="6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</row>
    <row r="2474" ht="19.5" customHeight="1">
      <c r="A2474" s="8"/>
      <c r="B2474" s="13"/>
      <c r="C2474" s="8"/>
      <c r="D2474" s="14"/>
      <c r="E2474" s="22"/>
      <c r="F2474" s="10"/>
      <c r="G2474" s="11"/>
      <c r="H2474" s="6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</row>
    <row r="2475" ht="19.5" customHeight="1">
      <c r="A2475" s="8"/>
      <c r="B2475" s="13"/>
      <c r="C2475" s="8"/>
      <c r="D2475" s="14"/>
      <c r="E2475" s="22"/>
      <c r="F2475" s="10"/>
      <c r="G2475" s="11"/>
      <c r="H2475" s="6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</row>
    <row r="2476" ht="19.5" customHeight="1">
      <c r="A2476" s="8"/>
      <c r="B2476" s="13"/>
      <c r="C2476" s="8"/>
      <c r="D2476" s="14"/>
      <c r="E2476" s="22"/>
      <c r="F2476" s="10"/>
      <c r="G2476" s="11"/>
      <c r="H2476" s="6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</row>
    <row r="2477" ht="19.5" customHeight="1">
      <c r="A2477" s="8"/>
      <c r="B2477" s="13"/>
      <c r="C2477" s="8"/>
      <c r="D2477" s="14"/>
      <c r="E2477" s="22"/>
      <c r="F2477" s="10"/>
      <c r="G2477" s="11"/>
      <c r="H2477" s="6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</row>
    <row r="2478" ht="19.5" customHeight="1">
      <c r="A2478" s="8"/>
      <c r="B2478" s="13"/>
      <c r="C2478" s="8"/>
      <c r="D2478" s="14"/>
      <c r="E2478" s="22"/>
      <c r="F2478" s="10"/>
      <c r="G2478" s="11"/>
      <c r="H2478" s="6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</row>
    <row r="2479" ht="19.5" customHeight="1">
      <c r="A2479" s="8"/>
      <c r="B2479" s="13"/>
      <c r="C2479" s="8"/>
      <c r="D2479" s="14"/>
      <c r="E2479" s="22"/>
      <c r="F2479" s="10"/>
      <c r="G2479" s="11"/>
      <c r="H2479" s="6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</row>
    <row r="2480" ht="19.5" customHeight="1">
      <c r="A2480" s="8"/>
      <c r="B2480" s="13"/>
      <c r="C2480" s="8"/>
      <c r="D2480" s="14"/>
      <c r="E2480" s="22"/>
      <c r="F2480" s="10"/>
      <c r="G2480" s="11"/>
      <c r="H2480" s="6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</row>
    <row r="2481" ht="19.5" customHeight="1">
      <c r="A2481" s="8"/>
      <c r="B2481" s="13"/>
      <c r="C2481" s="8"/>
      <c r="D2481" s="14"/>
      <c r="E2481" s="22"/>
      <c r="F2481" s="10"/>
      <c r="G2481" s="11"/>
      <c r="H2481" s="6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</row>
    <row r="2482" ht="19.5" customHeight="1">
      <c r="A2482" s="8"/>
      <c r="B2482" s="13"/>
      <c r="C2482" s="8"/>
      <c r="D2482" s="14"/>
      <c r="E2482" s="22"/>
      <c r="F2482" s="10"/>
      <c r="G2482" s="11"/>
      <c r="H2482" s="6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</row>
    <row r="2483" ht="19.5" customHeight="1">
      <c r="A2483" s="8"/>
      <c r="B2483" s="13"/>
      <c r="C2483" s="8"/>
      <c r="D2483" s="14"/>
      <c r="E2483" s="22"/>
      <c r="F2483" s="10"/>
      <c r="G2483" s="11"/>
      <c r="H2483" s="6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</row>
    <row r="2484" ht="19.5" customHeight="1">
      <c r="A2484" s="8"/>
      <c r="B2484" s="13"/>
      <c r="C2484" s="8"/>
      <c r="D2484" s="14"/>
      <c r="E2484" s="22"/>
      <c r="F2484" s="10"/>
      <c r="G2484" s="11"/>
      <c r="H2484" s="6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</row>
    <row r="2485" ht="19.5" customHeight="1">
      <c r="A2485" s="8"/>
      <c r="B2485" s="13"/>
      <c r="C2485" s="8"/>
      <c r="D2485" s="14"/>
      <c r="E2485" s="22"/>
      <c r="F2485" s="10"/>
      <c r="G2485" s="11"/>
      <c r="H2485" s="6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</row>
    <row r="2486" ht="19.5" customHeight="1">
      <c r="A2486" s="8"/>
      <c r="B2486" s="13"/>
      <c r="C2486" s="8"/>
      <c r="D2486" s="14"/>
      <c r="E2486" s="22"/>
      <c r="F2486" s="10"/>
      <c r="G2486" s="11"/>
      <c r="H2486" s="6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</row>
    <row r="2487" ht="19.5" customHeight="1">
      <c r="A2487" s="8"/>
      <c r="B2487" s="13"/>
      <c r="C2487" s="8"/>
      <c r="D2487" s="14"/>
      <c r="E2487" s="22"/>
      <c r="F2487" s="10"/>
      <c r="G2487" s="11"/>
      <c r="H2487" s="6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</row>
    <row r="2488" ht="19.5" customHeight="1">
      <c r="A2488" s="8"/>
      <c r="B2488" s="13"/>
      <c r="C2488" s="8"/>
      <c r="D2488" s="14"/>
      <c r="E2488" s="22"/>
      <c r="F2488" s="10"/>
      <c r="G2488" s="11"/>
      <c r="H2488" s="6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</row>
    <row r="2489" ht="19.5" customHeight="1">
      <c r="A2489" s="8"/>
      <c r="B2489" s="13"/>
      <c r="C2489" s="8"/>
      <c r="D2489" s="14"/>
      <c r="E2489" s="22"/>
      <c r="F2489" s="10"/>
      <c r="G2489" s="11"/>
      <c r="H2489" s="6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8"/>
    </row>
    <row r="2490" ht="19.5" customHeight="1">
      <c r="A2490" s="8"/>
      <c r="B2490" s="13"/>
      <c r="C2490" s="8"/>
      <c r="D2490" s="14"/>
      <c r="E2490" s="22"/>
      <c r="F2490" s="10"/>
      <c r="G2490" s="11"/>
      <c r="H2490" s="6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</row>
    <row r="2491" ht="19.5" customHeight="1">
      <c r="A2491" s="8"/>
      <c r="B2491" s="13"/>
      <c r="C2491" s="8"/>
      <c r="D2491" s="14"/>
      <c r="E2491" s="22"/>
      <c r="F2491" s="10"/>
      <c r="G2491" s="11"/>
      <c r="H2491" s="6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</row>
    <row r="2492" ht="19.5" customHeight="1">
      <c r="A2492" s="8"/>
      <c r="B2492" s="13"/>
      <c r="C2492" s="8"/>
      <c r="D2492" s="14"/>
      <c r="E2492" s="22"/>
      <c r="F2492" s="10"/>
      <c r="G2492" s="11"/>
      <c r="H2492" s="6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</row>
    <row r="2493" ht="19.5" customHeight="1">
      <c r="A2493" s="8"/>
      <c r="B2493" s="13"/>
      <c r="C2493" s="8"/>
      <c r="D2493" s="14"/>
      <c r="E2493" s="22"/>
      <c r="F2493" s="10"/>
      <c r="G2493" s="11"/>
      <c r="H2493" s="6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</row>
    <row r="2494" ht="19.5" customHeight="1">
      <c r="A2494" s="8"/>
      <c r="B2494" s="13"/>
      <c r="C2494" s="8"/>
      <c r="D2494" s="14"/>
      <c r="E2494" s="22"/>
      <c r="F2494" s="10"/>
      <c r="G2494" s="11"/>
      <c r="H2494" s="6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</row>
    <row r="2495" ht="19.5" customHeight="1">
      <c r="A2495" s="8"/>
      <c r="B2495" s="13"/>
      <c r="C2495" s="8"/>
      <c r="D2495" s="14"/>
      <c r="E2495" s="22"/>
      <c r="F2495" s="10"/>
      <c r="G2495" s="11"/>
      <c r="H2495" s="6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</row>
    <row r="2496" ht="19.5" customHeight="1">
      <c r="A2496" s="8"/>
      <c r="B2496" s="13"/>
      <c r="C2496" s="8"/>
      <c r="D2496" s="14"/>
      <c r="E2496" s="22"/>
      <c r="F2496" s="10"/>
      <c r="G2496" s="11"/>
      <c r="H2496" s="6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</row>
    <row r="2497" ht="19.5" customHeight="1">
      <c r="A2497" s="8"/>
      <c r="B2497" s="13"/>
      <c r="C2497" s="8"/>
      <c r="D2497" s="14"/>
      <c r="E2497" s="22"/>
      <c r="F2497" s="10"/>
      <c r="G2497" s="11"/>
      <c r="H2497" s="6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</row>
    <row r="2498" ht="19.5" customHeight="1">
      <c r="A2498" s="8"/>
      <c r="B2498" s="13"/>
      <c r="C2498" s="8"/>
      <c r="D2498" s="14"/>
      <c r="E2498" s="22"/>
      <c r="F2498" s="10"/>
      <c r="G2498" s="11"/>
      <c r="H2498" s="6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</row>
    <row r="2499" ht="19.5" customHeight="1">
      <c r="A2499" s="8"/>
      <c r="B2499" s="13"/>
      <c r="C2499" s="8"/>
      <c r="D2499" s="14"/>
      <c r="E2499" s="22"/>
      <c r="F2499" s="10"/>
      <c r="G2499" s="11"/>
      <c r="H2499" s="6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</row>
    <row r="2500" ht="19.5" customHeight="1">
      <c r="A2500" s="8"/>
      <c r="B2500" s="13"/>
      <c r="C2500" s="8"/>
      <c r="D2500" s="14"/>
      <c r="E2500" s="22"/>
      <c r="F2500" s="10"/>
      <c r="G2500" s="11"/>
      <c r="H2500" s="6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</row>
    <row r="2501" ht="19.5" customHeight="1">
      <c r="A2501" s="8"/>
      <c r="B2501" s="13"/>
      <c r="C2501" s="8"/>
      <c r="D2501" s="14"/>
      <c r="E2501" s="22"/>
      <c r="F2501" s="10"/>
      <c r="G2501" s="11"/>
      <c r="H2501" s="6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</row>
    <row r="2502" ht="19.5" customHeight="1">
      <c r="A2502" s="8"/>
      <c r="B2502" s="13"/>
      <c r="C2502" s="8"/>
      <c r="D2502" s="14"/>
      <c r="E2502" s="22"/>
      <c r="F2502" s="10"/>
      <c r="G2502" s="11"/>
      <c r="H2502" s="6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</row>
    <row r="2503" ht="19.5" customHeight="1">
      <c r="A2503" s="8"/>
      <c r="B2503" s="13"/>
      <c r="C2503" s="8"/>
      <c r="D2503" s="14"/>
      <c r="E2503" s="22"/>
      <c r="F2503" s="10"/>
      <c r="G2503" s="11"/>
      <c r="H2503" s="6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</row>
    <row r="2504" ht="19.5" customHeight="1">
      <c r="A2504" s="8"/>
      <c r="B2504" s="13"/>
      <c r="C2504" s="8"/>
      <c r="D2504" s="14"/>
      <c r="E2504" s="22"/>
      <c r="F2504" s="10"/>
      <c r="G2504" s="11"/>
      <c r="H2504" s="6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</row>
    <row r="2505" ht="19.5" customHeight="1">
      <c r="A2505" s="8"/>
      <c r="B2505" s="13"/>
      <c r="C2505" s="8"/>
      <c r="D2505" s="14"/>
      <c r="E2505" s="22"/>
      <c r="F2505" s="10"/>
      <c r="G2505" s="11"/>
      <c r="H2505" s="6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8"/>
    </row>
    <row r="2506" ht="19.5" customHeight="1">
      <c r="A2506" s="8"/>
      <c r="B2506" s="13"/>
      <c r="C2506" s="8"/>
      <c r="D2506" s="14"/>
      <c r="E2506" s="22"/>
      <c r="F2506" s="10"/>
      <c r="G2506" s="11"/>
      <c r="H2506" s="6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</row>
    <row r="2507" ht="19.5" customHeight="1">
      <c r="A2507" s="8"/>
      <c r="B2507" s="13"/>
      <c r="C2507" s="8"/>
      <c r="D2507" s="14"/>
      <c r="E2507" s="22"/>
      <c r="F2507" s="10"/>
      <c r="G2507" s="11"/>
      <c r="H2507" s="6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</row>
    <row r="2508" ht="19.5" customHeight="1">
      <c r="A2508" s="8"/>
      <c r="B2508" s="13"/>
      <c r="C2508" s="8"/>
      <c r="D2508" s="14"/>
      <c r="E2508" s="22"/>
      <c r="F2508" s="10"/>
      <c r="G2508" s="11"/>
      <c r="H2508" s="6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  <c r="AB2508" s="8"/>
    </row>
    <row r="2509" ht="19.5" customHeight="1">
      <c r="A2509" s="8"/>
      <c r="B2509" s="13"/>
      <c r="C2509" s="8"/>
      <c r="D2509" s="14"/>
      <c r="E2509" s="22"/>
      <c r="F2509" s="10"/>
      <c r="G2509" s="11"/>
      <c r="H2509" s="6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</row>
    <row r="2510" ht="19.5" customHeight="1">
      <c r="A2510" s="8"/>
      <c r="B2510" s="13"/>
      <c r="C2510" s="8"/>
      <c r="D2510" s="14"/>
      <c r="E2510" s="22"/>
      <c r="F2510" s="10"/>
      <c r="G2510" s="11"/>
      <c r="H2510" s="6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</row>
    <row r="2511" ht="19.5" customHeight="1">
      <c r="A2511" s="8"/>
      <c r="B2511" s="13"/>
      <c r="C2511" s="8"/>
      <c r="D2511" s="14"/>
      <c r="E2511" s="22"/>
      <c r="F2511" s="10"/>
      <c r="G2511" s="11"/>
      <c r="H2511" s="6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</row>
    <row r="2512" ht="19.5" customHeight="1">
      <c r="A2512" s="8"/>
      <c r="B2512" s="13"/>
      <c r="C2512" s="8"/>
      <c r="D2512" s="14"/>
      <c r="E2512" s="22"/>
      <c r="F2512" s="10"/>
      <c r="G2512" s="11"/>
      <c r="H2512" s="6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</row>
    <row r="2513" ht="19.5" customHeight="1">
      <c r="A2513" s="8"/>
      <c r="B2513" s="13"/>
      <c r="C2513" s="8"/>
      <c r="D2513" s="14"/>
      <c r="E2513" s="22"/>
      <c r="F2513" s="10"/>
      <c r="G2513" s="11"/>
      <c r="H2513" s="6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</row>
    <row r="2514" ht="19.5" customHeight="1">
      <c r="A2514" s="8"/>
      <c r="B2514" s="13"/>
      <c r="C2514" s="8"/>
      <c r="D2514" s="14"/>
      <c r="E2514" s="22"/>
      <c r="F2514" s="10"/>
      <c r="G2514" s="11"/>
      <c r="H2514" s="6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</row>
    <row r="2515" ht="19.5" customHeight="1">
      <c r="A2515" s="8"/>
      <c r="B2515" s="13"/>
      <c r="C2515" s="8"/>
      <c r="D2515" s="14"/>
      <c r="E2515" s="22"/>
      <c r="F2515" s="10"/>
      <c r="G2515" s="11"/>
      <c r="H2515" s="6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</row>
    <row r="2516" ht="19.5" customHeight="1">
      <c r="A2516" s="8"/>
      <c r="B2516" s="13"/>
      <c r="C2516" s="8"/>
      <c r="D2516" s="14"/>
      <c r="E2516" s="22"/>
      <c r="F2516" s="10"/>
      <c r="G2516" s="11"/>
      <c r="H2516" s="6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</row>
    <row r="2517" ht="19.5" customHeight="1">
      <c r="A2517" s="8"/>
      <c r="B2517" s="13"/>
      <c r="C2517" s="8"/>
      <c r="D2517" s="14"/>
      <c r="E2517" s="22"/>
      <c r="F2517" s="10"/>
      <c r="G2517" s="11"/>
      <c r="H2517" s="6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</row>
    <row r="2518" ht="19.5" customHeight="1">
      <c r="A2518" s="8"/>
      <c r="B2518" s="13"/>
      <c r="C2518" s="8"/>
      <c r="D2518" s="14"/>
      <c r="E2518" s="22"/>
      <c r="F2518" s="10"/>
      <c r="G2518" s="11"/>
      <c r="H2518" s="6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</row>
    <row r="2519" ht="19.5" customHeight="1">
      <c r="A2519" s="8"/>
      <c r="B2519" s="13"/>
      <c r="C2519" s="8"/>
      <c r="D2519" s="14"/>
      <c r="E2519" s="22"/>
      <c r="F2519" s="10"/>
      <c r="G2519" s="11"/>
      <c r="H2519" s="6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</row>
    <row r="2520" ht="19.5" customHeight="1">
      <c r="A2520" s="8"/>
      <c r="B2520" s="13"/>
      <c r="C2520" s="8"/>
      <c r="D2520" s="14"/>
      <c r="E2520" s="22"/>
      <c r="F2520" s="10"/>
      <c r="G2520" s="11"/>
      <c r="H2520" s="6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</row>
    <row r="2521" ht="19.5" customHeight="1">
      <c r="A2521" s="8"/>
      <c r="B2521" s="13"/>
      <c r="C2521" s="8"/>
      <c r="D2521" s="14"/>
      <c r="E2521" s="22"/>
      <c r="F2521" s="10"/>
      <c r="G2521" s="11"/>
      <c r="H2521" s="6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</row>
    <row r="2522" ht="19.5" customHeight="1">
      <c r="A2522" s="8"/>
      <c r="B2522" s="13"/>
      <c r="C2522" s="8"/>
      <c r="D2522" s="14"/>
      <c r="E2522" s="22"/>
      <c r="F2522" s="10"/>
      <c r="G2522" s="11"/>
      <c r="H2522" s="6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</row>
    <row r="2523" ht="19.5" customHeight="1">
      <c r="A2523" s="8"/>
      <c r="B2523" s="13"/>
      <c r="C2523" s="8"/>
      <c r="D2523" s="14"/>
      <c r="E2523" s="22"/>
      <c r="F2523" s="10"/>
      <c r="G2523" s="11"/>
      <c r="H2523" s="6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</row>
    <row r="2524" ht="19.5" customHeight="1">
      <c r="A2524" s="8"/>
      <c r="B2524" s="13"/>
      <c r="C2524" s="8"/>
      <c r="D2524" s="14"/>
      <c r="E2524" s="22"/>
      <c r="F2524" s="10"/>
      <c r="G2524" s="11"/>
      <c r="H2524" s="6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</row>
    <row r="2525" ht="19.5" customHeight="1">
      <c r="A2525" s="8"/>
      <c r="B2525" s="13"/>
      <c r="C2525" s="8"/>
      <c r="D2525" s="14"/>
      <c r="E2525" s="22"/>
      <c r="F2525" s="10"/>
      <c r="G2525" s="11"/>
      <c r="H2525" s="6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</row>
    <row r="2526" ht="19.5" customHeight="1">
      <c r="A2526" s="8"/>
      <c r="B2526" s="13"/>
      <c r="C2526" s="8"/>
      <c r="D2526" s="14"/>
      <c r="E2526" s="22"/>
      <c r="F2526" s="10"/>
      <c r="G2526" s="11"/>
      <c r="H2526" s="6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</row>
    <row r="2527" ht="19.5" customHeight="1">
      <c r="A2527" s="8"/>
      <c r="B2527" s="13"/>
      <c r="C2527" s="8"/>
      <c r="D2527" s="14"/>
      <c r="E2527" s="22"/>
      <c r="F2527" s="10"/>
      <c r="G2527" s="11"/>
      <c r="H2527" s="6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</row>
    <row r="2528" ht="19.5" customHeight="1">
      <c r="A2528" s="8"/>
      <c r="B2528" s="13"/>
      <c r="C2528" s="8"/>
      <c r="D2528" s="14"/>
      <c r="E2528" s="22"/>
      <c r="F2528" s="10"/>
      <c r="G2528" s="11"/>
      <c r="H2528" s="6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</row>
    <row r="2529" ht="19.5" customHeight="1">
      <c r="A2529" s="8"/>
      <c r="B2529" s="13"/>
      <c r="C2529" s="8"/>
      <c r="D2529" s="14"/>
      <c r="E2529" s="22"/>
      <c r="F2529" s="10"/>
      <c r="G2529" s="11"/>
      <c r="H2529" s="6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</row>
    <row r="2530" ht="19.5" customHeight="1">
      <c r="A2530" s="8"/>
      <c r="B2530" s="13"/>
      <c r="C2530" s="8"/>
      <c r="D2530" s="14"/>
      <c r="E2530" s="22"/>
      <c r="F2530" s="10"/>
      <c r="G2530" s="11"/>
      <c r="H2530" s="6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</row>
    <row r="2531" ht="19.5" customHeight="1">
      <c r="A2531" s="8"/>
      <c r="B2531" s="13"/>
      <c r="C2531" s="8"/>
      <c r="D2531" s="14"/>
      <c r="E2531" s="22"/>
      <c r="F2531" s="10"/>
      <c r="G2531" s="11"/>
      <c r="H2531" s="6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</row>
    <row r="2532" ht="19.5" customHeight="1">
      <c r="A2532" s="8"/>
      <c r="B2532" s="13"/>
      <c r="C2532" s="8"/>
      <c r="D2532" s="14"/>
      <c r="E2532" s="22"/>
      <c r="F2532" s="10"/>
      <c r="G2532" s="11"/>
      <c r="H2532" s="6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</row>
    <row r="2533" ht="19.5" customHeight="1">
      <c r="A2533" s="8"/>
      <c r="B2533" s="13"/>
      <c r="C2533" s="8"/>
      <c r="D2533" s="14"/>
      <c r="E2533" s="22"/>
      <c r="F2533" s="10"/>
      <c r="G2533" s="11"/>
      <c r="H2533" s="6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</row>
    <row r="2534" ht="19.5" customHeight="1">
      <c r="A2534" s="8"/>
      <c r="B2534" s="13"/>
      <c r="C2534" s="8"/>
      <c r="D2534" s="14"/>
      <c r="E2534" s="22"/>
      <c r="F2534" s="10"/>
      <c r="G2534" s="11"/>
      <c r="H2534" s="6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</row>
    <row r="2535" ht="19.5" customHeight="1">
      <c r="A2535" s="8"/>
      <c r="B2535" s="13"/>
      <c r="C2535" s="8"/>
      <c r="D2535" s="14"/>
      <c r="E2535" s="22"/>
      <c r="F2535" s="10"/>
      <c r="G2535" s="11"/>
      <c r="H2535" s="6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</row>
    <row r="2536" ht="19.5" customHeight="1">
      <c r="A2536" s="8"/>
      <c r="B2536" s="13"/>
      <c r="C2536" s="8"/>
      <c r="D2536" s="14"/>
      <c r="E2536" s="22"/>
      <c r="F2536" s="10"/>
      <c r="G2536" s="11"/>
      <c r="H2536" s="6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</row>
    <row r="2537" ht="19.5" customHeight="1">
      <c r="A2537" s="8"/>
      <c r="B2537" s="13"/>
      <c r="C2537" s="8"/>
      <c r="D2537" s="14"/>
      <c r="E2537" s="22"/>
      <c r="F2537" s="10"/>
      <c r="G2537" s="11"/>
      <c r="H2537" s="6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</row>
    <row r="2538" ht="19.5" customHeight="1">
      <c r="A2538" s="8"/>
      <c r="B2538" s="13"/>
      <c r="C2538" s="8"/>
      <c r="D2538" s="14"/>
      <c r="E2538" s="22"/>
      <c r="F2538" s="10"/>
      <c r="G2538" s="11"/>
      <c r="H2538" s="6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</row>
    <row r="2539" ht="19.5" customHeight="1">
      <c r="A2539" s="8"/>
      <c r="B2539" s="13"/>
      <c r="C2539" s="8"/>
      <c r="D2539" s="14"/>
      <c r="E2539" s="22"/>
      <c r="F2539" s="10"/>
      <c r="G2539" s="11"/>
      <c r="H2539" s="6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</row>
    <row r="2540" ht="19.5" customHeight="1">
      <c r="A2540" s="8"/>
      <c r="B2540" s="13"/>
      <c r="C2540" s="8"/>
      <c r="D2540" s="14"/>
      <c r="E2540" s="22"/>
      <c r="F2540" s="10"/>
      <c r="G2540" s="11"/>
      <c r="H2540" s="6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</row>
    <row r="2541" ht="19.5" customHeight="1">
      <c r="A2541" s="8"/>
      <c r="B2541" s="13"/>
      <c r="C2541" s="8"/>
      <c r="D2541" s="14"/>
      <c r="E2541" s="22"/>
      <c r="F2541" s="10"/>
      <c r="G2541" s="11"/>
      <c r="H2541" s="6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</row>
    <row r="2542" ht="19.5" customHeight="1">
      <c r="A2542" s="8"/>
      <c r="B2542" s="13"/>
      <c r="C2542" s="8"/>
      <c r="D2542" s="14"/>
      <c r="E2542" s="22"/>
      <c r="F2542" s="10"/>
      <c r="G2542" s="11"/>
      <c r="H2542" s="6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</row>
    <row r="2543" ht="19.5" customHeight="1">
      <c r="A2543" s="8"/>
      <c r="B2543" s="13"/>
      <c r="C2543" s="8"/>
      <c r="D2543" s="14"/>
      <c r="E2543" s="22"/>
      <c r="F2543" s="10"/>
      <c r="G2543" s="11"/>
      <c r="H2543" s="6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</row>
    <row r="2544" ht="19.5" customHeight="1">
      <c r="A2544" s="8"/>
      <c r="B2544" s="13"/>
      <c r="C2544" s="8"/>
      <c r="D2544" s="14"/>
      <c r="E2544" s="22"/>
      <c r="F2544" s="10"/>
      <c r="G2544" s="11"/>
      <c r="H2544" s="6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</row>
    <row r="2545" ht="19.5" customHeight="1">
      <c r="A2545" s="8"/>
      <c r="B2545" s="13"/>
      <c r="C2545" s="8"/>
      <c r="D2545" s="14"/>
      <c r="E2545" s="22"/>
      <c r="F2545" s="10"/>
      <c r="G2545" s="11"/>
      <c r="H2545" s="6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</row>
    <row r="2546" ht="19.5" customHeight="1">
      <c r="A2546" s="8"/>
      <c r="B2546" s="13"/>
      <c r="C2546" s="8"/>
      <c r="D2546" s="14"/>
      <c r="E2546" s="22"/>
      <c r="F2546" s="10"/>
      <c r="G2546" s="11"/>
      <c r="H2546" s="6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</row>
    <row r="2547" ht="19.5" customHeight="1">
      <c r="A2547" s="8"/>
      <c r="B2547" s="13"/>
      <c r="C2547" s="8"/>
      <c r="D2547" s="14"/>
      <c r="E2547" s="22"/>
      <c r="F2547" s="10"/>
      <c r="G2547" s="11"/>
      <c r="H2547" s="6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</row>
    <row r="2548" ht="19.5" customHeight="1">
      <c r="A2548" s="8"/>
      <c r="B2548" s="13"/>
      <c r="C2548" s="8"/>
      <c r="D2548" s="14"/>
      <c r="E2548" s="22"/>
      <c r="F2548" s="10"/>
      <c r="G2548" s="11"/>
      <c r="H2548" s="6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</row>
    <row r="2549" ht="19.5" customHeight="1">
      <c r="A2549" s="8"/>
      <c r="B2549" s="13"/>
      <c r="C2549" s="8"/>
      <c r="D2549" s="14"/>
      <c r="E2549" s="22"/>
      <c r="F2549" s="10"/>
      <c r="G2549" s="11"/>
      <c r="H2549" s="6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</row>
    <row r="2550" ht="19.5" customHeight="1">
      <c r="A2550" s="8"/>
      <c r="B2550" s="13"/>
      <c r="C2550" s="8"/>
      <c r="D2550" s="14"/>
      <c r="E2550" s="22"/>
      <c r="F2550" s="10"/>
      <c r="G2550" s="11"/>
      <c r="H2550" s="6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</row>
    <row r="2551" ht="19.5" customHeight="1">
      <c r="A2551" s="8"/>
      <c r="B2551" s="13"/>
      <c r="C2551" s="8"/>
      <c r="D2551" s="14"/>
      <c r="E2551" s="22"/>
      <c r="F2551" s="10"/>
      <c r="G2551" s="11"/>
      <c r="H2551" s="6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</row>
    <row r="2552" ht="19.5" customHeight="1">
      <c r="A2552" s="8"/>
      <c r="B2552" s="13"/>
      <c r="C2552" s="8"/>
      <c r="D2552" s="14"/>
      <c r="E2552" s="22"/>
      <c r="F2552" s="10"/>
      <c r="G2552" s="11"/>
      <c r="H2552" s="6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</row>
    <row r="2553" ht="19.5" customHeight="1">
      <c r="A2553" s="8"/>
      <c r="B2553" s="13"/>
      <c r="C2553" s="8"/>
      <c r="D2553" s="14"/>
      <c r="E2553" s="22"/>
      <c r="F2553" s="10"/>
      <c r="G2553" s="11"/>
      <c r="H2553" s="6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</row>
    <row r="2554" ht="19.5" customHeight="1">
      <c r="A2554" s="8"/>
      <c r="B2554" s="13"/>
      <c r="C2554" s="8"/>
      <c r="D2554" s="14"/>
      <c r="E2554" s="22"/>
      <c r="F2554" s="10"/>
      <c r="G2554" s="11"/>
      <c r="H2554" s="6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</row>
    <row r="2555" ht="19.5" customHeight="1">
      <c r="A2555" s="8"/>
      <c r="B2555" s="13"/>
      <c r="C2555" s="8"/>
      <c r="D2555" s="14"/>
      <c r="E2555" s="22"/>
      <c r="F2555" s="10"/>
      <c r="G2555" s="11"/>
      <c r="H2555" s="6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</row>
    <row r="2556" ht="19.5" customHeight="1">
      <c r="A2556" s="8"/>
      <c r="B2556" s="13"/>
      <c r="C2556" s="8"/>
      <c r="D2556" s="14"/>
      <c r="E2556" s="22"/>
      <c r="F2556" s="10"/>
      <c r="G2556" s="11"/>
      <c r="H2556" s="6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</row>
    <row r="2557" ht="19.5" customHeight="1">
      <c r="A2557" s="8"/>
      <c r="B2557" s="13"/>
      <c r="C2557" s="8"/>
      <c r="D2557" s="14"/>
      <c r="E2557" s="22"/>
      <c r="F2557" s="10"/>
      <c r="G2557" s="11"/>
      <c r="H2557" s="6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</row>
    <row r="2558" ht="19.5" customHeight="1">
      <c r="A2558" s="8"/>
      <c r="B2558" s="13"/>
      <c r="C2558" s="8"/>
      <c r="D2558" s="14"/>
      <c r="E2558" s="22"/>
      <c r="F2558" s="10"/>
      <c r="G2558" s="11"/>
      <c r="H2558" s="6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</row>
    <row r="2559" ht="19.5" customHeight="1">
      <c r="A2559" s="8"/>
      <c r="B2559" s="13"/>
      <c r="C2559" s="8"/>
      <c r="D2559" s="14"/>
      <c r="E2559" s="22"/>
      <c r="F2559" s="10"/>
      <c r="G2559" s="11"/>
      <c r="H2559" s="6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</row>
    <row r="2560" ht="19.5" customHeight="1">
      <c r="A2560" s="8"/>
      <c r="B2560" s="13"/>
      <c r="C2560" s="8"/>
      <c r="D2560" s="14"/>
      <c r="E2560" s="22"/>
      <c r="F2560" s="10"/>
      <c r="G2560" s="11"/>
      <c r="H2560" s="6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</row>
    <row r="2561" ht="19.5" customHeight="1">
      <c r="A2561" s="8"/>
      <c r="B2561" s="13"/>
      <c r="C2561" s="8"/>
      <c r="D2561" s="14"/>
      <c r="E2561" s="22"/>
      <c r="F2561" s="10"/>
      <c r="G2561" s="11"/>
      <c r="H2561" s="6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</row>
    <row r="2562" ht="19.5" customHeight="1">
      <c r="A2562" s="8"/>
      <c r="B2562" s="13"/>
      <c r="C2562" s="8"/>
      <c r="D2562" s="14"/>
      <c r="E2562" s="22"/>
      <c r="F2562" s="10"/>
      <c r="G2562" s="11"/>
      <c r="H2562" s="6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</row>
    <row r="2563" ht="19.5" customHeight="1">
      <c r="A2563" s="8"/>
      <c r="B2563" s="13"/>
      <c r="C2563" s="8"/>
      <c r="D2563" s="14"/>
      <c r="E2563" s="22"/>
      <c r="F2563" s="10"/>
      <c r="G2563" s="11"/>
      <c r="H2563" s="6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</row>
    <row r="2564" ht="19.5" customHeight="1">
      <c r="A2564" s="8"/>
      <c r="B2564" s="13"/>
      <c r="C2564" s="8"/>
      <c r="D2564" s="14"/>
      <c r="E2564" s="22"/>
      <c r="F2564" s="10"/>
      <c r="G2564" s="11"/>
      <c r="H2564" s="6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</row>
    <row r="2565" ht="19.5" customHeight="1">
      <c r="A2565" s="8"/>
      <c r="B2565" s="13"/>
      <c r="C2565" s="8"/>
      <c r="D2565" s="14"/>
      <c r="E2565" s="22"/>
      <c r="F2565" s="10"/>
      <c r="G2565" s="11"/>
      <c r="H2565" s="6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</row>
    <row r="2566" ht="19.5" customHeight="1">
      <c r="A2566" s="8"/>
      <c r="B2566" s="13"/>
      <c r="C2566" s="8"/>
      <c r="D2566" s="14"/>
      <c r="E2566" s="22"/>
      <c r="F2566" s="10"/>
      <c r="G2566" s="11"/>
      <c r="H2566" s="6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</row>
    <row r="2567" ht="19.5" customHeight="1">
      <c r="A2567" s="8"/>
      <c r="B2567" s="13"/>
      <c r="C2567" s="8"/>
      <c r="D2567" s="14"/>
      <c r="E2567" s="22"/>
      <c r="F2567" s="10"/>
      <c r="G2567" s="11"/>
      <c r="H2567" s="6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</row>
    <row r="2568" ht="19.5" customHeight="1">
      <c r="A2568" s="8"/>
      <c r="B2568" s="13"/>
      <c r="C2568" s="8"/>
      <c r="D2568" s="14"/>
      <c r="E2568" s="22"/>
      <c r="F2568" s="10"/>
      <c r="G2568" s="11"/>
      <c r="H2568" s="6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</row>
    <row r="2569" ht="19.5" customHeight="1">
      <c r="A2569" s="8"/>
      <c r="B2569" s="13"/>
      <c r="C2569" s="8"/>
      <c r="D2569" s="14"/>
      <c r="E2569" s="22"/>
      <c r="F2569" s="10"/>
      <c r="G2569" s="11"/>
      <c r="H2569" s="6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</row>
    <row r="2570" ht="19.5" customHeight="1">
      <c r="A2570" s="8"/>
      <c r="B2570" s="13"/>
      <c r="C2570" s="8"/>
      <c r="D2570" s="14"/>
      <c r="E2570" s="22"/>
      <c r="F2570" s="10"/>
      <c r="G2570" s="11"/>
      <c r="H2570" s="6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</row>
    <row r="2571" ht="19.5" customHeight="1">
      <c r="A2571" s="8"/>
      <c r="B2571" s="13"/>
      <c r="C2571" s="8"/>
      <c r="D2571" s="14"/>
      <c r="E2571" s="22"/>
      <c r="F2571" s="10"/>
      <c r="G2571" s="11"/>
      <c r="H2571" s="6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</row>
    <row r="2572" ht="19.5" customHeight="1">
      <c r="A2572" s="8"/>
      <c r="B2572" s="13"/>
      <c r="C2572" s="8"/>
      <c r="D2572" s="14"/>
      <c r="E2572" s="22"/>
      <c r="F2572" s="10"/>
      <c r="G2572" s="11"/>
      <c r="H2572" s="6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</row>
    <row r="2573" ht="19.5" customHeight="1">
      <c r="A2573" s="8"/>
      <c r="B2573" s="13"/>
      <c r="C2573" s="8"/>
      <c r="D2573" s="14"/>
      <c r="E2573" s="22"/>
      <c r="F2573" s="10"/>
      <c r="G2573" s="11"/>
      <c r="H2573" s="6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</row>
    <row r="2574" ht="19.5" customHeight="1">
      <c r="A2574" s="8"/>
      <c r="B2574" s="13"/>
      <c r="C2574" s="8"/>
      <c r="D2574" s="14"/>
      <c r="E2574" s="22"/>
      <c r="F2574" s="10"/>
      <c r="G2574" s="11"/>
      <c r="H2574" s="6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</row>
    <row r="2575" ht="19.5" customHeight="1">
      <c r="A2575" s="8"/>
      <c r="B2575" s="13"/>
      <c r="C2575" s="8"/>
      <c r="D2575" s="14"/>
      <c r="E2575" s="22"/>
      <c r="F2575" s="10"/>
      <c r="G2575" s="11"/>
      <c r="H2575" s="6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</row>
    <row r="2576" ht="19.5" customHeight="1">
      <c r="A2576" s="8"/>
      <c r="B2576" s="13"/>
      <c r="C2576" s="8"/>
      <c r="D2576" s="14"/>
      <c r="E2576" s="22"/>
      <c r="F2576" s="10"/>
      <c r="G2576" s="11"/>
      <c r="H2576" s="6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</row>
    <row r="2577" ht="19.5" customHeight="1">
      <c r="A2577" s="8"/>
      <c r="B2577" s="13"/>
      <c r="C2577" s="8"/>
      <c r="D2577" s="14"/>
      <c r="E2577" s="22"/>
      <c r="F2577" s="10"/>
      <c r="G2577" s="11"/>
      <c r="H2577" s="6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</row>
    <row r="2578" ht="19.5" customHeight="1">
      <c r="A2578" s="8"/>
      <c r="B2578" s="13"/>
      <c r="C2578" s="8"/>
      <c r="D2578" s="14"/>
      <c r="E2578" s="22"/>
      <c r="F2578" s="10"/>
      <c r="G2578" s="11"/>
      <c r="H2578" s="6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</row>
    <row r="2579" ht="19.5" customHeight="1">
      <c r="A2579" s="8"/>
      <c r="B2579" s="13"/>
      <c r="C2579" s="8"/>
      <c r="D2579" s="14"/>
      <c r="E2579" s="22"/>
      <c r="F2579" s="10"/>
      <c r="G2579" s="11"/>
      <c r="H2579" s="6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</row>
    <row r="2580" ht="19.5" customHeight="1">
      <c r="A2580" s="8"/>
      <c r="B2580" s="13"/>
      <c r="C2580" s="8"/>
      <c r="D2580" s="14"/>
      <c r="E2580" s="22"/>
      <c r="F2580" s="10"/>
      <c r="G2580" s="11"/>
      <c r="H2580" s="6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</row>
    <row r="2581" ht="19.5" customHeight="1">
      <c r="A2581" s="8"/>
      <c r="B2581" s="13"/>
      <c r="C2581" s="8"/>
      <c r="D2581" s="14"/>
      <c r="E2581" s="22"/>
      <c r="F2581" s="10"/>
      <c r="G2581" s="11"/>
      <c r="H2581" s="6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</row>
    <row r="2582" ht="19.5" customHeight="1">
      <c r="A2582" s="8"/>
      <c r="B2582" s="13"/>
      <c r="C2582" s="8"/>
      <c r="D2582" s="14"/>
      <c r="E2582" s="22"/>
      <c r="F2582" s="10"/>
      <c r="G2582" s="11"/>
      <c r="H2582" s="6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</row>
    <row r="2583" ht="19.5" customHeight="1">
      <c r="A2583" s="8"/>
      <c r="B2583" s="13"/>
      <c r="C2583" s="8"/>
      <c r="D2583" s="14"/>
      <c r="E2583" s="22"/>
      <c r="F2583" s="10"/>
      <c r="G2583" s="11"/>
      <c r="H2583" s="6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</row>
    <row r="2584" ht="19.5" customHeight="1">
      <c r="A2584" s="8"/>
      <c r="B2584" s="13"/>
      <c r="C2584" s="8"/>
      <c r="D2584" s="14"/>
      <c r="E2584" s="22"/>
      <c r="F2584" s="10"/>
      <c r="G2584" s="11"/>
      <c r="H2584" s="6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</row>
    <row r="2585" ht="19.5" customHeight="1">
      <c r="A2585" s="8"/>
      <c r="B2585" s="13"/>
      <c r="C2585" s="8"/>
      <c r="D2585" s="14"/>
      <c r="E2585" s="22"/>
      <c r="F2585" s="10"/>
      <c r="G2585" s="11"/>
      <c r="H2585" s="6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</row>
    <row r="2586" ht="19.5" customHeight="1">
      <c r="A2586" s="8"/>
      <c r="B2586" s="13"/>
      <c r="C2586" s="8"/>
      <c r="D2586" s="14"/>
      <c r="E2586" s="22"/>
      <c r="F2586" s="10"/>
      <c r="G2586" s="11"/>
      <c r="H2586" s="6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</row>
    <row r="2587" ht="19.5" customHeight="1">
      <c r="A2587" s="8"/>
      <c r="B2587" s="13"/>
      <c r="C2587" s="8"/>
      <c r="D2587" s="14"/>
      <c r="E2587" s="22"/>
      <c r="F2587" s="10"/>
      <c r="G2587" s="11"/>
      <c r="H2587" s="6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</row>
    <row r="2588" ht="19.5" customHeight="1">
      <c r="A2588" s="8"/>
      <c r="B2588" s="13"/>
      <c r="C2588" s="8"/>
      <c r="D2588" s="14"/>
      <c r="E2588" s="22"/>
      <c r="F2588" s="10"/>
      <c r="G2588" s="11"/>
      <c r="H2588" s="6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</row>
    <row r="2589" ht="19.5" customHeight="1">
      <c r="A2589" s="8"/>
      <c r="B2589" s="13"/>
      <c r="C2589" s="8"/>
      <c r="D2589" s="14"/>
      <c r="E2589" s="22"/>
      <c r="F2589" s="10"/>
      <c r="G2589" s="11"/>
      <c r="H2589" s="6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</row>
    <row r="2590" ht="19.5" customHeight="1">
      <c r="A2590" s="8"/>
      <c r="B2590" s="13"/>
      <c r="C2590" s="8"/>
      <c r="D2590" s="14"/>
      <c r="E2590" s="22"/>
      <c r="F2590" s="10"/>
      <c r="G2590" s="11"/>
      <c r="H2590" s="6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</row>
    <row r="2591" ht="19.5" customHeight="1">
      <c r="A2591" s="8"/>
      <c r="B2591" s="13"/>
      <c r="C2591" s="8"/>
      <c r="D2591" s="14"/>
      <c r="E2591" s="22"/>
      <c r="F2591" s="10"/>
      <c r="G2591" s="11"/>
      <c r="H2591" s="6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</row>
    <row r="2592" ht="19.5" customHeight="1">
      <c r="A2592" s="8"/>
      <c r="B2592" s="13"/>
      <c r="C2592" s="8"/>
      <c r="D2592" s="14"/>
      <c r="E2592" s="22"/>
      <c r="F2592" s="10"/>
      <c r="G2592" s="11"/>
      <c r="H2592" s="6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</row>
    <row r="2593" ht="19.5" customHeight="1">
      <c r="A2593" s="8"/>
      <c r="B2593" s="13"/>
      <c r="C2593" s="8"/>
      <c r="D2593" s="14"/>
      <c r="E2593" s="22"/>
      <c r="F2593" s="10"/>
      <c r="G2593" s="11"/>
      <c r="H2593" s="6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</row>
    <row r="2594" ht="19.5" customHeight="1">
      <c r="A2594" s="8"/>
      <c r="B2594" s="13"/>
      <c r="C2594" s="8"/>
      <c r="D2594" s="14"/>
      <c r="E2594" s="22"/>
      <c r="F2594" s="10"/>
      <c r="G2594" s="11"/>
      <c r="H2594" s="6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</row>
    <row r="2595" ht="19.5" customHeight="1">
      <c r="A2595" s="8"/>
      <c r="B2595" s="13"/>
      <c r="C2595" s="8"/>
      <c r="D2595" s="14"/>
      <c r="E2595" s="22"/>
      <c r="F2595" s="10"/>
      <c r="G2595" s="11"/>
      <c r="H2595" s="6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</row>
    <row r="2596" ht="19.5" customHeight="1">
      <c r="A2596" s="8"/>
      <c r="B2596" s="13"/>
      <c r="C2596" s="8"/>
      <c r="D2596" s="14"/>
      <c r="E2596" s="22"/>
      <c r="F2596" s="10"/>
      <c r="G2596" s="11"/>
      <c r="H2596" s="6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</row>
    <row r="2597" ht="19.5" customHeight="1">
      <c r="A2597" s="8"/>
      <c r="B2597" s="13"/>
      <c r="C2597" s="8"/>
      <c r="D2597" s="14"/>
      <c r="E2597" s="22"/>
      <c r="F2597" s="10"/>
      <c r="G2597" s="11"/>
      <c r="H2597" s="6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</row>
    <row r="2598" ht="19.5" customHeight="1">
      <c r="A2598" s="8"/>
      <c r="B2598" s="13"/>
      <c r="C2598" s="8"/>
      <c r="D2598" s="14"/>
      <c r="E2598" s="22"/>
      <c r="F2598" s="10"/>
      <c r="G2598" s="11"/>
      <c r="H2598" s="6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</row>
    <row r="2599" ht="19.5" customHeight="1">
      <c r="A2599" s="8"/>
      <c r="B2599" s="13"/>
      <c r="C2599" s="8"/>
      <c r="D2599" s="14"/>
      <c r="E2599" s="22"/>
      <c r="F2599" s="10"/>
      <c r="G2599" s="11"/>
      <c r="H2599" s="6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</row>
    <row r="2600" ht="19.5" customHeight="1">
      <c r="A2600" s="8"/>
      <c r="B2600" s="13"/>
      <c r="C2600" s="8"/>
      <c r="D2600" s="14"/>
      <c r="E2600" s="22"/>
      <c r="F2600" s="10"/>
      <c r="G2600" s="11"/>
      <c r="H2600" s="6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</row>
    <row r="2601" ht="19.5" customHeight="1">
      <c r="A2601" s="8"/>
      <c r="B2601" s="13"/>
      <c r="C2601" s="8"/>
      <c r="D2601" s="14"/>
      <c r="E2601" s="22"/>
      <c r="F2601" s="10"/>
      <c r="G2601" s="11"/>
      <c r="H2601" s="6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</row>
    <row r="2602" ht="19.5" customHeight="1">
      <c r="A2602" s="8"/>
      <c r="B2602" s="13"/>
      <c r="C2602" s="8"/>
      <c r="D2602" s="14"/>
      <c r="E2602" s="22"/>
      <c r="F2602" s="10"/>
      <c r="G2602" s="11"/>
      <c r="H2602" s="6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</row>
    <row r="2603" ht="19.5" customHeight="1">
      <c r="A2603" s="8"/>
      <c r="B2603" s="13"/>
      <c r="C2603" s="8"/>
      <c r="D2603" s="14"/>
      <c r="E2603" s="22"/>
      <c r="F2603" s="10"/>
      <c r="G2603" s="11"/>
      <c r="H2603" s="6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</row>
    <row r="2604" ht="19.5" customHeight="1">
      <c r="A2604" s="8"/>
      <c r="B2604" s="13"/>
      <c r="C2604" s="8"/>
      <c r="D2604" s="14"/>
      <c r="E2604" s="22"/>
      <c r="F2604" s="10"/>
      <c r="G2604" s="11"/>
      <c r="H2604" s="6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</row>
    <row r="2605" ht="19.5" customHeight="1">
      <c r="A2605" s="8"/>
      <c r="B2605" s="13"/>
      <c r="C2605" s="8"/>
      <c r="D2605" s="14"/>
      <c r="E2605" s="22"/>
      <c r="F2605" s="10"/>
      <c r="G2605" s="11"/>
      <c r="H2605" s="6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</row>
    <row r="2606" ht="19.5" customHeight="1">
      <c r="A2606" s="8"/>
      <c r="B2606" s="13"/>
      <c r="C2606" s="8"/>
      <c r="D2606" s="14"/>
      <c r="E2606" s="22"/>
      <c r="F2606" s="10"/>
      <c r="G2606" s="11"/>
      <c r="H2606" s="6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  <c r="AB2606" s="8"/>
    </row>
    <row r="2607" ht="19.5" customHeight="1">
      <c r="A2607" s="8"/>
      <c r="B2607" s="13"/>
      <c r="C2607" s="8"/>
      <c r="D2607" s="14"/>
      <c r="E2607" s="22"/>
      <c r="F2607" s="10"/>
      <c r="G2607" s="11"/>
      <c r="H2607" s="6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</row>
    <row r="2608" ht="19.5" customHeight="1">
      <c r="A2608" s="8"/>
      <c r="B2608" s="13"/>
      <c r="C2608" s="8"/>
      <c r="D2608" s="14"/>
      <c r="E2608" s="22"/>
      <c r="F2608" s="10"/>
      <c r="G2608" s="11"/>
      <c r="H2608" s="6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</row>
    <row r="2609" ht="19.5" customHeight="1">
      <c r="A2609" s="8"/>
      <c r="B2609" s="13"/>
      <c r="C2609" s="8"/>
      <c r="D2609" s="14"/>
      <c r="E2609" s="22"/>
      <c r="F2609" s="10"/>
      <c r="G2609" s="11"/>
      <c r="H2609" s="6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</row>
    <row r="2610" ht="19.5" customHeight="1">
      <c r="A2610" s="8"/>
      <c r="B2610" s="13"/>
      <c r="C2610" s="8"/>
      <c r="D2610" s="14"/>
      <c r="E2610" s="22"/>
      <c r="F2610" s="10"/>
      <c r="G2610" s="11"/>
      <c r="H2610" s="6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  <c r="AB2610" s="8"/>
    </row>
    <row r="2611" ht="19.5" customHeight="1">
      <c r="A2611" s="8"/>
      <c r="B2611" s="13"/>
      <c r="C2611" s="8"/>
      <c r="D2611" s="14"/>
      <c r="E2611" s="22"/>
      <c r="F2611" s="10"/>
      <c r="G2611" s="11"/>
      <c r="H2611" s="6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</row>
    <row r="2612" ht="19.5" customHeight="1">
      <c r="A2612" s="8"/>
      <c r="B2612" s="13"/>
      <c r="C2612" s="8"/>
      <c r="D2612" s="14"/>
      <c r="E2612" s="22"/>
      <c r="F2612" s="10"/>
      <c r="G2612" s="11"/>
      <c r="H2612" s="6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  <c r="AB2612" s="8"/>
    </row>
    <row r="2613" ht="19.5" customHeight="1">
      <c r="A2613" s="8"/>
      <c r="B2613" s="13"/>
      <c r="C2613" s="8"/>
      <c r="D2613" s="14"/>
      <c r="E2613" s="22"/>
      <c r="F2613" s="10"/>
      <c r="G2613" s="11"/>
      <c r="H2613" s="6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  <c r="AB2613" s="8"/>
    </row>
    <row r="2614" ht="19.5" customHeight="1">
      <c r="A2614" s="8"/>
      <c r="B2614" s="13"/>
      <c r="C2614" s="8"/>
      <c r="D2614" s="14"/>
      <c r="E2614" s="22"/>
      <c r="F2614" s="10"/>
      <c r="G2614" s="11"/>
      <c r="H2614" s="6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</row>
    <row r="2615" ht="19.5" customHeight="1">
      <c r="A2615" s="8"/>
      <c r="B2615" s="13"/>
      <c r="C2615" s="8"/>
      <c r="D2615" s="14"/>
      <c r="E2615" s="22"/>
      <c r="F2615" s="10"/>
      <c r="G2615" s="11"/>
      <c r="H2615" s="6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</row>
    <row r="2616" ht="19.5" customHeight="1">
      <c r="A2616" s="8"/>
      <c r="B2616" s="13"/>
      <c r="C2616" s="8"/>
      <c r="D2616" s="14"/>
      <c r="E2616" s="22"/>
      <c r="F2616" s="10"/>
      <c r="G2616" s="11"/>
      <c r="H2616" s="6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  <c r="AB2616" s="8"/>
    </row>
    <row r="2617" ht="19.5" customHeight="1">
      <c r="A2617" s="8"/>
      <c r="B2617" s="13"/>
      <c r="C2617" s="8"/>
      <c r="D2617" s="14"/>
      <c r="E2617" s="22"/>
      <c r="F2617" s="10"/>
      <c r="G2617" s="11"/>
      <c r="H2617" s="6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</row>
    <row r="2618" ht="19.5" customHeight="1">
      <c r="A2618" s="8"/>
      <c r="B2618" s="13"/>
      <c r="C2618" s="8"/>
      <c r="D2618" s="14"/>
      <c r="E2618" s="22"/>
      <c r="F2618" s="10"/>
      <c r="G2618" s="11"/>
      <c r="H2618" s="6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</row>
    <row r="2619" ht="19.5" customHeight="1">
      <c r="A2619" s="8"/>
      <c r="B2619" s="13"/>
      <c r="C2619" s="8"/>
      <c r="D2619" s="14"/>
      <c r="E2619" s="22"/>
      <c r="F2619" s="10"/>
      <c r="G2619" s="11"/>
      <c r="H2619" s="6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</row>
    <row r="2620" ht="19.5" customHeight="1">
      <c r="A2620" s="8"/>
      <c r="B2620" s="13"/>
      <c r="C2620" s="8"/>
      <c r="D2620" s="14"/>
      <c r="E2620" s="22"/>
      <c r="F2620" s="10"/>
      <c r="G2620" s="11"/>
      <c r="H2620" s="6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</row>
    <row r="2621" ht="19.5" customHeight="1">
      <c r="A2621" s="8"/>
      <c r="B2621" s="13"/>
      <c r="C2621" s="8"/>
      <c r="D2621" s="14"/>
      <c r="E2621" s="22"/>
      <c r="F2621" s="10"/>
      <c r="G2621" s="11"/>
      <c r="H2621" s="6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  <c r="AB2621" s="8"/>
    </row>
    <row r="2622" ht="19.5" customHeight="1">
      <c r="A2622" s="8"/>
      <c r="B2622" s="13"/>
      <c r="C2622" s="8"/>
      <c r="D2622" s="14"/>
      <c r="E2622" s="22"/>
      <c r="F2622" s="10"/>
      <c r="G2622" s="11"/>
      <c r="H2622" s="6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  <c r="AB2622" s="8"/>
    </row>
    <row r="2623" ht="19.5" customHeight="1">
      <c r="A2623" s="8"/>
      <c r="B2623" s="13"/>
      <c r="C2623" s="8"/>
      <c r="D2623" s="14"/>
      <c r="E2623" s="22"/>
      <c r="F2623" s="10"/>
      <c r="G2623" s="11"/>
      <c r="H2623" s="6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</row>
    <row r="2624" ht="19.5" customHeight="1">
      <c r="A2624" s="8"/>
      <c r="B2624" s="13"/>
      <c r="C2624" s="8"/>
      <c r="D2624" s="14"/>
      <c r="E2624" s="22"/>
      <c r="F2624" s="10"/>
      <c r="G2624" s="11"/>
      <c r="H2624" s="6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8"/>
      <c r="AB2624" s="8"/>
    </row>
    <row r="2625" ht="19.5" customHeight="1">
      <c r="A2625" s="8"/>
      <c r="B2625" s="13"/>
      <c r="C2625" s="8"/>
      <c r="D2625" s="14"/>
      <c r="E2625" s="22"/>
      <c r="F2625" s="10"/>
      <c r="G2625" s="11"/>
      <c r="H2625" s="6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8"/>
      <c r="AB2625" s="8"/>
    </row>
    <row r="2626" ht="19.5" customHeight="1">
      <c r="A2626" s="8"/>
      <c r="B2626" s="13"/>
      <c r="C2626" s="8"/>
      <c r="D2626" s="14"/>
      <c r="E2626" s="22"/>
      <c r="F2626" s="10"/>
      <c r="G2626" s="11"/>
      <c r="H2626" s="6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</row>
    <row r="2627" ht="19.5" customHeight="1">
      <c r="A2627" s="8"/>
      <c r="B2627" s="13"/>
      <c r="C2627" s="8"/>
      <c r="D2627" s="14"/>
      <c r="E2627" s="22"/>
      <c r="F2627" s="10"/>
      <c r="G2627" s="11"/>
      <c r="H2627" s="6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8"/>
      <c r="AB2627" s="8"/>
    </row>
    <row r="2628" ht="19.5" customHeight="1">
      <c r="A2628" s="8"/>
      <c r="B2628" s="13"/>
      <c r="C2628" s="8"/>
      <c r="D2628" s="14"/>
      <c r="E2628" s="22"/>
      <c r="F2628" s="10"/>
      <c r="G2628" s="11"/>
      <c r="H2628" s="6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8"/>
      <c r="AB2628" s="8"/>
    </row>
    <row r="2629" ht="19.5" customHeight="1">
      <c r="A2629" s="8"/>
      <c r="B2629" s="13"/>
      <c r="C2629" s="8"/>
      <c r="D2629" s="14"/>
      <c r="E2629" s="22"/>
      <c r="F2629" s="10"/>
      <c r="G2629" s="11"/>
      <c r="H2629" s="6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</row>
    <row r="2630" ht="19.5" customHeight="1">
      <c r="A2630" s="8"/>
      <c r="B2630" s="13"/>
      <c r="C2630" s="8"/>
      <c r="D2630" s="14"/>
      <c r="E2630" s="22"/>
      <c r="F2630" s="10"/>
      <c r="G2630" s="11"/>
      <c r="H2630" s="6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8"/>
      <c r="AB2630" s="8"/>
    </row>
    <row r="2631" ht="19.5" customHeight="1">
      <c r="A2631" s="8"/>
      <c r="B2631" s="13"/>
      <c r="C2631" s="8"/>
      <c r="D2631" s="14"/>
      <c r="E2631" s="22"/>
      <c r="F2631" s="10"/>
      <c r="G2631" s="11"/>
      <c r="H2631" s="6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8"/>
      <c r="AB2631" s="8"/>
    </row>
    <row r="2632" ht="19.5" customHeight="1">
      <c r="A2632" s="8"/>
      <c r="B2632" s="13"/>
      <c r="C2632" s="8"/>
      <c r="D2632" s="14"/>
      <c r="E2632" s="22"/>
      <c r="F2632" s="10"/>
      <c r="G2632" s="11"/>
      <c r="H2632" s="6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</row>
    <row r="2633" ht="19.5" customHeight="1">
      <c r="A2633" s="8"/>
      <c r="B2633" s="13"/>
      <c r="C2633" s="8"/>
      <c r="D2633" s="14"/>
      <c r="E2633" s="22"/>
      <c r="F2633" s="10"/>
      <c r="G2633" s="11"/>
      <c r="H2633" s="6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8"/>
      <c r="AB2633" s="8"/>
    </row>
    <row r="2634" ht="19.5" customHeight="1">
      <c r="A2634" s="8"/>
      <c r="B2634" s="13"/>
      <c r="C2634" s="8"/>
      <c r="D2634" s="14"/>
      <c r="E2634" s="22"/>
      <c r="F2634" s="10"/>
      <c r="G2634" s="11"/>
      <c r="H2634" s="6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8"/>
      <c r="AB2634" s="8"/>
    </row>
    <row r="2635" ht="19.5" customHeight="1">
      <c r="A2635" s="8"/>
      <c r="B2635" s="13"/>
      <c r="C2635" s="8"/>
      <c r="D2635" s="14"/>
      <c r="E2635" s="22"/>
      <c r="F2635" s="10"/>
      <c r="G2635" s="11"/>
      <c r="H2635" s="6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</row>
    <row r="2636" ht="19.5" customHeight="1">
      <c r="A2636" s="8"/>
      <c r="B2636" s="13"/>
      <c r="C2636" s="8"/>
      <c r="D2636" s="14"/>
      <c r="E2636" s="22"/>
      <c r="F2636" s="10"/>
      <c r="G2636" s="11"/>
      <c r="H2636" s="6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8"/>
      <c r="AB2636" s="8"/>
    </row>
    <row r="2637" ht="19.5" customHeight="1">
      <c r="A2637" s="8"/>
      <c r="B2637" s="13"/>
      <c r="C2637" s="8"/>
      <c r="D2637" s="14"/>
      <c r="E2637" s="22"/>
      <c r="F2637" s="10"/>
      <c r="G2637" s="11"/>
      <c r="H2637" s="6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8"/>
      <c r="AB2637" s="8"/>
    </row>
    <row r="2638" ht="19.5" customHeight="1">
      <c r="A2638" s="8"/>
      <c r="B2638" s="13"/>
      <c r="C2638" s="8"/>
      <c r="D2638" s="14"/>
      <c r="E2638" s="22"/>
      <c r="F2638" s="10"/>
      <c r="G2638" s="11"/>
      <c r="H2638" s="6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</row>
    <row r="2639" ht="19.5" customHeight="1">
      <c r="A2639" s="8"/>
      <c r="B2639" s="13"/>
      <c r="C2639" s="8"/>
      <c r="D2639" s="14"/>
      <c r="E2639" s="22"/>
      <c r="F2639" s="10"/>
      <c r="G2639" s="11"/>
      <c r="H2639" s="6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</row>
    <row r="2640" ht="19.5" customHeight="1">
      <c r="A2640" s="8"/>
      <c r="B2640" s="13"/>
      <c r="C2640" s="8"/>
      <c r="D2640" s="14"/>
      <c r="E2640" s="22"/>
      <c r="F2640" s="10"/>
      <c r="G2640" s="11"/>
      <c r="H2640" s="6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8"/>
      <c r="AB2640" s="8"/>
    </row>
    <row r="2641" ht="19.5" customHeight="1">
      <c r="A2641" s="8"/>
      <c r="B2641" s="13"/>
      <c r="C2641" s="8"/>
      <c r="D2641" s="14"/>
      <c r="E2641" s="22"/>
      <c r="F2641" s="10"/>
      <c r="G2641" s="11"/>
      <c r="H2641" s="6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</row>
    <row r="2642" ht="19.5" customHeight="1">
      <c r="A2642" s="8"/>
      <c r="B2642" s="13"/>
      <c r="C2642" s="8"/>
      <c r="D2642" s="14"/>
      <c r="E2642" s="22"/>
      <c r="F2642" s="10"/>
      <c r="G2642" s="11"/>
      <c r="H2642" s="6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</row>
    <row r="2643" ht="19.5" customHeight="1">
      <c r="A2643" s="8"/>
      <c r="B2643" s="13"/>
      <c r="C2643" s="8"/>
      <c r="D2643" s="14"/>
      <c r="E2643" s="22"/>
      <c r="F2643" s="10"/>
      <c r="G2643" s="11"/>
      <c r="H2643" s="6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</row>
    <row r="2644" ht="19.5" customHeight="1">
      <c r="A2644" s="8"/>
      <c r="B2644" s="13"/>
      <c r="C2644" s="8"/>
      <c r="D2644" s="14"/>
      <c r="E2644" s="22"/>
      <c r="F2644" s="10"/>
      <c r="G2644" s="11"/>
      <c r="H2644" s="6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</row>
    <row r="2645" ht="19.5" customHeight="1">
      <c r="A2645" s="8"/>
      <c r="B2645" s="13"/>
      <c r="C2645" s="8"/>
      <c r="D2645" s="14"/>
      <c r="E2645" s="22"/>
      <c r="F2645" s="10"/>
      <c r="G2645" s="11"/>
      <c r="H2645" s="6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</row>
    <row r="2646" ht="19.5" customHeight="1">
      <c r="A2646" s="8"/>
      <c r="B2646" s="13"/>
      <c r="C2646" s="8"/>
      <c r="D2646" s="14"/>
      <c r="E2646" s="22"/>
      <c r="F2646" s="10"/>
      <c r="G2646" s="11"/>
      <c r="H2646" s="6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</row>
    <row r="2647" ht="19.5" customHeight="1">
      <c r="A2647" s="8"/>
      <c r="B2647" s="13"/>
      <c r="C2647" s="8"/>
      <c r="D2647" s="14"/>
      <c r="E2647" s="22"/>
      <c r="F2647" s="10"/>
      <c r="G2647" s="11"/>
      <c r="H2647" s="6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</row>
    <row r="2648" ht="19.5" customHeight="1">
      <c r="A2648" s="8"/>
      <c r="B2648" s="13"/>
      <c r="C2648" s="8"/>
      <c r="D2648" s="14"/>
      <c r="E2648" s="22"/>
      <c r="F2648" s="10"/>
      <c r="G2648" s="11"/>
      <c r="H2648" s="6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8"/>
      <c r="AB2648" s="8"/>
    </row>
    <row r="2649" ht="19.5" customHeight="1">
      <c r="A2649" s="8"/>
      <c r="B2649" s="13"/>
      <c r="C2649" s="8"/>
      <c r="D2649" s="14"/>
      <c r="E2649" s="22"/>
      <c r="F2649" s="10"/>
      <c r="G2649" s="11"/>
      <c r="H2649" s="6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</row>
    <row r="2650" ht="19.5" customHeight="1">
      <c r="A2650" s="8"/>
      <c r="B2650" s="13"/>
      <c r="C2650" s="8"/>
      <c r="D2650" s="14"/>
      <c r="E2650" s="22"/>
      <c r="F2650" s="10"/>
      <c r="G2650" s="11"/>
      <c r="H2650" s="6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</row>
    <row r="2651" ht="19.5" customHeight="1">
      <c r="A2651" s="8"/>
      <c r="B2651" s="13"/>
      <c r="C2651" s="8"/>
      <c r="D2651" s="14"/>
      <c r="E2651" s="22"/>
      <c r="F2651" s="10"/>
      <c r="G2651" s="11"/>
      <c r="H2651" s="6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</row>
    <row r="2652" ht="19.5" customHeight="1">
      <c r="A2652" s="8"/>
      <c r="B2652" s="13"/>
      <c r="C2652" s="8"/>
      <c r="D2652" s="14"/>
      <c r="E2652" s="22"/>
      <c r="F2652" s="10"/>
      <c r="G2652" s="11"/>
      <c r="H2652" s="6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8"/>
      <c r="AB2652" s="8"/>
    </row>
    <row r="2653" ht="19.5" customHeight="1">
      <c r="A2653" s="8"/>
      <c r="B2653" s="13"/>
      <c r="C2653" s="8"/>
      <c r="D2653" s="14"/>
      <c r="E2653" s="22"/>
      <c r="F2653" s="10"/>
      <c r="G2653" s="11"/>
      <c r="H2653" s="6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</row>
    <row r="2654" ht="19.5" customHeight="1">
      <c r="A2654" s="8"/>
      <c r="B2654" s="13"/>
      <c r="C2654" s="8"/>
      <c r="D2654" s="14"/>
      <c r="E2654" s="22"/>
      <c r="F2654" s="10"/>
      <c r="G2654" s="11"/>
      <c r="H2654" s="6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</row>
    <row r="2655" ht="19.5" customHeight="1">
      <c r="A2655" s="8"/>
      <c r="B2655" s="13"/>
      <c r="C2655" s="8"/>
      <c r="D2655" s="14"/>
      <c r="E2655" s="22"/>
      <c r="F2655" s="10"/>
      <c r="G2655" s="11"/>
      <c r="H2655" s="6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8"/>
      <c r="AB2655" s="8"/>
    </row>
    <row r="2656" ht="19.5" customHeight="1">
      <c r="A2656" s="8"/>
      <c r="B2656" s="13"/>
      <c r="C2656" s="8"/>
      <c r="D2656" s="14"/>
      <c r="E2656" s="22"/>
      <c r="F2656" s="10"/>
      <c r="G2656" s="11"/>
      <c r="H2656" s="6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</row>
    <row r="2657" ht="19.5" customHeight="1">
      <c r="A2657" s="8"/>
      <c r="B2657" s="13"/>
      <c r="C2657" s="8"/>
      <c r="D2657" s="14"/>
      <c r="E2657" s="22"/>
      <c r="F2657" s="10"/>
      <c r="G2657" s="11"/>
      <c r="H2657" s="6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8"/>
      <c r="AB2657" s="8"/>
    </row>
    <row r="2658" ht="19.5" customHeight="1">
      <c r="A2658" s="8"/>
      <c r="B2658" s="13"/>
      <c r="C2658" s="8"/>
      <c r="D2658" s="14"/>
      <c r="E2658" s="22"/>
      <c r="F2658" s="10"/>
      <c r="G2658" s="11"/>
      <c r="H2658" s="6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8"/>
      <c r="AB2658" s="8"/>
    </row>
    <row r="2659" ht="19.5" customHeight="1">
      <c r="A2659" s="8"/>
      <c r="B2659" s="13"/>
      <c r="C2659" s="8"/>
      <c r="D2659" s="14"/>
      <c r="E2659" s="22"/>
      <c r="F2659" s="10"/>
      <c r="G2659" s="11"/>
      <c r="H2659" s="6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</row>
    <row r="2660" ht="19.5" customHeight="1">
      <c r="A2660" s="8"/>
      <c r="B2660" s="13"/>
      <c r="C2660" s="8"/>
      <c r="D2660" s="14"/>
      <c r="E2660" s="22"/>
      <c r="F2660" s="10"/>
      <c r="G2660" s="11"/>
      <c r="H2660" s="6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</row>
    <row r="2661" ht="19.5" customHeight="1">
      <c r="A2661" s="8"/>
      <c r="B2661" s="13"/>
      <c r="C2661" s="8"/>
      <c r="D2661" s="14"/>
      <c r="E2661" s="22"/>
      <c r="F2661" s="10"/>
      <c r="G2661" s="11"/>
      <c r="H2661" s="6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</row>
    <row r="2662" ht="19.5" customHeight="1">
      <c r="A2662" s="8"/>
      <c r="B2662" s="13"/>
      <c r="C2662" s="8"/>
      <c r="D2662" s="14"/>
      <c r="E2662" s="22"/>
      <c r="F2662" s="10"/>
      <c r="G2662" s="11"/>
      <c r="H2662" s="6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</row>
    <row r="2663" ht="19.5" customHeight="1">
      <c r="A2663" s="8"/>
      <c r="B2663" s="13"/>
      <c r="C2663" s="8"/>
      <c r="D2663" s="14"/>
      <c r="E2663" s="22"/>
      <c r="F2663" s="10"/>
      <c r="G2663" s="11"/>
      <c r="H2663" s="6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</row>
    <row r="2664" ht="19.5" customHeight="1">
      <c r="A2664" s="8"/>
      <c r="B2664" s="13"/>
      <c r="C2664" s="8"/>
      <c r="D2664" s="14"/>
      <c r="E2664" s="22"/>
      <c r="F2664" s="10"/>
      <c r="G2664" s="11"/>
      <c r="H2664" s="6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8"/>
      <c r="AB2664" s="8"/>
    </row>
    <row r="2665" ht="19.5" customHeight="1">
      <c r="A2665" s="8"/>
      <c r="B2665" s="13"/>
      <c r="C2665" s="8"/>
      <c r="D2665" s="14"/>
      <c r="E2665" s="22"/>
      <c r="F2665" s="10"/>
      <c r="G2665" s="11"/>
      <c r="H2665" s="6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</row>
    <row r="2666" ht="19.5" customHeight="1">
      <c r="A2666" s="8"/>
      <c r="B2666" s="13"/>
      <c r="C2666" s="8"/>
      <c r="D2666" s="14"/>
      <c r="E2666" s="22"/>
      <c r="F2666" s="10"/>
      <c r="G2666" s="11"/>
      <c r="H2666" s="6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</row>
    <row r="2667" ht="19.5" customHeight="1">
      <c r="A2667" s="8"/>
      <c r="B2667" s="13"/>
      <c r="C2667" s="8"/>
      <c r="D2667" s="14"/>
      <c r="E2667" s="22"/>
      <c r="F2667" s="10"/>
      <c r="G2667" s="11"/>
      <c r="H2667" s="6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8"/>
      <c r="AB2667" s="8"/>
    </row>
    <row r="2668" ht="19.5" customHeight="1">
      <c r="A2668" s="8"/>
      <c r="B2668" s="13"/>
      <c r="C2668" s="8"/>
      <c r="D2668" s="14"/>
      <c r="E2668" s="22"/>
      <c r="F2668" s="10"/>
      <c r="G2668" s="11"/>
      <c r="H2668" s="6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</row>
    <row r="2669" ht="19.5" customHeight="1">
      <c r="A2669" s="8"/>
      <c r="B2669" s="13"/>
      <c r="C2669" s="8"/>
      <c r="D2669" s="14"/>
      <c r="E2669" s="22"/>
      <c r="F2669" s="10"/>
      <c r="G2669" s="11"/>
      <c r="H2669" s="6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</row>
    <row r="2670" ht="19.5" customHeight="1">
      <c r="A2670" s="8"/>
      <c r="B2670" s="13"/>
      <c r="C2670" s="8"/>
      <c r="D2670" s="14"/>
      <c r="E2670" s="22"/>
      <c r="F2670" s="10"/>
      <c r="G2670" s="11"/>
      <c r="H2670" s="6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</row>
    <row r="2671" ht="19.5" customHeight="1">
      <c r="A2671" s="8"/>
      <c r="B2671" s="13"/>
      <c r="C2671" s="8"/>
      <c r="D2671" s="14"/>
      <c r="E2671" s="22"/>
      <c r="F2671" s="10"/>
      <c r="G2671" s="11"/>
      <c r="H2671" s="6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</row>
    <row r="2672" ht="19.5" customHeight="1">
      <c r="A2672" s="8"/>
      <c r="B2672" s="13"/>
      <c r="C2672" s="8"/>
      <c r="D2672" s="14"/>
      <c r="E2672" s="22"/>
      <c r="F2672" s="10"/>
      <c r="G2672" s="11"/>
      <c r="H2672" s="6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</row>
    <row r="2673" ht="19.5" customHeight="1">
      <c r="A2673" s="8"/>
      <c r="B2673" s="13"/>
      <c r="C2673" s="8"/>
      <c r="D2673" s="14"/>
      <c r="E2673" s="22"/>
      <c r="F2673" s="10"/>
      <c r="G2673" s="11"/>
      <c r="H2673" s="6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</row>
    <row r="2674" ht="19.5" customHeight="1">
      <c r="A2674" s="8"/>
      <c r="B2674" s="13"/>
      <c r="C2674" s="8"/>
      <c r="D2674" s="14"/>
      <c r="E2674" s="22"/>
      <c r="F2674" s="10"/>
      <c r="G2674" s="11"/>
      <c r="H2674" s="6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</row>
    <row r="2675" ht="19.5" customHeight="1">
      <c r="A2675" s="8"/>
      <c r="B2675" s="13"/>
      <c r="C2675" s="8"/>
      <c r="D2675" s="14"/>
      <c r="E2675" s="22"/>
      <c r="F2675" s="10"/>
      <c r="G2675" s="11"/>
      <c r="H2675" s="6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</row>
    <row r="2676" ht="19.5" customHeight="1">
      <c r="A2676" s="8"/>
      <c r="B2676" s="13"/>
      <c r="C2676" s="8"/>
      <c r="D2676" s="14"/>
      <c r="E2676" s="22"/>
      <c r="F2676" s="10"/>
      <c r="G2676" s="11"/>
      <c r="H2676" s="6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</row>
    <row r="2677" ht="19.5" customHeight="1">
      <c r="A2677" s="8"/>
      <c r="B2677" s="13"/>
      <c r="C2677" s="8"/>
      <c r="D2677" s="14"/>
      <c r="E2677" s="22"/>
      <c r="F2677" s="10"/>
      <c r="G2677" s="11"/>
      <c r="H2677" s="6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</row>
    <row r="2678" ht="19.5" customHeight="1">
      <c r="A2678" s="8"/>
      <c r="B2678" s="13"/>
      <c r="C2678" s="8"/>
      <c r="D2678" s="14"/>
      <c r="E2678" s="22"/>
      <c r="F2678" s="10"/>
      <c r="G2678" s="11"/>
      <c r="H2678" s="6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</row>
    <row r="2679" ht="19.5" customHeight="1">
      <c r="A2679" s="8"/>
      <c r="B2679" s="13"/>
      <c r="C2679" s="8"/>
      <c r="D2679" s="14"/>
      <c r="E2679" s="22"/>
      <c r="F2679" s="10"/>
      <c r="G2679" s="11"/>
      <c r="H2679" s="6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</row>
    <row r="2680" ht="19.5" customHeight="1">
      <c r="A2680" s="8"/>
      <c r="B2680" s="13"/>
      <c r="C2680" s="8"/>
      <c r="D2680" s="14"/>
      <c r="E2680" s="22"/>
      <c r="F2680" s="10"/>
      <c r="G2680" s="11"/>
      <c r="H2680" s="6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</row>
    <row r="2681" ht="19.5" customHeight="1">
      <c r="A2681" s="8"/>
      <c r="B2681" s="13"/>
      <c r="C2681" s="8"/>
      <c r="D2681" s="14"/>
      <c r="E2681" s="22"/>
      <c r="F2681" s="10"/>
      <c r="G2681" s="11"/>
      <c r="H2681" s="6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</row>
    <row r="2682" ht="19.5" customHeight="1">
      <c r="A2682" s="8"/>
      <c r="B2682" s="13"/>
      <c r="C2682" s="8"/>
      <c r="D2682" s="14"/>
      <c r="E2682" s="22"/>
      <c r="F2682" s="10"/>
      <c r="G2682" s="11"/>
      <c r="H2682" s="6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</row>
    <row r="2683" ht="19.5" customHeight="1">
      <c r="A2683" s="8"/>
      <c r="B2683" s="13"/>
      <c r="C2683" s="8"/>
      <c r="D2683" s="14"/>
      <c r="E2683" s="22"/>
      <c r="F2683" s="10"/>
      <c r="G2683" s="11"/>
      <c r="H2683" s="6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</row>
    <row r="2684" ht="19.5" customHeight="1">
      <c r="A2684" s="8"/>
      <c r="B2684" s="13"/>
      <c r="C2684" s="8"/>
      <c r="D2684" s="14"/>
      <c r="E2684" s="22"/>
      <c r="F2684" s="10"/>
      <c r="G2684" s="11"/>
      <c r="H2684" s="6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</row>
    <row r="2685" ht="19.5" customHeight="1">
      <c r="A2685" s="8"/>
      <c r="B2685" s="13"/>
      <c r="C2685" s="8"/>
      <c r="D2685" s="14"/>
      <c r="E2685" s="22"/>
      <c r="F2685" s="10"/>
      <c r="G2685" s="11"/>
      <c r="H2685" s="6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</row>
    <row r="2686" ht="19.5" customHeight="1">
      <c r="A2686" s="8"/>
      <c r="B2686" s="13"/>
      <c r="C2686" s="8"/>
      <c r="D2686" s="14"/>
      <c r="E2686" s="22"/>
      <c r="F2686" s="10"/>
      <c r="G2686" s="11"/>
      <c r="H2686" s="6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</row>
    <row r="2687" ht="19.5" customHeight="1">
      <c r="A2687" s="8"/>
      <c r="B2687" s="13"/>
      <c r="C2687" s="8"/>
      <c r="D2687" s="14"/>
      <c r="E2687" s="22"/>
      <c r="F2687" s="10"/>
      <c r="G2687" s="11"/>
      <c r="H2687" s="6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</row>
    <row r="2688" ht="19.5" customHeight="1">
      <c r="A2688" s="8"/>
      <c r="B2688" s="13"/>
      <c r="C2688" s="8"/>
      <c r="D2688" s="14"/>
      <c r="E2688" s="22"/>
      <c r="F2688" s="10"/>
      <c r="G2688" s="11"/>
      <c r="H2688" s="6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</row>
    <row r="2689" ht="19.5" customHeight="1">
      <c r="A2689" s="8"/>
      <c r="B2689" s="13"/>
      <c r="C2689" s="8"/>
      <c r="D2689" s="14"/>
      <c r="E2689" s="22"/>
      <c r="F2689" s="10"/>
      <c r="G2689" s="11"/>
      <c r="H2689" s="6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</row>
    <row r="2690" ht="19.5" customHeight="1">
      <c r="A2690" s="8"/>
      <c r="B2690" s="13"/>
      <c r="C2690" s="8"/>
      <c r="D2690" s="14"/>
      <c r="E2690" s="22"/>
      <c r="F2690" s="10"/>
      <c r="G2690" s="11"/>
      <c r="H2690" s="6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</row>
    <row r="2691" ht="19.5" customHeight="1">
      <c r="A2691" s="8"/>
      <c r="B2691" s="13"/>
      <c r="C2691" s="8"/>
      <c r="D2691" s="14"/>
      <c r="E2691" s="22"/>
      <c r="F2691" s="10"/>
      <c r="G2691" s="11"/>
      <c r="H2691" s="6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</row>
    <row r="2692" ht="19.5" customHeight="1">
      <c r="A2692" s="8"/>
      <c r="B2692" s="13"/>
      <c r="C2692" s="8"/>
      <c r="D2692" s="14"/>
      <c r="E2692" s="22"/>
      <c r="F2692" s="10"/>
      <c r="G2692" s="11"/>
      <c r="H2692" s="6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</row>
    <row r="2693" ht="19.5" customHeight="1">
      <c r="A2693" s="8"/>
      <c r="B2693" s="13"/>
      <c r="C2693" s="8"/>
      <c r="D2693" s="14"/>
      <c r="E2693" s="22"/>
      <c r="F2693" s="10"/>
      <c r="G2693" s="11"/>
      <c r="H2693" s="6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</row>
    <row r="2694" ht="19.5" customHeight="1">
      <c r="A2694" s="8"/>
      <c r="B2694" s="13"/>
      <c r="C2694" s="8"/>
      <c r="D2694" s="14"/>
      <c r="E2694" s="22"/>
      <c r="F2694" s="10"/>
      <c r="G2694" s="11"/>
      <c r="H2694" s="6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</row>
    <row r="2695" ht="19.5" customHeight="1">
      <c r="A2695" s="8"/>
      <c r="B2695" s="13"/>
      <c r="C2695" s="8"/>
      <c r="D2695" s="14"/>
      <c r="E2695" s="22"/>
      <c r="F2695" s="10"/>
      <c r="G2695" s="11"/>
      <c r="H2695" s="6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</row>
    <row r="2696" ht="19.5" customHeight="1">
      <c r="A2696" s="8"/>
      <c r="B2696" s="13"/>
      <c r="C2696" s="8"/>
      <c r="D2696" s="14"/>
      <c r="E2696" s="22"/>
      <c r="F2696" s="10"/>
      <c r="G2696" s="11"/>
      <c r="H2696" s="6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</row>
    <row r="2697" ht="19.5" customHeight="1">
      <c r="A2697" s="8"/>
      <c r="B2697" s="13"/>
      <c r="C2697" s="8"/>
      <c r="D2697" s="14"/>
      <c r="E2697" s="22"/>
      <c r="F2697" s="10"/>
      <c r="G2697" s="11"/>
      <c r="H2697" s="6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</row>
    <row r="2698" ht="19.5" customHeight="1">
      <c r="A2698" s="8"/>
      <c r="B2698" s="13"/>
      <c r="C2698" s="8"/>
      <c r="D2698" s="14"/>
      <c r="E2698" s="22"/>
      <c r="F2698" s="10"/>
      <c r="G2698" s="11"/>
      <c r="H2698" s="6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</row>
    <row r="2699" ht="19.5" customHeight="1">
      <c r="A2699" s="8"/>
      <c r="B2699" s="13"/>
      <c r="C2699" s="8"/>
      <c r="D2699" s="14"/>
      <c r="E2699" s="22"/>
      <c r="F2699" s="10"/>
      <c r="G2699" s="11"/>
      <c r="H2699" s="6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</row>
    <row r="2700" ht="19.5" customHeight="1">
      <c r="A2700" s="8"/>
      <c r="B2700" s="13"/>
      <c r="C2700" s="8"/>
      <c r="D2700" s="14"/>
      <c r="E2700" s="22"/>
      <c r="F2700" s="10"/>
      <c r="G2700" s="11"/>
      <c r="H2700" s="6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</row>
    <row r="2701" ht="19.5" customHeight="1">
      <c r="A2701" s="8"/>
      <c r="B2701" s="13"/>
      <c r="C2701" s="8"/>
      <c r="D2701" s="14"/>
      <c r="E2701" s="22"/>
      <c r="F2701" s="10"/>
      <c r="G2701" s="11"/>
      <c r="H2701" s="6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</row>
    <row r="2702" ht="19.5" customHeight="1">
      <c r="A2702" s="8"/>
      <c r="B2702" s="13"/>
      <c r="C2702" s="8"/>
      <c r="D2702" s="14"/>
      <c r="E2702" s="22"/>
      <c r="F2702" s="10"/>
      <c r="G2702" s="11"/>
      <c r="H2702" s="6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</row>
    <row r="2703" ht="19.5" customHeight="1">
      <c r="A2703" s="8"/>
      <c r="B2703" s="13"/>
      <c r="C2703" s="8"/>
      <c r="D2703" s="14"/>
      <c r="E2703" s="22"/>
      <c r="F2703" s="10"/>
      <c r="G2703" s="11"/>
      <c r="H2703" s="6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</row>
    <row r="2704" ht="19.5" customHeight="1">
      <c r="A2704" s="8"/>
      <c r="B2704" s="13"/>
      <c r="C2704" s="8"/>
      <c r="D2704" s="14"/>
      <c r="E2704" s="22"/>
      <c r="F2704" s="10"/>
      <c r="G2704" s="11"/>
      <c r="H2704" s="6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</row>
    <row r="2705" ht="19.5" customHeight="1">
      <c r="A2705" s="8"/>
      <c r="B2705" s="13"/>
      <c r="C2705" s="8"/>
      <c r="D2705" s="14"/>
      <c r="E2705" s="22"/>
      <c r="F2705" s="10"/>
      <c r="G2705" s="11"/>
      <c r="H2705" s="6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</row>
    <row r="2706" ht="19.5" customHeight="1">
      <c r="A2706" s="8"/>
      <c r="B2706" s="13"/>
      <c r="C2706" s="8"/>
      <c r="D2706" s="14"/>
      <c r="E2706" s="22"/>
      <c r="F2706" s="10"/>
      <c r="G2706" s="11"/>
      <c r="H2706" s="6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</row>
    <row r="2707" ht="19.5" customHeight="1">
      <c r="A2707" s="8"/>
      <c r="B2707" s="13"/>
      <c r="C2707" s="8"/>
      <c r="D2707" s="14"/>
      <c r="E2707" s="22"/>
      <c r="F2707" s="10"/>
      <c r="G2707" s="11"/>
      <c r="H2707" s="6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</row>
    <row r="2708" ht="19.5" customHeight="1">
      <c r="A2708" s="8"/>
      <c r="B2708" s="13"/>
      <c r="C2708" s="8"/>
      <c r="D2708" s="14"/>
      <c r="E2708" s="22"/>
      <c r="F2708" s="10"/>
      <c r="G2708" s="11"/>
      <c r="H2708" s="6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</row>
    <row r="2709" ht="19.5" customHeight="1">
      <c r="A2709" s="8"/>
      <c r="B2709" s="13"/>
      <c r="C2709" s="8"/>
      <c r="D2709" s="14"/>
      <c r="E2709" s="22"/>
      <c r="F2709" s="10"/>
      <c r="G2709" s="11"/>
      <c r="H2709" s="6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</row>
    <row r="2710" ht="19.5" customHeight="1">
      <c r="A2710" s="8"/>
      <c r="B2710" s="13"/>
      <c r="C2710" s="8"/>
      <c r="D2710" s="14"/>
      <c r="E2710" s="22"/>
      <c r="F2710" s="10"/>
      <c r="G2710" s="11"/>
      <c r="H2710" s="6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</row>
    <row r="2711" ht="19.5" customHeight="1">
      <c r="A2711" s="8"/>
      <c r="B2711" s="13"/>
      <c r="C2711" s="8"/>
      <c r="D2711" s="14"/>
      <c r="E2711" s="22"/>
      <c r="F2711" s="10"/>
      <c r="G2711" s="11"/>
      <c r="H2711" s="6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</row>
    <row r="2712" ht="19.5" customHeight="1">
      <c r="A2712" s="8"/>
      <c r="B2712" s="13"/>
      <c r="C2712" s="8"/>
      <c r="D2712" s="14"/>
      <c r="E2712" s="22"/>
      <c r="F2712" s="10"/>
      <c r="G2712" s="11"/>
      <c r="H2712" s="6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</row>
    <row r="2713" ht="19.5" customHeight="1">
      <c r="A2713" s="8"/>
      <c r="B2713" s="13"/>
      <c r="C2713" s="8"/>
      <c r="D2713" s="14"/>
      <c r="E2713" s="22"/>
      <c r="F2713" s="10"/>
      <c r="G2713" s="11"/>
      <c r="H2713" s="6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</row>
    <row r="2714" ht="19.5" customHeight="1">
      <c r="A2714" s="8"/>
      <c r="B2714" s="13"/>
      <c r="C2714" s="8"/>
      <c r="D2714" s="14"/>
      <c r="E2714" s="22"/>
      <c r="F2714" s="10"/>
      <c r="G2714" s="11"/>
      <c r="H2714" s="6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</row>
    <row r="2715" ht="19.5" customHeight="1">
      <c r="A2715" s="8"/>
      <c r="B2715" s="13"/>
      <c r="C2715" s="8"/>
      <c r="D2715" s="14"/>
      <c r="E2715" s="22"/>
      <c r="F2715" s="10"/>
      <c r="G2715" s="11"/>
      <c r="H2715" s="6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</row>
    <row r="2716" ht="19.5" customHeight="1">
      <c r="A2716" s="8"/>
      <c r="B2716" s="13"/>
      <c r="C2716" s="8"/>
      <c r="D2716" s="14"/>
      <c r="E2716" s="22"/>
      <c r="F2716" s="10"/>
      <c r="G2716" s="11"/>
      <c r="H2716" s="6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</row>
    <row r="2717" ht="19.5" customHeight="1">
      <c r="A2717" s="8"/>
      <c r="B2717" s="13"/>
      <c r="C2717" s="8"/>
      <c r="D2717" s="14"/>
      <c r="E2717" s="22"/>
      <c r="F2717" s="10"/>
      <c r="G2717" s="11"/>
      <c r="H2717" s="6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</row>
    <row r="2718" ht="19.5" customHeight="1">
      <c r="A2718" s="8"/>
      <c r="B2718" s="13"/>
      <c r="C2718" s="8"/>
      <c r="D2718" s="14"/>
      <c r="E2718" s="22"/>
      <c r="F2718" s="10"/>
      <c r="G2718" s="11"/>
      <c r="H2718" s="6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</row>
    <row r="2719" ht="19.5" customHeight="1">
      <c r="A2719" s="8"/>
      <c r="B2719" s="13"/>
      <c r="C2719" s="8"/>
      <c r="D2719" s="14"/>
      <c r="E2719" s="22"/>
      <c r="F2719" s="10"/>
      <c r="G2719" s="11"/>
      <c r="H2719" s="6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</row>
    <row r="2720" ht="19.5" customHeight="1">
      <c r="A2720" s="8"/>
      <c r="B2720" s="13"/>
      <c r="C2720" s="8"/>
      <c r="D2720" s="14"/>
      <c r="E2720" s="22"/>
      <c r="F2720" s="10"/>
      <c r="G2720" s="11"/>
      <c r="H2720" s="6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</row>
    <row r="2721" ht="19.5" customHeight="1">
      <c r="A2721" s="8"/>
      <c r="B2721" s="13"/>
      <c r="C2721" s="8"/>
      <c r="D2721" s="14"/>
      <c r="E2721" s="22"/>
      <c r="F2721" s="10"/>
      <c r="G2721" s="11"/>
      <c r="H2721" s="6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</row>
    <row r="2722" ht="19.5" customHeight="1">
      <c r="A2722" s="8"/>
      <c r="B2722" s="13"/>
      <c r="C2722" s="8"/>
      <c r="D2722" s="14"/>
      <c r="E2722" s="22"/>
      <c r="F2722" s="10"/>
      <c r="G2722" s="11"/>
      <c r="H2722" s="6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</row>
    <row r="2723" ht="19.5" customHeight="1">
      <c r="A2723" s="8"/>
      <c r="B2723" s="13"/>
      <c r="C2723" s="8"/>
      <c r="D2723" s="14"/>
      <c r="E2723" s="22"/>
      <c r="F2723" s="10"/>
      <c r="G2723" s="11"/>
      <c r="H2723" s="6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</row>
    <row r="2724" ht="19.5" customHeight="1">
      <c r="A2724" s="8"/>
      <c r="B2724" s="13"/>
      <c r="C2724" s="8"/>
      <c r="D2724" s="14"/>
      <c r="E2724" s="22"/>
      <c r="F2724" s="10"/>
      <c r="G2724" s="11"/>
      <c r="H2724" s="6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</row>
    <row r="2725" ht="19.5" customHeight="1">
      <c r="A2725" s="8"/>
      <c r="B2725" s="13"/>
      <c r="C2725" s="8"/>
      <c r="D2725" s="14"/>
      <c r="E2725" s="22"/>
      <c r="F2725" s="10"/>
      <c r="G2725" s="11"/>
      <c r="H2725" s="6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</row>
    <row r="2726" ht="19.5" customHeight="1">
      <c r="A2726" s="8"/>
      <c r="B2726" s="13"/>
      <c r="C2726" s="8"/>
      <c r="D2726" s="14"/>
      <c r="E2726" s="22"/>
      <c r="F2726" s="10"/>
      <c r="G2726" s="11"/>
      <c r="H2726" s="6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</row>
    <row r="2727" ht="19.5" customHeight="1">
      <c r="A2727" s="8"/>
      <c r="B2727" s="13"/>
      <c r="C2727" s="8"/>
      <c r="D2727" s="14"/>
      <c r="E2727" s="22"/>
      <c r="F2727" s="10"/>
      <c r="G2727" s="11"/>
      <c r="H2727" s="6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</row>
    <row r="2728" ht="19.5" customHeight="1">
      <c r="A2728" s="8"/>
      <c r="B2728" s="13"/>
      <c r="C2728" s="8"/>
      <c r="D2728" s="14"/>
      <c r="E2728" s="22"/>
      <c r="F2728" s="10"/>
      <c r="G2728" s="11"/>
      <c r="H2728" s="6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</row>
    <row r="2729" ht="19.5" customHeight="1">
      <c r="A2729" s="8"/>
      <c r="B2729" s="13"/>
      <c r="C2729" s="8"/>
      <c r="D2729" s="14"/>
      <c r="E2729" s="22"/>
      <c r="F2729" s="10"/>
      <c r="G2729" s="11"/>
      <c r="H2729" s="6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</row>
    <row r="2730" ht="19.5" customHeight="1">
      <c r="A2730" s="8"/>
      <c r="B2730" s="13"/>
      <c r="C2730" s="8"/>
      <c r="D2730" s="14"/>
      <c r="E2730" s="22"/>
      <c r="F2730" s="10"/>
      <c r="G2730" s="11"/>
      <c r="H2730" s="6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</row>
    <row r="2731" ht="19.5" customHeight="1">
      <c r="A2731" s="8"/>
      <c r="B2731" s="13"/>
      <c r="C2731" s="8"/>
      <c r="D2731" s="14"/>
      <c r="E2731" s="22"/>
      <c r="F2731" s="10"/>
      <c r="G2731" s="11"/>
      <c r="H2731" s="6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</row>
    <row r="2732" ht="19.5" customHeight="1">
      <c r="A2732" s="8"/>
      <c r="B2732" s="13"/>
      <c r="C2732" s="8"/>
      <c r="D2732" s="14"/>
      <c r="E2732" s="22"/>
      <c r="F2732" s="10"/>
      <c r="G2732" s="11"/>
      <c r="H2732" s="6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</row>
    <row r="2733" ht="19.5" customHeight="1">
      <c r="A2733" s="8"/>
      <c r="B2733" s="13"/>
      <c r="C2733" s="8"/>
      <c r="D2733" s="14"/>
      <c r="E2733" s="22"/>
      <c r="F2733" s="10"/>
      <c r="G2733" s="11"/>
      <c r="H2733" s="6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</row>
    <row r="2734" ht="19.5" customHeight="1">
      <c r="A2734" s="8"/>
      <c r="B2734" s="13"/>
      <c r="C2734" s="8"/>
      <c r="D2734" s="14"/>
      <c r="E2734" s="22"/>
      <c r="F2734" s="10"/>
      <c r="G2734" s="11"/>
      <c r="H2734" s="6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</row>
    <row r="2735" ht="19.5" customHeight="1">
      <c r="A2735" s="8"/>
      <c r="B2735" s="13"/>
      <c r="C2735" s="8"/>
      <c r="D2735" s="14"/>
      <c r="E2735" s="22"/>
      <c r="F2735" s="10"/>
      <c r="G2735" s="11"/>
      <c r="H2735" s="6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</row>
    <row r="2736" ht="19.5" customHeight="1">
      <c r="A2736" s="8"/>
      <c r="B2736" s="13"/>
      <c r="C2736" s="8"/>
      <c r="D2736" s="14"/>
      <c r="E2736" s="22"/>
      <c r="F2736" s="10"/>
      <c r="G2736" s="11"/>
      <c r="H2736" s="6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</row>
    <row r="2737" ht="19.5" customHeight="1">
      <c r="A2737" s="8"/>
      <c r="B2737" s="13"/>
      <c r="C2737" s="8"/>
      <c r="D2737" s="14"/>
      <c r="E2737" s="22"/>
      <c r="F2737" s="10"/>
      <c r="G2737" s="11"/>
      <c r="H2737" s="6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</row>
    <row r="2738" ht="19.5" customHeight="1">
      <c r="A2738" s="8"/>
      <c r="B2738" s="13"/>
      <c r="C2738" s="8"/>
      <c r="D2738" s="14"/>
      <c r="E2738" s="22"/>
      <c r="F2738" s="10"/>
      <c r="G2738" s="11"/>
      <c r="H2738" s="6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</row>
    <row r="2739" ht="19.5" customHeight="1">
      <c r="A2739" s="8"/>
      <c r="B2739" s="13"/>
      <c r="C2739" s="8"/>
      <c r="D2739" s="14"/>
      <c r="E2739" s="22"/>
      <c r="F2739" s="10"/>
      <c r="G2739" s="11"/>
      <c r="H2739" s="6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</row>
    <row r="2740" ht="19.5" customHeight="1">
      <c r="A2740" s="8"/>
      <c r="B2740" s="13"/>
      <c r="C2740" s="8"/>
      <c r="D2740" s="14"/>
      <c r="E2740" s="22"/>
      <c r="F2740" s="10"/>
      <c r="G2740" s="11"/>
      <c r="H2740" s="6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</row>
    <row r="2741" ht="19.5" customHeight="1">
      <c r="A2741" s="8"/>
      <c r="B2741" s="13"/>
      <c r="C2741" s="8"/>
      <c r="D2741" s="14"/>
      <c r="E2741" s="22"/>
      <c r="F2741" s="10"/>
      <c r="G2741" s="11"/>
      <c r="H2741" s="6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</row>
    <row r="2742" ht="19.5" customHeight="1">
      <c r="A2742" s="8"/>
      <c r="B2742" s="13"/>
      <c r="C2742" s="8"/>
      <c r="D2742" s="14"/>
      <c r="E2742" s="22"/>
      <c r="F2742" s="10"/>
      <c r="G2742" s="11"/>
      <c r="H2742" s="6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</row>
    <row r="2743" ht="19.5" customHeight="1">
      <c r="A2743" s="8"/>
      <c r="B2743" s="13"/>
      <c r="C2743" s="8"/>
      <c r="D2743" s="14"/>
      <c r="E2743" s="22"/>
      <c r="F2743" s="10"/>
      <c r="G2743" s="11"/>
      <c r="H2743" s="6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</row>
    <row r="2744" ht="19.5" customHeight="1">
      <c r="A2744" s="8"/>
      <c r="B2744" s="13"/>
      <c r="C2744" s="8"/>
      <c r="D2744" s="14"/>
      <c r="E2744" s="22"/>
      <c r="F2744" s="10"/>
      <c r="G2744" s="11"/>
      <c r="H2744" s="6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</row>
    <row r="2745" ht="19.5" customHeight="1">
      <c r="A2745" s="8"/>
      <c r="B2745" s="13"/>
      <c r="C2745" s="8"/>
      <c r="D2745" s="14"/>
      <c r="E2745" s="22"/>
      <c r="F2745" s="10"/>
      <c r="G2745" s="11"/>
      <c r="H2745" s="6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</row>
    <row r="2746" ht="19.5" customHeight="1">
      <c r="A2746" s="8"/>
      <c r="B2746" s="13"/>
      <c r="C2746" s="8"/>
      <c r="D2746" s="14"/>
      <c r="E2746" s="22"/>
      <c r="F2746" s="10"/>
      <c r="G2746" s="11"/>
      <c r="H2746" s="6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</row>
    <row r="2747" ht="19.5" customHeight="1">
      <c r="A2747" s="8"/>
      <c r="B2747" s="13"/>
      <c r="C2747" s="8"/>
      <c r="D2747" s="14"/>
      <c r="E2747" s="22"/>
      <c r="F2747" s="10"/>
      <c r="G2747" s="11"/>
      <c r="H2747" s="6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</row>
    <row r="2748" ht="19.5" customHeight="1">
      <c r="A2748" s="8"/>
      <c r="B2748" s="13"/>
      <c r="C2748" s="8"/>
      <c r="D2748" s="14"/>
      <c r="E2748" s="22"/>
      <c r="F2748" s="10"/>
      <c r="G2748" s="11"/>
      <c r="H2748" s="6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</row>
    <row r="2749" ht="19.5" customHeight="1">
      <c r="A2749" s="8"/>
      <c r="B2749" s="13"/>
      <c r="C2749" s="8"/>
      <c r="D2749" s="14"/>
      <c r="E2749" s="22"/>
      <c r="F2749" s="10"/>
      <c r="G2749" s="11"/>
      <c r="H2749" s="6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</row>
    <row r="2750" ht="19.5" customHeight="1">
      <c r="A2750" s="8"/>
      <c r="B2750" s="13"/>
      <c r="C2750" s="8"/>
      <c r="D2750" s="14"/>
      <c r="E2750" s="22"/>
      <c r="F2750" s="10"/>
      <c r="G2750" s="11"/>
      <c r="H2750" s="6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  <c r="AB2750" s="8"/>
    </row>
    <row r="2751" ht="19.5" customHeight="1">
      <c r="A2751" s="8"/>
      <c r="B2751" s="13"/>
      <c r="C2751" s="8"/>
      <c r="D2751" s="14"/>
      <c r="E2751" s="22"/>
      <c r="F2751" s="10"/>
      <c r="G2751" s="11"/>
      <c r="H2751" s="6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</row>
    <row r="2752" ht="19.5" customHeight="1">
      <c r="A2752" s="8"/>
      <c r="B2752" s="13"/>
      <c r="C2752" s="8"/>
      <c r="D2752" s="14"/>
      <c r="E2752" s="22"/>
      <c r="F2752" s="10"/>
      <c r="G2752" s="11"/>
      <c r="H2752" s="6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</row>
    <row r="2753" ht="19.5" customHeight="1">
      <c r="A2753" s="8"/>
      <c r="B2753" s="13"/>
      <c r="C2753" s="8"/>
      <c r="D2753" s="14"/>
      <c r="E2753" s="22"/>
      <c r="F2753" s="10"/>
      <c r="G2753" s="11"/>
      <c r="H2753" s="6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</row>
    <row r="2754" ht="19.5" customHeight="1">
      <c r="A2754" s="8"/>
      <c r="B2754" s="13"/>
      <c r="C2754" s="8"/>
      <c r="D2754" s="14"/>
      <c r="E2754" s="22"/>
      <c r="F2754" s="10"/>
      <c r="G2754" s="11"/>
      <c r="H2754" s="6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</row>
    <row r="2755" ht="19.5" customHeight="1">
      <c r="A2755" s="8"/>
      <c r="B2755" s="13"/>
      <c r="C2755" s="8"/>
      <c r="D2755" s="14"/>
      <c r="E2755" s="22"/>
      <c r="F2755" s="10"/>
      <c r="G2755" s="11"/>
      <c r="H2755" s="6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</row>
    <row r="2756" ht="19.5" customHeight="1">
      <c r="A2756" s="8"/>
      <c r="B2756" s="13"/>
      <c r="C2756" s="8"/>
      <c r="D2756" s="14"/>
      <c r="E2756" s="22"/>
      <c r="F2756" s="10"/>
      <c r="G2756" s="11"/>
      <c r="H2756" s="6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</row>
    <row r="2757" ht="19.5" customHeight="1">
      <c r="A2757" s="8"/>
      <c r="B2757" s="13"/>
      <c r="C2757" s="8"/>
      <c r="D2757" s="14"/>
      <c r="E2757" s="22"/>
      <c r="F2757" s="10"/>
      <c r="G2757" s="11"/>
      <c r="H2757" s="6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</row>
    <row r="2758" ht="19.5" customHeight="1">
      <c r="A2758" s="8"/>
      <c r="B2758" s="13"/>
      <c r="C2758" s="8"/>
      <c r="D2758" s="14"/>
      <c r="E2758" s="22"/>
      <c r="F2758" s="10"/>
      <c r="G2758" s="11"/>
      <c r="H2758" s="6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</row>
    <row r="2759" ht="19.5" customHeight="1">
      <c r="A2759" s="8"/>
      <c r="B2759" s="13"/>
      <c r="C2759" s="8"/>
      <c r="D2759" s="14"/>
      <c r="E2759" s="22"/>
      <c r="F2759" s="10"/>
      <c r="G2759" s="11"/>
      <c r="H2759" s="6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</row>
    <row r="2760" ht="19.5" customHeight="1">
      <c r="A2760" s="8"/>
      <c r="B2760" s="13"/>
      <c r="C2760" s="8"/>
      <c r="D2760" s="14"/>
      <c r="E2760" s="22"/>
      <c r="F2760" s="10"/>
      <c r="G2760" s="11"/>
      <c r="H2760" s="6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</row>
    <row r="2761" ht="19.5" customHeight="1">
      <c r="A2761" s="8"/>
      <c r="B2761" s="13"/>
      <c r="C2761" s="8"/>
      <c r="D2761" s="14"/>
      <c r="E2761" s="22"/>
      <c r="F2761" s="10"/>
      <c r="G2761" s="11"/>
      <c r="H2761" s="6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</row>
    <row r="2762" ht="19.5" customHeight="1">
      <c r="A2762" s="8"/>
      <c r="B2762" s="13"/>
      <c r="C2762" s="8"/>
      <c r="D2762" s="14"/>
      <c r="E2762" s="22"/>
      <c r="F2762" s="10"/>
      <c r="G2762" s="11"/>
      <c r="H2762" s="6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</row>
    <row r="2763" ht="19.5" customHeight="1">
      <c r="A2763" s="8"/>
      <c r="B2763" s="13"/>
      <c r="C2763" s="8"/>
      <c r="D2763" s="14"/>
      <c r="E2763" s="22"/>
      <c r="F2763" s="10"/>
      <c r="G2763" s="11"/>
      <c r="H2763" s="6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</row>
    <row r="2764" ht="19.5" customHeight="1">
      <c r="A2764" s="8"/>
      <c r="B2764" s="13"/>
      <c r="C2764" s="8"/>
      <c r="D2764" s="14"/>
      <c r="E2764" s="22"/>
      <c r="F2764" s="10"/>
      <c r="G2764" s="11"/>
      <c r="H2764" s="6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</row>
    <row r="2765" ht="19.5" customHeight="1">
      <c r="A2765" s="8"/>
      <c r="B2765" s="13"/>
      <c r="C2765" s="8"/>
      <c r="D2765" s="14"/>
      <c r="E2765" s="22"/>
      <c r="F2765" s="10"/>
      <c r="G2765" s="11"/>
      <c r="H2765" s="6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8"/>
      <c r="AB2765" s="8"/>
    </row>
    <row r="2766" ht="19.5" customHeight="1">
      <c r="A2766" s="8"/>
      <c r="B2766" s="13"/>
      <c r="C2766" s="8"/>
      <c r="D2766" s="14"/>
      <c r="E2766" s="22"/>
      <c r="F2766" s="10"/>
      <c r="G2766" s="11"/>
      <c r="H2766" s="6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8"/>
      <c r="AB2766" s="8"/>
    </row>
    <row r="2767" ht="19.5" customHeight="1">
      <c r="A2767" s="8"/>
      <c r="B2767" s="13"/>
      <c r="C2767" s="8"/>
      <c r="D2767" s="14"/>
      <c r="E2767" s="22"/>
      <c r="F2767" s="10"/>
      <c r="G2767" s="11"/>
      <c r="H2767" s="6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</row>
    <row r="2768" ht="19.5" customHeight="1">
      <c r="A2768" s="8"/>
      <c r="B2768" s="13"/>
      <c r="C2768" s="8"/>
      <c r="D2768" s="14"/>
      <c r="E2768" s="22"/>
      <c r="F2768" s="10"/>
      <c r="G2768" s="11"/>
      <c r="H2768" s="6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</row>
    <row r="2769" ht="19.5" customHeight="1">
      <c r="A2769" s="8"/>
      <c r="B2769" s="13"/>
      <c r="C2769" s="8"/>
      <c r="D2769" s="14"/>
      <c r="E2769" s="22"/>
      <c r="F2769" s="10"/>
      <c r="G2769" s="11"/>
      <c r="H2769" s="6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</row>
    <row r="2770" ht="19.5" customHeight="1">
      <c r="A2770" s="8"/>
      <c r="B2770" s="13"/>
      <c r="C2770" s="8"/>
      <c r="D2770" s="14"/>
      <c r="E2770" s="22"/>
      <c r="F2770" s="10"/>
      <c r="G2770" s="11"/>
      <c r="H2770" s="6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</row>
    <row r="2771" ht="19.5" customHeight="1">
      <c r="A2771" s="8"/>
      <c r="B2771" s="13"/>
      <c r="C2771" s="8"/>
      <c r="D2771" s="14"/>
      <c r="E2771" s="22"/>
      <c r="F2771" s="10"/>
      <c r="G2771" s="11"/>
      <c r="H2771" s="6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</row>
    <row r="2772" ht="19.5" customHeight="1">
      <c r="A2772" s="8"/>
      <c r="B2772" s="13"/>
      <c r="C2772" s="8"/>
      <c r="D2772" s="14"/>
      <c r="E2772" s="22"/>
      <c r="F2772" s="10"/>
      <c r="G2772" s="11"/>
      <c r="H2772" s="6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</row>
    <row r="2773" ht="19.5" customHeight="1">
      <c r="A2773" s="8"/>
      <c r="B2773" s="13"/>
      <c r="C2773" s="8"/>
      <c r="D2773" s="14"/>
      <c r="E2773" s="22"/>
      <c r="F2773" s="10"/>
      <c r="G2773" s="11"/>
      <c r="H2773" s="6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</row>
    <row r="2774" ht="19.5" customHeight="1">
      <c r="A2774" s="8"/>
      <c r="B2774" s="13"/>
      <c r="C2774" s="8"/>
      <c r="D2774" s="14"/>
      <c r="E2774" s="22"/>
      <c r="F2774" s="10"/>
      <c r="G2774" s="11"/>
      <c r="H2774" s="6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</row>
    <row r="2775" ht="19.5" customHeight="1">
      <c r="A2775" s="8"/>
      <c r="B2775" s="13"/>
      <c r="C2775" s="8"/>
      <c r="D2775" s="14"/>
      <c r="E2775" s="22"/>
      <c r="F2775" s="10"/>
      <c r="G2775" s="11"/>
      <c r="H2775" s="6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</row>
    <row r="2776" ht="19.5" customHeight="1">
      <c r="A2776" s="8"/>
      <c r="B2776" s="13"/>
      <c r="C2776" s="8"/>
      <c r="D2776" s="14"/>
      <c r="E2776" s="22"/>
      <c r="F2776" s="10"/>
      <c r="G2776" s="11"/>
      <c r="H2776" s="6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</row>
    <row r="2777" ht="19.5" customHeight="1">
      <c r="A2777" s="8"/>
      <c r="B2777" s="13"/>
      <c r="C2777" s="8"/>
      <c r="D2777" s="14"/>
      <c r="E2777" s="22"/>
      <c r="F2777" s="10"/>
      <c r="G2777" s="11"/>
      <c r="H2777" s="6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</row>
    <row r="2778" ht="19.5" customHeight="1">
      <c r="A2778" s="8"/>
      <c r="B2778" s="13"/>
      <c r="C2778" s="8"/>
      <c r="D2778" s="14"/>
      <c r="E2778" s="22"/>
      <c r="F2778" s="10"/>
      <c r="G2778" s="11"/>
      <c r="H2778" s="6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</row>
    <row r="2779" ht="19.5" customHeight="1">
      <c r="A2779" s="8"/>
      <c r="B2779" s="13"/>
      <c r="C2779" s="8"/>
      <c r="D2779" s="14"/>
      <c r="E2779" s="22"/>
      <c r="F2779" s="10"/>
      <c r="G2779" s="11"/>
      <c r="H2779" s="6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</row>
    <row r="2780" ht="19.5" customHeight="1">
      <c r="A2780" s="8"/>
      <c r="B2780" s="13"/>
      <c r="C2780" s="8"/>
      <c r="D2780" s="14"/>
      <c r="E2780" s="22"/>
      <c r="F2780" s="10"/>
      <c r="G2780" s="11"/>
      <c r="H2780" s="6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  <c r="AA2780" s="8"/>
      <c r="AB2780" s="8"/>
    </row>
    <row r="2781" ht="19.5" customHeight="1">
      <c r="A2781" s="8"/>
      <c r="B2781" s="13"/>
      <c r="C2781" s="8"/>
      <c r="D2781" s="14"/>
      <c r="E2781" s="22"/>
      <c r="F2781" s="10"/>
      <c r="G2781" s="11"/>
      <c r="H2781" s="6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</row>
    <row r="2782" ht="19.5" customHeight="1">
      <c r="A2782" s="8"/>
      <c r="B2782" s="13"/>
      <c r="C2782" s="8"/>
      <c r="D2782" s="14"/>
      <c r="E2782" s="22"/>
      <c r="F2782" s="10"/>
      <c r="G2782" s="11"/>
      <c r="H2782" s="6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</row>
    <row r="2783" ht="19.5" customHeight="1">
      <c r="A2783" s="8"/>
      <c r="B2783" s="13"/>
      <c r="C2783" s="8"/>
      <c r="D2783" s="14"/>
      <c r="E2783" s="22"/>
      <c r="F2783" s="10"/>
      <c r="G2783" s="11"/>
      <c r="H2783" s="6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</row>
    <row r="2784" ht="19.5" customHeight="1">
      <c r="A2784" s="8"/>
      <c r="B2784" s="13"/>
      <c r="C2784" s="8"/>
      <c r="D2784" s="14"/>
      <c r="E2784" s="22"/>
      <c r="F2784" s="10"/>
      <c r="G2784" s="11"/>
      <c r="H2784" s="6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</row>
    <row r="2785" ht="19.5" customHeight="1">
      <c r="A2785" s="8"/>
      <c r="B2785" s="13"/>
      <c r="C2785" s="8"/>
      <c r="D2785" s="14"/>
      <c r="E2785" s="22"/>
      <c r="F2785" s="10"/>
      <c r="G2785" s="11"/>
      <c r="H2785" s="6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</row>
    <row r="2786" ht="19.5" customHeight="1">
      <c r="A2786" s="8"/>
      <c r="B2786" s="13"/>
      <c r="C2786" s="8"/>
      <c r="D2786" s="14"/>
      <c r="E2786" s="22"/>
      <c r="F2786" s="10"/>
      <c r="G2786" s="11"/>
      <c r="H2786" s="6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8"/>
      <c r="AB2786" s="8"/>
    </row>
    <row r="2787" ht="19.5" customHeight="1">
      <c r="A2787" s="8"/>
      <c r="B2787" s="13"/>
      <c r="C2787" s="8"/>
      <c r="D2787" s="14"/>
      <c r="E2787" s="22"/>
      <c r="F2787" s="10"/>
      <c r="G2787" s="11"/>
      <c r="H2787" s="6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  <c r="AB2787" s="8"/>
    </row>
    <row r="2788" ht="19.5" customHeight="1">
      <c r="A2788" s="8"/>
      <c r="B2788" s="13"/>
      <c r="C2788" s="8"/>
      <c r="D2788" s="14"/>
      <c r="E2788" s="22"/>
      <c r="F2788" s="10"/>
      <c r="G2788" s="11"/>
      <c r="H2788" s="6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</row>
    <row r="2789" ht="19.5" customHeight="1">
      <c r="A2789" s="8"/>
      <c r="B2789" s="13"/>
      <c r="C2789" s="8"/>
      <c r="D2789" s="14"/>
      <c r="E2789" s="22"/>
      <c r="F2789" s="10"/>
      <c r="G2789" s="11"/>
      <c r="H2789" s="6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</row>
    <row r="2790" ht="19.5" customHeight="1">
      <c r="A2790" s="8"/>
      <c r="B2790" s="13"/>
      <c r="C2790" s="8"/>
      <c r="D2790" s="14"/>
      <c r="E2790" s="22"/>
      <c r="F2790" s="10"/>
      <c r="G2790" s="11"/>
      <c r="H2790" s="6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</row>
    <row r="2791" ht="19.5" customHeight="1">
      <c r="A2791" s="8"/>
      <c r="B2791" s="13"/>
      <c r="C2791" s="8"/>
      <c r="D2791" s="14"/>
      <c r="E2791" s="22"/>
      <c r="F2791" s="10"/>
      <c r="G2791" s="11"/>
      <c r="H2791" s="6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</row>
    <row r="2792" ht="19.5" customHeight="1">
      <c r="A2792" s="8"/>
      <c r="B2792" s="13"/>
      <c r="C2792" s="8"/>
      <c r="D2792" s="14"/>
      <c r="E2792" s="22"/>
      <c r="F2792" s="10"/>
      <c r="G2792" s="11"/>
      <c r="H2792" s="6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</row>
    <row r="2793" ht="19.5" customHeight="1">
      <c r="A2793" s="8"/>
      <c r="B2793" s="13"/>
      <c r="C2793" s="8"/>
      <c r="D2793" s="14"/>
      <c r="E2793" s="22"/>
      <c r="F2793" s="10"/>
      <c r="G2793" s="11"/>
      <c r="H2793" s="6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</row>
    <row r="2794" ht="19.5" customHeight="1">
      <c r="A2794" s="8"/>
      <c r="B2794" s="13"/>
      <c r="C2794" s="8"/>
      <c r="D2794" s="14"/>
      <c r="E2794" s="22"/>
      <c r="F2794" s="10"/>
      <c r="G2794" s="11"/>
      <c r="H2794" s="6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</row>
    <row r="2795" ht="19.5" customHeight="1">
      <c r="A2795" s="8"/>
      <c r="B2795" s="13"/>
      <c r="C2795" s="8"/>
      <c r="D2795" s="14"/>
      <c r="E2795" s="22"/>
      <c r="F2795" s="10"/>
      <c r="G2795" s="11"/>
      <c r="H2795" s="6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</row>
    <row r="2796" ht="19.5" customHeight="1">
      <c r="A2796" s="8"/>
      <c r="B2796" s="13"/>
      <c r="C2796" s="8"/>
      <c r="D2796" s="14"/>
      <c r="E2796" s="22"/>
      <c r="F2796" s="10"/>
      <c r="G2796" s="11"/>
      <c r="H2796" s="6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</row>
    <row r="2797" ht="19.5" customHeight="1">
      <c r="A2797" s="8"/>
      <c r="B2797" s="13"/>
      <c r="C2797" s="8"/>
      <c r="D2797" s="14"/>
      <c r="E2797" s="22"/>
      <c r="F2797" s="10"/>
      <c r="G2797" s="11"/>
      <c r="H2797" s="6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</row>
    <row r="2798" ht="19.5" customHeight="1">
      <c r="A2798" s="8"/>
      <c r="B2798" s="13"/>
      <c r="C2798" s="8"/>
      <c r="D2798" s="14"/>
      <c r="E2798" s="22"/>
      <c r="F2798" s="10"/>
      <c r="G2798" s="11"/>
      <c r="H2798" s="6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</row>
    <row r="2799" ht="19.5" customHeight="1">
      <c r="A2799" s="8"/>
      <c r="B2799" s="13"/>
      <c r="C2799" s="8"/>
      <c r="D2799" s="14"/>
      <c r="E2799" s="22"/>
      <c r="F2799" s="10"/>
      <c r="G2799" s="11"/>
      <c r="H2799" s="6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</row>
    <row r="2800" ht="19.5" customHeight="1">
      <c r="A2800" s="8"/>
      <c r="B2800" s="13"/>
      <c r="C2800" s="8"/>
      <c r="D2800" s="14"/>
      <c r="E2800" s="22"/>
      <c r="F2800" s="10"/>
      <c r="G2800" s="11"/>
      <c r="H2800" s="6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</row>
    <row r="2801" ht="19.5" customHeight="1">
      <c r="A2801" s="8"/>
      <c r="B2801" s="13"/>
      <c r="C2801" s="8"/>
      <c r="D2801" s="14"/>
      <c r="E2801" s="22"/>
      <c r="F2801" s="10"/>
      <c r="G2801" s="11"/>
      <c r="H2801" s="6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</row>
    <row r="2802" ht="19.5" customHeight="1">
      <c r="A2802" s="8"/>
      <c r="B2802" s="13"/>
      <c r="C2802" s="8"/>
      <c r="D2802" s="14"/>
      <c r="E2802" s="22"/>
      <c r="F2802" s="10"/>
      <c r="G2802" s="11"/>
      <c r="H2802" s="6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</row>
    <row r="2803" ht="19.5" customHeight="1">
      <c r="A2803" s="8"/>
      <c r="B2803" s="13"/>
      <c r="C2803" s="8"/>
      <c r="D2803" s="14"/>
      <c r="E2803" s="22"/>
      <c r="F2803" s="10"/>
      <c r="G2803" s="11"/>
      <c r="H2803" s="6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</row>
    <row r="2804" ht="19.5" customHeight="1">
      <c r="A2804" s="8"/>
      <c r="B2804" s="13"/>
      <c r="C2804" s="8"/>
      <c r="D2804" s="14"/>
      <c r="E2804" s="22"/>
      <c r="F2804" s="10"/>
      <c r="G2804" s="11"/>
      <c r="H2804" s="6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</row>
    <row r="2805" ht="19.5" customHeight="1">
      <c r="A2805" s="8"/>
      <c r="B2805" s="13"/>
      <c r="C2805" s="8"/>
      <c r="D2805" s="14"/>
      <c r="E2805" s="22"/>
      <c r="F2805" s="10"/>
      <c r="G2805" s="11"/>
      <c r="H2805" s="6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</row>
    <row r="2806" ht="19.5" customHeight="1">
      <c r="A2806" s="8"/>
      <c r="B2806" s="13"/>
      <c r="C2806" s="8"/>
      <c r="D2806" s="14"/>
      <c r="E2806" s="22"/>
      <c r="F2806" s="10"/>
      <c r="G2806" s="11"/>
      <c r="H2806" s="6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</row>
    <row r="2807" ht="19.5" customHeight="1">
      <c r="A2807" s="8"/>
      <c r="B2807" s="13"/>
      <c r="C2807" s="8"/>
      <c r="D2807" s="14"/>
      <c r="E2807" s="22"/>
      <c r="F2807" s="10"/>
      <c r="G2807" s="11"/>
      <c r="H2807" s="6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</row>
    <row r="2808" ht="19.5" customHeight="1">
      <c r="A2808" s="8"/>
      <c r="B2808" s="13"/>
      <c r="C2808" s="8"/>
      <c r="D2808" s="14"/>
      <c r="E2808" s="22"/>
      <c r="F2808" s="10"/>
      <c r="G2808" s="11"/>
      <c r="H2808" s="6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</row>
    <row r="2809" ht="19.5" customHeight="1">
      <c r="A2809" s="8"/>
      <c r="B2809" s="13"/>
      <c r="C2809" s="8"/>
      <c r="D2809" s="14"/>
      <c r="E2809" s="22"/>
      <c r="F2809" s="10"/>
      <c r="G2809" s="11"/>
      <c r="H2809" s="6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</row>
    <row r="2810" ht="19.5" customHeight="1">
      <c r="A2810" s="8"/>
      <c r="B2810" s="13"/>
      <c r="C2810" s="8"/>
      <c r="D2810" s="14"/>
      <c r="E2810" s="22"/>
      <c r="F2810" s="10"/>
      <c r="G2810" s="11"/>
      <c r="H2810" s="6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</row>
    <row r="2811" ht="19.5" customHeight="1">
      <c r="A2811" s="8"/>
      <c r="B2811" s="13"/>
      <c r="C2811" s="8"/>
      <c r="D2811" s="14"/>
      <c r="E2811" s="22"/>
      <c r="F2811" s="10"/>
      <c r="G2811" s="11"/>
      <c r="H2811" s="6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8"/>
    </row>
    <row r="2812" ht="19.5" customHeight="1">
      <c r="A2812" s="8"/>
      <c r="B2812" s="13"/>
      <c r="C2812" s="8"/>
      <c r="D2812" s="14"/>
      <c r="E2812" s="22"/>
      <c r="F2812" s="10"/>
      <c r="G2812" s="11"/>
      <c r="H2812" s="6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8"/>
      <c r="AB2812" s="8"/>
    </row>
    <row r="2813" ht="19.5" customHeight="1">
      <c r="A2813" s="8"/>
      <c r="B2813" s="13"/>
      <c r="C2813" s="8"/>
      <c r="D2813" s="14"/>
      <c r="E2813" s="22"/>
      <c r="F2813" s="10"/>
      <c r="G2813" s="11"/>
      <c r="H2813" s="6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8"/>
      <c r="AB2813" s="8"/>
    </row>
    <row r="2814" ht="19.5" customHeight="1">
      <c r="A2814" s="8"/>
      <c r="B2814" s="13"/>
      <c r="C2814" s="8"/>
      <c r="D2814" s="14"/>
      <c r="E2814" s="22"/>
      <c r="F2814" s="10"/>
      <c r="G2814" s="11"/>
      <c r="H2814" s="6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  <c r="AA2814" s="8"/>
      <c r="AB2814" s="8"/>
    </row>
    <row r="2815" ht="19.5" customHeight="1">
      <c r="A2815" s="8"/>
      <c r="B2815" s="13"/>
      <c r="C2815" s="8"/>
      <c r="D2815" s="14"/>
      <c r="E2815" s="22"/>
      <c r="F2815" s="10"/>
      <c r="G2815" s="11"/>
      <c r="H2815" s="6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</row>
    <row r="2816" ht="19.5" customHeight="1">
      <c r="A2816" s="8"/>
      <c r="B2816" s="13"/>
      <c r="C2816" s="8"/>
      <c r="D2816" s="14"/>
      <c r="E2816" s="22"/>
      <c r="F2816" s="10"/>
      <c r="G2816" s="11"/>
      <c r="H2816" s="6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</row>
    <row r="2817" ht="19.5" customHeight="1">
      <c r="A2817" s="8"/>
      <c r="B2817" s="13"/>
      <c r="C2817" s="8"/>
      <c r="D2817" s="14"/>
      <c r="E2817" s="22"/>
      <c r="F2817" s="10"/>
      <c r="G2817" s="11"/>
      <c r="H2817" s="6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  <c r="AA2817" s="8"/>
      <c r="AB2817" s="8"/>
    </row>
    <row r="2818" ht="19.5" customHeight="1">
      <c r="A2818" s="8"/>
      <c r="B2818" s="13"/>
      <c r="C2818" s="8"/>
      <c r="D2818" s="14"/>
      <c r="E2818" s="22"/>
      <c r="F2818" s="10"/>
      <c r="G2818" s="11"/>
      <c r="H2818" s="6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</row>
    <row r="2819" ht="19.5" customHeight="1">
      <c r="A2819" s="8"/>
      <c r="B2819" s="13"/>
      <c r="C2819" s="8"/>
      <c r="D2819" s="14"/>
      <c r="E2819" s="22"/>
      <c r="F2819" s="10"/>
      <c r="G2819" s="11"/>
      <c r="H2819" s="6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</row>
    <row r="2820" ht="19.5" customHeight="1">
      <c r="A2820" s="8"/>
      <c r="B2820" s="13"/>
      <c r="C2820" s="8"/>
      <c r="D2820" s="14"/>
      <c r="E2820" s="22"/>
      <c r="F2820" s="10"/>
      <c r="G2820" s="11"/>
      <c r="H2820" s="6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</row>
    <row r="2821" ht="19.5" customHeight="1">
      <c r="A2821" s="8"/>
      <c r="B2821" s="13"/>
      <c r="C2821" s="8"/>
      <c r="D2821" s="14"/>
      <c r="E2821" s="22"/>
      <c r="F2821" s="10"/>
      <c r="G2821" s="11"/>
      <c r="H2821" s="6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</row>
    <row r="2822" ht="19.5" customHeight="1">
      <c r="A2822" s="8"/>
      <c r="B2822" s="13"/>
      <c r="C2822" s="8"/>
      <c r="D2822" s="14"/>
      <c r="E2822" s="22"/>
      <c r="F2822" s="10"/>
      <c r="G2822" s="11"/>
      <c r="H2822" s="6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</row>
    <row r="2823" ht="19.5" customHeight="1">
      <c r="A2823" s="8"/>
      <c r="B2823" s="13"/>
      <c r="C2823" s="8"/>
      <c r="D2823" s="14"/>
      <c r="E2823" s="22"/>
      <c r="F2823" s="10"/>
      <c r="G2823" s="11"/>
      <c r="H2823" s="6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</row>
    <row r="2824" ht="19.5" customHeight="1">
      <c r="A2824" s="8"/>
      <c r="B2824" s="13"/>
      <c r="C2824" s="8"/>
      <c r="D2824" s="14"/>
      <c r="E2824" s="22"/>
      <c r="F2824" s="10"/>
      <c r="G2824" s="11"/>
      <c r="H2824" s="6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</row>
    <row r="2825" ht="19.5" customHeight="1">
      <c r="A2825" s="8"/>
      <c r="B2825" s="13"/>
      <c r="C2825" s="8"/>
      <c r="D2825" s="14"/>
      <c r="E2825" s="22"/>
      <c r="F2825" s="10"/>
      <c r="G2825" s="11"/>
      <c r="H2825" s="6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</row>
    <row r="2826" ht="19.5" customHeight="1">
      <c r="A2826" s="8"/>
      <c r="B2826" s="13"/>
      <c r="C2826" s="8"/>
      <c r="D2826" s="14"/>
      <c r="E2826" s="22"/>
      <c r="F2826" s="10"/>
      <c r="G2826" s="11"/>
      <c r="H2826" s="6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</row>
    <row r="2827" ht="19.5" customHeight="1">
      <c r="A2827" s="8"/>
      <c r="B2827" s="13"/>
      <c r="C2827" s="8"/>
      <c r="D2827" s="14"/>
      <c r="E2827" s="22"/>
      <c r="F2827" s="10"/>
      <c r="G2827" s="11"/>
      <c r="H2827" s="6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</row>
    <row r="2828" ht="19.5" customHeight="1">
      <c r="A2828" s="8"/>
      <c r="B2828" s="13"/>
      <c r="C2828" s="8"/>
      <c r="D2828" s="14"/>
      <c r="E2828" s="22"/>
      <c r="F2828" s="10"/>
      <c r="G2828" s="11"/>
      <c r="H2828" s="6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</row>
    <row r="2829" ht="19.5" customHeight="1">
      <c r="A2829" s="8"/>
      <c r="B2829" s="13"/>
      <c r="C2829" s="8"/>
      <c r="D2829" s="14"/>
      <c r="E2829" s="22"/>
      <c r="F2829" s="10"/>
      <c r="G2829" s="11"/>
      <c r="H2829" s="6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</row>
    <row r="2830" ht="19.5" customHeight="1">
      <c r="A2830" s="8"/>
      <c r="B2830" s="13"/>
      <c r="C2830" s="8"/>
      <c r="D2830" s="14"/>
      <c r="E2830" s="22"/>
      <c r="F2830" s="10"/>
      <c r="G2830" s="11"/>
      <c r="H2830" s="6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</row>
    <row r="2831" ht="19.5" customHeight="1">
      <c r="A2831" s="8"/>
      <c r="B2831" s="13"/>
      <c r="C2831" s="8"/>
      <c r="D2831" s="14"/>
      <c r="E2831" s="22"/>
      <c r="F2831" s="10"/>
      <c r="G2831" s="11"/>
      <c r="H2831" s="6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</row>
    <row r="2832" ht="19.5" customHeight="1">
      <c r="A2832" s="8"/>
      <c r="B2832" s="13"/>
      <c r="C2832" s="8"/>
      <c r="D2832" s="14"/>
      <c r="E2832" s="22"/>
      <c r="F2832" s="10"/>
      <c r="G2832" s="11"/>
      <c r="H2832" s="6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</row>
    <row r="2833" ht="19.5" customHeight="1">
      <c r="A2833" s="8"/>
      <c r="B2833" s="13"/>
      <c r="C2833" s="8"/>
      <c r="D2833" s="14"/>
      <c r="E2833" s="22"/>
      <c r="F2833" s="10"/>
      <c r="G2833" s="11"/>
      <c r="H2833" s="6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</row>
    <row r="2834" ht="19.5" customHeight="1">
      <c r="A2834" s="8"/>
      <c r="B2834" s="13"/>
      <c r="C2834" s="8"/>
      <c r="D2834" s="14"/>
      <c r="E2834" s="22"/>
      <c r="F2834" s="10"/>
      <c r="G2834" s="11"/>
      <c r="H2834" s="6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</row>
    <row r="2835" ht="19.5" customHeight="1">
      <c r="A2835" s="8"/>
      <c r="B2835" s="13"/>
      <c r="C2835" s="8"/>
      <c r="D2835" s="14"/>
      <c r="E2835" s="22"/>
      <c r="F2835" s="10"/>
      <c r="G2835" s="11"/>
      <c r="H2835" s="6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</row>
    <row r="2836" ht="19.5" customHeight="1">
      <c r="A2836" s="8"/>
      <c r="B2836" s="13"/>
      <c r="C2836" s="8"/>
      <c r="D2836" s="14"/>
      <c r="E2836" s="22"/>
      <c r="F2836" s="10"/>
      <c r="G2836" s="11"/>
      <c r="H2836" s="6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</row>
    <row r="2837" ht="19.5" customHeight="1">
      <c r="A2837" s="8"/>
      <c r="B2837" s="13"/>
      <c r="C2837" s="8"/>
      <c r="D2837" s="14"/>
      <c r="E2837" s="22"/>
      <c r="F2837" s="10"/>
      <c r="G2837" s="11"/>
      <c r="H2837" s="6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</row>
    <row r="2838" ht="19.5" customHeight="1">
      <c r="A2838" s="8"/>
      <c r="B2838" s="13"/>
      <c r="C2838" s="8"/>
      <c r="D2838" s="14"/>
      <c r="E2838" s="22"/>
      <c r="F2838" s="10"/>
      <c r="G2838" s="11"/>
      <c r="H2838" s="6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</row>
    <row r="2839" ht="19.5" customHeight="1">
      <c r="A2839" s="8"/>
      <c r="B2839" s="13"/>
      <c r="C2839" s="8"/>
      <c r="D2839" s="14"/>
      <c r="E2839" s="22"/>
      <c r="F2839" s="10"/>
      <c r="G2839" s="11"/>
      <c r="H2839" s="6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</row>
    <row r="2840" ht="19.5" customHeight="1">
      <c r="A2840" s="8"/>
      <c r="B2840" s="13"/>
      <c r="C2840" s="8"/>
      <c r="D2840" s="14"/>
      <c r="E2840" s="22"/>
      <c r="F2840" s="10"/>
      <c r="G2840" s="11"/>
      <c r="H2840" s="6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</row>
    <row r="2841" ht="19.5" customHeight="1">
      <c r="A2841" s="8"/>
      <c r="B2841" s="13"/>
      <c r="C2841" s="8"/>
      <c r="D2841" s="14"/>
      <c r="E2841" s="22"/>
      <c r="F2841" s="10"/>
      <c r="G2841" s="11"/>
      <c r="H2841" s="6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  <c r="AA2841" s="8"/>
      <c r="AB2841" s="8"/>
    </row>
    <row r="2842" ht="19.5" customHeight="1">
      <c r="A2842" s="8"/>
      <c r="B2842" s="13"/>
      <c r="C2842" s="8"/>
      <c r="D2842" s="14"/>
      <c r="E2842" s="22"/>
      <c r="F2842" s="10"/>
      <c r="G2842" s="11"/>
      <c r="H2842" s="6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</row>
    <row r="2843" ht="19.5" customHeight="1">
      <c r="A2843" s="8"/>
      <c r="B2843" s="13"/>
      <c r="C2843" s="8"/>
      <c r="D2843" s="14"/>
      <c r="E2843" s="22"/>
      <c r="F2843" s="10"/>
      <c r="G2843" s="11"/>
      <c r="H2843" s="6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</row>
    <row r="2844" ht="19.5" customHeight="1">
      <c r="A2844" s="8"/>
      <c r="B2844" s="13"/>
      <c r="C2844" s="8"/>
      <c r="D2844" s="14"/>
      <c r="E2844" s="22"/>
      <c r="F2844" s="10"/>
      <c r="G2844" s="11"/>
      <c r="H2844" s="6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</row>
    <row r="2845" ht="19.5" customHeight="1">
      <c r="A2845" s="8"/>
      <c r="B2845" s="13"/>
      <c r="C2845" s="8"/>
      <c r="D2845" s="14"/>
      <c r="E2845" s="22"/>
      <c r="F2845" s="10"/>
      <c r="G2845" s="11"/>
      <c r="H2845" s="6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</row>
    <row r="2846" ht="19.5" customHeight="1">
      <c r="A2846" s="8"/>
      <c r="B2846" s="13"/>
      <c r="C2846" s="8"/>
      <c r="D2846" s="14"/>
      <c r="E2846" s="22"/>
      <c r="F2846" s="10"/>
      <c r="G2846" s="11"/>
      <c r="H2846" s="6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</row>
    <row r="2847" ht="19.5" customHeight="1">
      <c r="A2847" s="8"/>
      <c r="B2847" s="13"/>
      <c r="C2847" s="8"/>
      <c r="D2847" s="14"/>
      <c r="E2847" s="22"/>
      <c r="F2847" s="10"/>
      <c r="G2847" s="11"/>
      <c r="H2847" s="6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</row>
    <row r="2848" ht="19.5" customHeight="1">
      <c r="A2848" s="8"/>
      <c r="B2848" s="13"/>
      <c r="C2848" s="8"/>
      <c r="D2848" s="14"/>
      <c r="E2848" s="22"/>
      <c r="F2848" s="10"/>
      <c r="G2848" s="11"/>
      <c r="H2848" s="6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</row>
    <row r="2849" ht="19.5" customHeight="1">
      <c r="A2849" s="8"/>
      <c r="B2849" s="13"/>
      <c r="C2849" s="8"/>
      <c r="D2849" s="14"/>
      <c r="E2849" s="22"/>
      <c r="F2849" s="10"/>
      <c r="G2849" s="11"/>
      <c r="H2849" s="6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</row>
    <row r="2850" ht="19.5" customHeight="1">
      <c r="A2850" s="8"/>
      <c r="B2850" s="13"/>
      <c r="C2850" s="8"/>
      <c r="D2850" s="14"/>
      <c r="E2850" s="22"/>
      <c r="F2850" s="10"/>
      <c r="G2850" s="11"/>
      <c r="H2850" s="6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</row>
    <row r="2851" ht="19.5" customHeight="1">
      <c r="A2851" s="8"/>
      <c r="B2851" s="13"/>
      <c r="C2851" s="8"/>
      <c r="D2851" s="14"/>
      <c r="E2851" s="22"/>
      <c r="F2851" s="10"/>
      <c r="G2851" s="11"/>
      <c r="H2851" s="6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</row>
    <row r="2852" ht="19.5" customHeight="1">
      <c r="A2852" s="8"/>
      <c r="B2852" s="13"/>
      <c r="C2852" s="8"/>
      <c r="D2852" s="14"/>
      <c r="E2852" s="22"/>
      <c r="F2852" s="10"/>
      <c r="G2852" s="11"/>
      <c r="H2852" s="6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</row>
    <row r="2853" ht="19.5" customHeight="1">
      <c r="A2853" s="8"/>
      <c r="B2853" s="13"/>
      <c r="C2853" s="8"/>
      <c r="D2853" s="14"/>
      <c r="E2853" s="22"/>
      <c r="F2853" s="10"/>
      <c r="G2853" s="11"/>
      <c r="H2853" s="6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</row>
    <row r="2854" ht="19.5" customHeight="1">
      <c r="A2854" s="8"/>
      <c r="B2854" s="13"/>
      <c r="C2854" s="8"/>
      <c r="D2854" s="14"/>
      <c r="E2854" s="22"/>
      <c r="F2854" s="10"/>
      <c r="G2854" s="11"/>
      <c r="H2854" s="6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</row>
    <row r="2855" ht="19.5" customHeight="1">
      <c r="A2855" s="8"/>
      <c r="B2855" s="13"/>
      <c r="C2855" s="8"/>
      <c r="D2855" s="14"/>
      <c r="E2855" s="22"/>
      <c r="F2855" s="10"/>
      <c r="G2855" s="11"/>
      <c r="H2855" s="6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</row>
    <row r="2856" ht="19.5" customHeight="1">
      <c r="A2856" s="8"/>
      <c r="B2856" s="13"/>
      <c r="C2856" s="8"/>
      <c r="D2856" s="14"/>
      <c r="E2856" s="22"/>
      <c r="F2856" s="10"/>
      <c r="G2856" s="11"/>
      <c r="H2856" s="6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</row>
    <row r="2857" ht="19.5" customHeight="1">
      <c r="A2857" s="8"/>
      <c r="B2857" s="13"/>
      <c r="C2857" s="8"/>
      <c r="D2857" s="14"/>
      <c r="E2857" s="22"/>
      <c r="F2857" s="10"/>
      <c r="G2857" s="11"/>
      <c r="H2857" s="6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</row>
    <row r="2858" ht="19.5" customHeight="1">
      <c r="A2858" s="8"/>
      <c r="B2858" s="13"/>
      <c r="C2858" s="8"/>
      <c r="D2858" s="14"/>
      <c r="E2858" s="22"/>
      <c r="F2858" s="10"/>
      <c r="G2858" s="11"/>
      <c r="H2858" s="6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</row>
    <row r="2859" ht="19.5" customHeight="1">
      <c r="A2859" s="8"/>
      <c r="B2859" s="13"/>
      <c r="C2859" s="8"/>
      <c r="D2859" s="14"/>
      <c r="E2859" s="22"/>
      <c r="F2859" s="10"/>
      <c r="G2859" s="11"/>
      <c r="H2859" s="6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8"/>
      <c r="AB2859" s="8"/>
    </row>
    <row r="2860" ht="19.5" customHeight="1">
      <c r="A2860" s="8"/>
      <c r="B2860" s="13"/>
      <c r="C2860" s="8"/>
      <c r="D2860" s="14"/>
      <c r="E2860" s="22"/>
      <c r="F2860" s="10"/>
      <c r="G2860" s="11"/>
      <c r="H2860" s="6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</row>
    <row r="2861" ht="19.5" customHeight="1">
      <c r="A2861" s="8"/>
      <c r="B2861" s="13"/>
      <c r="C2861" s="8"/>
      <c r="D2861" s="14"/>
      <c r="E2861" s="22"/>
      <c r="F2861" s="10"/>
      <c r="G2861" s="11"/>
      <c r="H2861" s="6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</row>
    <row r="2862" ht="19.5" customHeight="1">
      <c r="A2862" s="8"/>
      <c r="B2862" s="13"/>
      <c r="C2862" s="8"/>
      <c r="D2862" s="14"/>
      <c r="E2862" s="22"/>
      <c r="F2862" s="10"/>
      <c r="G2862" s="11"/>
      <c r="H2862" s="6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</row>
    <row r="2863" ht="19.5" customHeight="1">
      <c r="A2863" s="8"/>
      <c r="B2863" s="13"/>
      <c r="C2863" s="8"/>
      <c r="D2863" s="14"/>
      <c r="E2863" s="22"/>
      <c r="F2863" s="10"/>
      <c r="G2863" s="11"/>
      <c r="H2863" s="6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</row>
    <row r="2864" ht="19.5" customHeight="1">
      <c r="A2864" s="8"/>
      <c r="B2864" s="13"/>
      <c r="C2864" s="8"/>
      <c r="D2864" s="14"/>
      <c r="E2864" s="22"/>
      <c r="F2864" s="10"/>
      <c r="G2864" s="11"/>
      <c r="H2864" s="6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</row>
    <row r="2865" ht="19.5" customHeight="1">
      <c r="A2865" s="8"/>
      <c r="B2865" s="13"/>
      <c r="C2865" s="8"/>
      <c r="D2865" s="14"/>
      <c r="E2865" s="22"/>
      <c r="F2865" s="10"/>
      <c r="G2865" s="11"/>
      <c r="H2865" s="6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</row>
    <row r="2866" ht="19.5" customHeight="1">
      <c r="A2866" s="8"/>
      <c r="B2866" s="13"/>
      <c r="C2866" s="8"/>
      <c r="D2866" s="14"/>
      <c r="E2866" s="22"/>
      <c r="F2866" s="10"/>
      <c r="G2866" s="11"/>
      <c r="H2866" s="6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</row>
    <row r="2867" ht="19.5" customHeight="1">
      <c r="A2867" s="8"/>
      <c r="B2867" s="13"/>
      <c r="C2867" s="8"/>
      <c r="D2867" s="14"/>
      <c r="E2867" s="22"/>
      <c r="F2867" s="10"/>
      <c r="G2867" s="11"/>
      <c r="H2867" s="6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</row>
    <row r="2868" ht="19.5" customHeight="1">
      <c r="A2868" s="8"/>
      <c r="B2868" s="13"/>
      <c r="C2868" s="8"/>
      <c r="D2868" s="14"/>
      <c r="E2868" s="22"/>
      <c r="F2868" s="10"/>
      <c r="G2868" s="11"/>
      <c r="H2868" s="6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</row>
    <row r="2869" ht="19.5" customHeight="1">
      <c r="A2869" s="8"/>
      <c r="B2869" s="13"/>
      <c r="C2869" s="8"/>
      <c r="D2869" s="14"/>
      <c r="E2869" s="22"/>
      <c r="F2869" s="10"/>
      <c r="G2869" s="11"/>
      <c r="H2869" s="6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</row>
    <row r="2870" ht="19.5" customHeight="1">
      <c r="A2870" s="8"/>
      <c r="B2870" s="13"/>
      <c r="C2870" s="8"/>
      <c r="D2870" s="14"/>
      <c r="E2870" s="22"/>
      <c r="F2870" s="10"/>
      <c r="G2870" s="11"/>
      <c r="H2870" s="6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  <c r="AA2870" s="8"/>
      <c r="AB2870" s="8"/>
    </row>
    <row r="2871" ht="19.5" customHeight="1">
      <c r="A2871" s="8"/>
      <c r="B2871" s="13"/>
      <c r="C2871" s="8"/>
      <c r="D2871" s="14"/>
      <c r="E2871" s="22"/>
      <c r="F2871" s="10"/>
      <c r="G2871" s="11"/>
      <c r="H2871" s="6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</row>
    <row r="2872" ht="19.5" customHeight="1">
      <c r="A2872" s="8"/>
      <c r="B2872" s="13"/>
      <c r="C2872" s="8"/>
      <c r="D2872" s="14"/>
      <c r="E2872" s="22"/>
      <c r="F2872" s="10"/>
      <c r="G2872" s="11"/>
      <c r="H2872" s="6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8"/>
    </row>
    <row r="2873" ht="19.5" customHeight="1">
      <c r="A2873" s="8"/>
      <c r="B2873" s="13"/>
      <c r="C2873" s="8"/>
      <c r="D2873" s="14"/>
      <c r="E2873" s="22"/>
      <c r="F2873" s="10"/>
      <c r="G2873" s="11"/>
      <c r="H2873" s="6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  <c r="AA2873" s="8"/>
      <c r="AB2873" s="8"/>
    </row>
    <row r="2874" ht="19.5" customHeight="1">
      <c r="A2874" s="8"/>
      <c r="B2874" s="13"/>
      <c r="C2874" s="8"/>
      <c r="D2874" s="14"/>
      <c r="E2874" s="22"/>
      <c r="F2874" s="10"/>
      <c r="G2874" s="11"/>
      <c r="H2874" s="6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</row>
    <row r="2875" ht="19.5" customHeight="1">
      <c r="A2875" s="8"/>
      <c r="B2875" s="13"/>
      <c r="C2875" s="8"/>
      <c r="D2875" s="14"/>
      <c r="E2875" s="22"/>
      <c r="F2875" s="10"/>
      <c r="G2875" s="11"/>
      <c r="H2875" s="6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8"/>
      <c r="AB2875" s="8"/>
    </row>
    <row r="2876" ht="19.5" customHeight="1">
      <c r="A2876" s="8"/>
      <c r="B2876" s="13"/>
      <c r="C2876" s="8"/>
      <c r="D2876" s="14"/>
      <c r="E2876" s="22"/>
      <c r="F2876" s="10"/>
      <c r="G2876" s="11"/>
      <c r="H2876" s="6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  <c r="AA2876" s="8"/>
      <c r="AB2876" s="8"/>
    </row>
    <row r="2877" ht="19.5" customHeight="1">
      <c r="A2877" s="8"/>
      <c r="B2877" s="13"/>
      <c r="C2877" s="8"/>
      <c r="D2877" s="14"/>
      <c r="E2877" s="22"/>
      <c r="F2877" s="10"/>
      <c r="G2877" s="11"/>
      <c r="H2877" s="6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</row>
    <row r="2878" ht="19.5" customHeight="1">
      <c r="A2878" s="8"/>
      <c r="B2878" s="13"/>
      <c r="C2878" s="8"/>
      <c r="D2878" s="14"/>
      <c r="E2878" s="22"/>
      <c r="F2878" s="10"/>
      <c r="G2878" s="11"/>
      <c r="H2878" s="6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8"/>
      <c r="AB2878" s="8"/>
    </row>
    <row r="2879" ht="19.5" customHeight="1">
      <c r="A2879" s="8"/>
      <c r="B2879" s="13"/>
      <c r="C2879" s="8"/>
      <c r="D2879" s="14"/>
      <c r="E2879" s="22"/>
      <c r="F2879" s="10"/>
      <c r="G2879" s="11"/>
      <c r="H2879" s="6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  <c r="AA2879" s="8"/>
      <c r="AB2879" s="8"/>
    </row>
    <row r="2880" ht="19.5" customHeight="1">
      <c r="A2880" s="8"/>
      <c r="B2880" s="13"/>
      <c r="C2880" s="8"/>
      <c r="D2880" s="14"/>
      <c r="E2880" s="22"/>
      <c r="F2880" s="10"/>
      <c r="G2880" s="11"/>
      <c r="H2880" s="6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</row>
    <row r="2881" ht="19.5" customHeight="1">
      <c r="A2881" s="8"/>
      <c r="B2881" s="13"/>
      <c r="C2881" s="8"/>
      <c r="D2881" s="14"/>
      <c r="E2881" s="22"/>
      <c r="F2881" s="10"/>
      <c r="G2881" s="11"/>
      <c r="H2881" s="6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</row>
    <row r="2882" ht="19.5" customHeight="1">
      <c r="A2882" s="8"/>
      <c r="B2882" s="13"/>
      <c r="C2882" s="8"/>
      <c r="D2882" s="14"/>
      <c r="E2882" s="22"/>
      <c r="F2882" s="10"/>
      <c r="G2882" s="11"/>
      <c r="H2882" s="6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</row>
    <row r="2883" ht="19.5" customHeight="1">
      <c r="A2883" s="8"/>
      <c r="B2883" s="13"/>
      <c r="C2883" s="8"/>
      <c r="D2883" s="14"/>
      <c r="E2883" s="22"/>
      <c r="F2883" s="10"/>
      <c r="G2883" s="11"/>
      <c r="H2883" s="6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</row>
    <row r="2884" ht="19.5" customHeight="1">
      <c r="A2884" s="8"/>
      <c r="B2884" s="13"/>
      <c r="C2884" s="8"/>
      <c r="D2884" s="14"/>
      <c r="E2884" s="22"/>
      <c r="F2884" s="10"/>
      <c r="G2884" s="11"/>
      <c r="H2884" s="6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</row>
    <row r="2885" ht="19.5" customHeight="1">
      <c r="A2885" s="8"/>
      <c r="B2885" s="13"/>
      <c r="C2885" s="8"/>
      <c r="D2885" s="14"/>
      <c r="E2885" s="22"/>
      <c r="F2885" s="10"/>
      <c r="G2885" s="11"/>
      <c r="H2885" s="6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</row>
    <row r="2886" ht="19.5" customHeight="1">
      <c r="A2886" s="8"/>
      <c r="B2886" s="13"/>
      <c r="C2886" s="8"/>
      <c r="D2886" s="14"/>
      <c r="E2886" s="22"/>
      <c r="F2886" s="10"/>
      <c r="G2886" s="11"/>
      <c r="H2886" s="6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8"/>
      <c r="AB2886" s="8"/>
    </row>
    <row r="2887" ht="19.5" customHeight="1">
      <c r="A2887" s="8"/>
      <c r="B2887" s="13"/>
      <c r="C2887" s="8"/>
      <c r="D2887" s="14"/>
      <c r="E2887" s="22"/>
      <c r="F2887" s="10"/>
      <c r="G2887" s="11"/>
      <c r="H2887" s="6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</row>
    <row r="2888" ht="19.5" customHeight="1">
      <c r="A2888" s="8"/>
      <c r="B2888" s="13"/>
      <c r="C2888" s="8"/>
      <c r="D2888" s="14"/>
      <c r="E2888" s="22"/>
      <c r="F2888" s="10"/>
      <c r="G2888" s="11"/>
      <c r="H2888" s="6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  <c r="AA2888" s="8"/>
      <c r="AB2888" s="8"/>
    </row>
    <row r="2889" ht="19.5" customHeight="1">
      <c r="A2889" s="8"/>
      <c r="B2889" s="13"/>
      <c r="C2889" s="8"/>
      <c r="D2889" s="14"/>
      <c r="E2889" s="22"/>
      <c r="F2889" s="10"/>
      <c r="G2889" s="11"/>
      <c r="H2889" s="6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</row>
    <row r="2890" ht="19.5" customHeight="1">
      <c r="A2890" s="8"/>
      <c r="B2890" s="13"/>
      <c r="C2890" s="8"/>
      <c r="D2890" s="14"/>
      <c r="E2890" s="22"/>
      <c r="F2890" s="10"/>
      <c r="G2890" s="11"/>
      <c r="H2890" s="6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</row>
    <row r="2891" ht="19.5" customHeight="1">
      <c r="A2891" s="8"/>
      <c r="B2891" s="13"/>
      <c r="C2891" s="8"/>
      <c r="D2891" s="14"/>
      <c r="E2891" s="22"/>
      <c r="F2891" s="10"/>
      <c r="G2891" s="11"/>
      <c r="H2891" s="6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</row>
    <row r="2892" ht="19.5" customHeight="1">
      <c r="A2892" s="8"/>
      <c r="B2892" s="13"/>
      <c r="C2892" s="8"/>
      <c r="D2892" s="14"/>
      <c r="E2892" s="22"/>
      <c r="F2892" s="10"/>
      <c r="G2892" s="11"/>
      <c r="H2892" s="6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</row>
    <row r="2893" ht="19.5" customHeight="1">
      <c r="A2893" s="8"/>
      <c r="B2893" s="13"/>
      <c r="C2893" s="8"/>
      <c r="D2893" s="14"/>
      <c r="E2893" s="22"/>
      <c r="F2893" s="10"/>
      <c r="G2893" s="11"/>
      <c r="H2893" s="6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</row>
    <row r="2894" ht="19.5" customHeight="1">
      <c r="A2894" s="8"/>
      <c r="B2894" s="13"/>
      <c r="C2894" s="8"/>
      <c r="D2894" s="14"/>
      <c r="E2894" s="22"/>
      <c r="F2894" s="10"/>
      <c r="G2894" s="11"/>
      <c r="H2894" s="6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8"/>
      <c r="AB2894" s="8"/>
    </row>
    <row r="2895" ht="19.5" customHeight="1">
      <c r="A2895" s="8"/>
      <c r="B2895" s="13"/>
      <c r="C2895" s="8"/>
      <c r="D2895" s="14"/>
      <c r="E2895" s="22"/>
      <c r="F2895" s="10"/>
      <c r="G2895" s="11"/>
      <c r="H2895" s="6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8"/>
      <c r="AB2895" s="8"/>
    </row>
    <row r="2896" ht="19.5" customHeight="1">
      <c r="A2896" s="8"/>
      <c r="B2896" s="13"/>
      <c r="C2896" s="8"/>
      <c r="D2896" s="14"/>
      <c r="E2896" s="22"/>
      <c r="F2896" s="10"/>
      <c r="G2896" s="11"/>
      <c r="H2896" s="6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</row>
    <row r="2897" ht="19.5" customHeight="1">
      <c r="A2897" s="8"/>
      <c r="B2897" s="13"/>
      <c r="C2897" s="8"/>
      <c r="D2897" s="14"/>
      <c r="E2897" s="22"/>
      <c r="F2897" s="10"/>
      <c r="G2897" s="11"/>
      <c r="H2897" s="6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</row>
    <row r="2898" ht="19.5" customHeight="1">
      <c r="A2898" s="8"/>
      <c r="B2898" s="13"/>
      <c r="C2898" s="8"/>
      <c r="D2898" s="14"/>
      <c r="E2898" s="22"/>
      <c r="F2898" s="10"/>
      <c r="G2898" s="11"/>
      <c r="H2898" s="6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8"/>
      <c r="AB2898" s="8"/>
    </row>
    <row r="2899" ht="19.5" customHeight="1">
      <c r="A2899" s="8"/>
      <c r="B2899" s="13"/>
      <c r="C2899" s="8"/>
      <c r="D2899" s="14"/>
      <c r="E2899" s="22"/>
      <c r="F2899" s="10"/>
      <c r="G2899" s="11"/>
      <c r="H2899" s="6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</row>
    <row r="2900" ht="19.5" customHeight="1">
      <c r="A2900" s="8"/>
      <c r="B2900" s="13"/>
      <c r="C2900" s="8"/>
      <c r="D2900" s="14"/>
      <c r="E2900" s="22"/>
      <c r="F2900" s="10"/>
      <c r="G2900" s="11"/>
      <c r="H2900" s="6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</row>
    <row r="2901" ht="19.5" customHeight="1">
      <c r="A2901" s="8"/>
      <c r="B2901" s="13"/>
      <c r="C2901" s="8"/>
      <c r="D2901" s="14"/>
      <c r="E2901" s="22"/>
      <c r="F2901" s="10"/>
      <c r="G2901" s="11"/>
      <c r="H2901" s="6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</row>
    <row r="2902" ht="19.5" customHeight="1">
      <c r="A2902" s="8"/>
      <c r="B2902" s="13"/>
      <c r="C2902" s="8"/>
      <c r="D2902" s="14"/>
      <c r="E2902" s="22"/>
      <c r="F2902" s="10"/>
      <c r="G2902" s="11"/>
      <c r="H2902" s="6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</row>
    <row r="2903" ht="19.5" customHeight="1">
      <c r="A2903" s="8"/>
      <c r="B2903" s="13"/>
      <c r="C2903" s="8"/>
      <c r="D2903" s="14"/>
      <c r="E2903" s="22"/>
      <c r="F2903" s="10"/>
      <c r="G2903" s="11"/>
      <c r="H2903" s="6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</row>
    <row r="2904" ht="19.5" customHeight="1">
      <c r="A2904" s="8"/>
      <c r="B2904" s="13"/>
      <c r="C2904" s="8"/>
      <c r="D2904" s="14"/>
      <c r="E2904" s="22"/>
      <c r="F2904" s="10"/>
      <c r="G2904" s="11"/>
      <c r="H2904" s="6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8"/>
      <c r="AB2904" s="8"/>
    </row>
    <row r="2905" ht="19.5" customHeight="1">
      <c r="A2905" s="8"/>
      <c r="B2905" s="13"/>
      <c r="C2905" s="8"/>
      <c r="D2905" s="14"/>
      <c r="E2905" s="22"/>
      <c r="F2905" s="10"/>
      <c r="G2905" s="11"/>
      <c r="H2905" s="6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</row>
    <row r="2906" ht="19.5" customHeight="1">
      <c r="A2906" s="8"/>
      <c r="B2906" s="13"/>
      <c r="C2906" s="8"/>
      <c r="D2906" s="14"/>
      <c r="E2906" s="22"/>
      <c r="F2906" s="10"/>
      <c r="G2906" s="11"/>
      <c r="H2906" s="6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8"/>
      <c r="AB2906" s="8"/>
    </row>
    <row r="2907" ht="19.5" customHeight="1">
      <c r="A2907" s="8"/>
      <c r="B2907" s="13"/>
      <c r="C2907" s="8"/>
      <c r="D2907" s="14"/>
      <c r="E2907" s="22"/>
      <c r="F2907" s="10"/>
      <c r="G2907" s="11"/>
      <c r="H2907" s="6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8"/>
      <c r="AB2907" s="8"/>
    </row>
    <row r="2908" ht="19.5" customHeight="1">
      <c r="A2908" s="8"/>
      <c r="B2908" s="13"/>
      <c r="C2908" s="8"/>
      <c r="D2908" s="14"/>
      <c r="E2908" s="22"/>
      <c r="F2908" s="10"/>
      <c r="G2908" s="11"/>
      <c r="H2908" s="6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</row>
    <row r="2909" ht="19.5" customHeight="1">
      <c r="A2909" s="8"/>
      <c r="B2909" s="13"/>
      <c r="C2909" s="8"/>
      <c r="D2909" s="14"/>
      <c r="E2909" s="22"/>
      <c r="F2909" s="10"/>
      <c r="G2909" s="11"/>
      <c r="H2909" s="6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</row>
    <row r="2910" ht="19.5" customHeight="1">
      <c r="A2910" s="8"/>
      <c r="B2910" s="13"/>
      <c r="C2910" s="8"/>
      <c r="D2910" s="14"/>
      <c r="E2910" s="22"/>
      <c r="F2910" s="10"/>
      <c r="G2910" s="11"/>
      <c r="H2910" s="6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</row>
    <row r="2911" ht="19.5" customHeight="1">
      <c r="A2911" s="8"/>
      <c r="B2911" s="13"/>
      <c r="C2911" s="8"/>
      <c r="D2911" s="14"/>
      <c r="E2911" s="22"/>
      <c r="F2911" s="10"/>
      <c r="G2911" s="11"/>
      <c r="H2911" s="6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</row>
    <row r="2912" ht="19.5" customHeight="1">
      <c r="A2912" s="8"/>
      <c r="B2912" s="13"/>
      <c r="C2912" s="8"/>
      <c r="D2912" s="14"/>
      <c r="E2912" s="22"/>
      <c r="F2912" s="10"/>
      <c r="G2912" s="11"/>
      <c r="H2912" s="6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8"/>
      <c r="AB2912" s="8"/>
    </row>
    <row r="2913" ht="19.5" customHeight="1">
      <c r="A2913" s="8"/>
      <c r="B2913" s="13"/>
      <c r="C2913" s="8"/>
      <c r="D2913" s="14"/>
      <c r="E2913" s="22"/>
      <c r="F2913" s="10"/>
      <c r="G2913" s="11"/>
      <c r="H2913" s="6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</row>
    <row r="2914" ht="19.5" customHeight="1">
      <c r="A2914" s="8"/>
      <c r="B2914" s="13"/>
      <c r="C2914" s="8"/>
      <c r="D2914" s="14"/>
      <c r="E2914" s="22"/>
      <c r="F2914" s="10"/>
      <c r="G2914" s="11"/>
      <c r="H2914" s="6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</row>
    <row r="2915" ht="19.5" customHeight="1">
      <c r="A2915" s="8"/>
      <c r="B2915" s="13"/>
      <c r="C2915" s="8"/>
      <c r="D2915" s="14"/>
      <c r="E2915" s="22"/>
      <c r="F2915" s="10"/>
      <c r="G2915" s="11"/>
      <c r="H2915" s="6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</row>
    <row r="2916" ht="19.5" customHeight="1">
      <c r="A2916" s="8"/>
      <c r="B2916" s="13"/>
      <c r="C2916" s="8"/>
      <c r="D2916" s="14"/>
      <c r="E2916" s="22"/>
      <c r="F2916" s="10"/>
      <c r="G2916" s="11"/>
      <c r="H2916" s="6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</row>
    <row r="2917" ht="19.5" customHeight="1">
      <c r="A2917" s="8"/>
      <c r="B2917" s="13"/>
      <c r="C2917" s="8"/>
      <c r="D2917" s="14"/>
      <c r="E2917" s="22"/>
      <c r="F2917" s="10"/>
      <c r="G2917" s="11"/>
      <c r="H2917" s="6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</row>
    <row r="2918" ht="19.5" customHeight="1">
      <c r="A2918" s="8"/>
      <c r="B2918" s="13"/>
      <c r="C2918" s="8"/>
      <c r="D2918" s="14"/>
      <c r="E2918" s="22"/>
      <c r="F2918" s="10"/>
      <c r="G2918" s="11"/>
      <c r="H2918" s="6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</row>
    <row r="2919" ht="19.5" customHeight="1">
      <c r="A2919" s="8"/>
      <c r="B2919" s="13"/>
      <c r="C2919" s="8"/>
      <c r="D2919" s="14"/>
      <c r="E2919" s="22"/>
      <c r="F2919" s="10"/>
      <c r="G2919" s="11"/>
      <c r="H2919" s="6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</row>
    <row r="2920" ht="19.5" customHeight="1">
      <c r="A2920" s="8"/>
      <c r="B2920" s="13"/>
      <c r="C2920" s="8"/>
      <c r="D2920" s="14"/>
      <c r="E2920" s="22"/>
      <c r="F2920" s="10"/>
      <c r="G2920" s="11"/>
      <c r="H2920" s="6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</row>
    <row r="2921" ht="19.5" customHeight="1">
      <c r="A2921" s="8"/>
      <c r="B2921" s="13"/>
      <c r="C2921" s="8"/>
      <c r="D2921" s="14"/>
      <c r="E2921" s="22"/>
      <c r="F2921" s="10"/>
      <c r="G2921" s="11"/>
      <c r="H2921" s="6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</row>
    <row r="2922" ht="19.5" customHeight="1">
      <c r="A2922" s="8"/>
      <c r="B2922" s="13"/>
      <c r="C2922" s="8"/>
      <c r="D2922" s="14"/>
      <c r="E2922" s="22"/>
      <c r="F2922" s="10"/>
      <c r="G2922" s="11"/>
      <c r="H2922" s="6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</row>
    <row r="2923" ht="19.5" customHeight="1">
      <c r="A2923" s="8"/>
      <c r="B2923" s="13"/>
      <c r="C2923" s="8"/>
      <c r="D2923" s="14"/>
      <c r="E2923" s="22"/>
      <c r="F2923" s="10"/>
      <c r="G2923" s="11"/>
      <c r="H2923" s="6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</row>
    <row r="2924" ht="19.5" customHeight="1">
      <c r="A2924" s="8"/>
      <c r="B2924" s="13"/>
      <c r="C2924" s="8"/>
      <c r="D2924" s="14"/>
      <c r="E2924" s="22"/>
      <c r="F2924" s="10"/>
      <c r="G2924" s="11"/>
      <c r="H2924" s="6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</row>
    <row r="2925" ht="19.5" customHeight="1">
      <c r="A2925" s="8"/>
      <c r="B2925" s="13"/>
      <c r="C2925" s="8"/>
      <c r="D2925" s="14"/>
      <c r="E2925" s="22"/>
      <c r="F2925" s="10"/>
      <c r="G2925" s="11"/>
      <c r="H2925" s="6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</row>
    <row r="2926" ht="19.5" customHeight="1">
      <c r="A2926" s="8"/>
      <c r="B2926" s="13"/>
      <c r="C2926" s="8"/>
      <c r="D2926" s="14"/>
      <c r="E2926" s="22"/>
      <c r="F2926" s="10"/>
      <c r="G2926" s="11"/>
      <c r="H2926" s="6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</row>
    <row r="2927" ht="19.5" customHeight="1">
      <c r="A2927" s="8"/>
      <c r="B2927" s="13"/>
      <c r="C2927" s="8"/>
      <c r="D2927" s="14"/>
      <c r="E2927" s="22"/>
      <c r="F2927" s="10"/>
      <c r="G2927" s="11"/>
      <c r="H2927" s="6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</row>
    <row r="2928" ht="19.5" customHeight="1">
      <c r="A2928" s="8"/>
      <c r="B2928" s="13"/>
      <c r="C2928" s="8"/>
      <c r="D2928" s="14"/>
      <c r="E2928" s="22"/>
      <c r="F2928" s="10"/>
      <c r="G2928" s="11"/>
      <c r="H2928" s="6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</row>
    <row r="2929" ht="19.5" customHeight="1">
      <c r="A2929" s="8"/>
      <c r="B2929" s="13"/>
      <c r="C2929" s="8"/>
      <c r="D2929" s="14"/>
      <c r="E2929" s="22"/>
      <c r="F2929" s="10"/>
      <c r="G2929" s="11"/>
      <c r="H2929" s="6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</row>
    <row r="2930" ht="19.5" customHeight="1">
      <c r="A2930" s="8"/>
      <c r="B2930" s="13"/>
      <c r="C2930" s="8"/>
      <c r="D2930" s="14"/>
      <c r="E2930" s="22"/>
      <c r="F2930" s="10"/>
      <c r="G2930" s="11"/>
      <c r="H2930" s="6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8"/>
      <c r="AB2930" s="8"/>
    </row>
    <row r="2931" ht="19.5" customHeight="1">
      <c r="A2931" s="8"/>
      <c r="B2931" s="13"/>
      <c r="C2931" s="8"/>
      <c r="D2931" s="14"/>
      <c r="E2931" s="22"/>
      <c r="F2931" s="10"/>
      <c r="G2931" s="11"/>
      <c r="H2931" s="6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8"/>
      <c r="AB2931" s="8"/>
    </row>
    <row r="2932" ht="19.5" customHeight="1">
      <c r="A2932" s="8"/>
      <c r="B2932" s="13"/>
      <c r="C2932" s="8"/>
      <c r="D2932" s="14"/>
      <c r="E2932" s="22"/>
      <c r="F2932" s="10"/>
      <c r="G2932" s="11"/>
      <c r="H2932" s="6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</row>
    <row r="2933" ht="19.5" customHeight="1">
      <c r="A2933" s="8"/>
      <c r="B2933" s="13"/>
      <c r="C2933" s="8"/>
      <c r="D2933" s="14"/>
      <c r="E2933" s="22"/>
      <c r="F2933" s="10"/>
      <c r="G2933" s="11"/>
      <c r="H2933" s="6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8"/>
    </row>
    <row r="2934" ht="19.5" customHeight="1">
      <c r="A2934" s="8"/>
      <c r="B2934" s="13"/>
      <c r="C2934" s="8"/>
      <c r="D2934" s="14"/>
      <c r="E2934" s="22"/>
      <c r="F2934" s="10"/>
      <c r="G2934" s="11"/>
      <c r="H2934" s="6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</row>
    <row r="2935" ht="19.5" customHeight="1">
      <c r="A2935" s="8"/>
      <c r="B2935" s="13"/>
      <c r="C2935" s="8"/>
      <c r="D2935" s="14"/>
      <c r="E2935" s="22"/>
      <c r="F2935" s="10"/>
      <c r="G2935" s="11"/>
      <c r="H2935" s="6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</row>
    <row r="2936" ht="19.5" customHeight="1">
      <c r="A2936" s="8"/>
      <c r="B2936" s="13"/>
      <c r="C2936" s="8"/>
      <c r="D2936" s="14"/>
      <c r="E2936" s="22"/>
      <c r="F2936" s="10"/>
      <c r="G2936" s="11"/>
      <c r="H2936" s="6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</row>
    <row r="2937" ht="19.5" customHeight="1">
      <c r="A2937" s="8"/>
      <c r="B2937" s="13"/>
      <c r="C2937" s="8"/>
      <c r="D2937" s="14"/>
      <c r="E2937" s="22"/>
      <c r="F2937" s="10"/>
      <c r="G2937" s="11"/>
      <c r="H2937" s="6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</row>
    <row r="2938" ht="19.5" customHeight="1">
      <c r="A2938" s="8"/>
      <c r="B2938" s="13"/>
      <c r="C2938" s="8"/>
      <c r="D2938" s="14"/>
      <c r="E2938" s="22"/>
      <c r="F2938" s="10"/>
      <c r="G2938" s="11"/>
      <c r="H2938" s="6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</row>
    <row r="2939" ht="19.5" customHeight="1">
      <c r="A2939" s="8"/>
      <c r="B2939" s="13"/>
      <c r="C2939" s="8"/>
      <c r="D2939" s="14"/>
      <c r="E2939" s="22"/>
      <c r="F2939" s="10"/>
      <c r="G2939" s="11"/>
      <c r="H2939" s="6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</row>
    <row r="2940" ht="19.5" customHeight="1">
      <c r="A2940" s="8"/>
      <c r="B2940" s="13"/>
      <c r="C2940" s="8"/>
      <c r="D2940" s="14"/>
      <c r="E2940" s="22"/>
      <c r="F2940" s="10"/>
      <c r="G2940" s="11"/>
      <c r="H2940" s="6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8"/>
      <c r="AB2940" s="8"/>
    </row>
    <row r="2941" ht="19.5" customHeight="1">
      <c r="A2941" s="8"/>
      <c r="B2941" s="13"/>
      <c r="C2941" s="8"/>
      <c r="D2941" s="14"/>
      <c r="E2941" s="22"/>
      <c r="F2941" s="10"/>
      <c r="G2941" s="11"/>
      <c r="H2941" s="6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</row>
    <row r="2942" ht="19.5" customHeight="1">
      <c r="A2942" s="8"/>
      <c r="B2942" s="13"/>
      <c r="C2942" s="8"/>
      <c r="D2942" s="14"/>
      <c r="E2942" s="22"/>
      <c r="F2942" s="10"/>
      <c r="G2942" s="11"/>
      <c r="H2942" s="6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8"/>
    </row>
    <row r="2943" ht="19.5" customHeight="1">
      <c r="A2943" s="8"/>
      <c r="B2943" s="13"/>
      <c r="C2943" s="8"/>
      <c r="D2943" s="14"/>
      <c r="E2943" s="22"/>
      <c r="F2943" s="10"/>
      <c r="G2943" s="11"/>
      <c r="H2943" s="6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8"/>
      <c r="AB2943" s="8"/>
    </row>
    <row r="2944" ht="19.5" customHeight="1">
      <c r="A2944" s="8"/>
      <c r="B2944" s="13"/>
      <c r="C2944" s="8"/>
      <c r="D2944" s="14"/>
      <c r="E2944" s="22"/>
      <c r="F2944" s="10"/>
      <c r="G2944" s="11"/>
      <c r="H2944" s="6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</row>
    <row r="2945" ht="19.5" customHeight="1">
      <c r="A2945" s="8"/>
      <c r="B2945" s="13"/>
      <c r="C2945" s="8"/>
      <c r="D2945" s="14"/>
      <c r="E2945" s="22"/>
      <c r="F2945" s="10"/>
      <c r="G2945" s="11"/>
      <c r="H2945" s="6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8"/>
      <c r="AB2945" s="8"/>
    </row>
    <row r="2946" ht="19.5" customHeight="1">
      <c r="A2946" s="8"/>
      <c r="B2946" s="13"/>
      <c r="C2946" s="8"/>
      <c r="D2946" s="14"/>
      <c r="E2946" s="22"/>
      <c r="F2946" s="10"/>
      <c r="G2946" s="11"/>
      <c r="H2946" s="6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</row>
    <row r="2947" ht="19.5" customHeight="1">
      <c r="A2947" s="8"/>
      <c r="B2947" s="13"/>
      <c r="C2947" s="8"/>
      <c r="D2947" s="14"/>
      <c r="E2947" s="22"/>
      <c r="F2947" s="10"/>
      <c r="G2947" s="11"/>
      <c r="H2947" s="6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</row>
    <row r="2948" ht="19.5" customHeight="1">
      <c r="A2948" s="8"/>
      <c r="B2948" s="13"/>
      <c r="C2948" s="8"/>
      <c r="D2948" s="14"/>
      <c r="E2948" s="22"/>
      <c r="F2948" s="10"/>
      <c r="G2948" s="11"/>
      <c r="H2948" s="6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</row>
    <row r="2949" ht="19.5" customHeight="1">
      <c r="A2949" s="8"/>
      <c r="B2949" s="13"/>
      <c r="C2949" s="8"/>
      <c r="D2949" s="14"/>
      <c r="E2949" s="22"/>
      <c r="F2949" s="10"/>
      <c r="G2949" s="11"/>
      <c r="H2949" s="6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</row>
    <row r="2950" ht="19.5" customHeight="1">
      <c r="A2950" s="8"/>
      <c r="B2950" s="13"/>
      <c r="C2950" s="8"/>
      <c r="D2950" s="14"/>
      <c r="E2950" s="22"/>
      <c r="F2950" s="10"/>
      <c r="G2950" s="11"/>
      <c r="H2950" s="6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</row>
    <row r="2951" ht="19.5" customHeight="1">
      <c r="A2951" s="8"/>
      <c r="B2951" s="13"/>
      <c r="C2951" s="8"/>
      <c r="D2951" s="14"/>
      <c r="E2951" s="22"/>
      <c r="F2951" s="10"/>
      <c r="G2951" s="11"/>
      <c r="H2951" s="6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</row>
    <row r="2952" ht="19.5" customHeight="1">
      <c r="A2952" s="8"/>
      <c r="B2952" s="13"/>
      <c r="C2952" s="8"/>
      <c r="D2952" s="14"/>
      <c r="E2952" s="22"/>
      <c r="F2952" s="10"/>
      <c r="G2952" s="11"/>
      <c r="H2952" s="6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</row>
    <row r="2953" ht="19.5" customHeight="1">
      <c r="A2953" s="8"/>
      <c r="B2953" s="13"/>
      <c r="C2953" s="8"/>
      <c r="D2953" s="14"/>
      <c r="E2953" s="22"/>
      <c r="F2953" s="10"/>
      <c r="G2953" s="11"/>
      <c r="H2953" s="6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</row>
    <row r="2954" ht="19.5" customHeight="1">
      <c r="A2954" s="8"/>
      <c r="B2954" s="13"/>
      <c r="C2954" s="8"/>
      <c r="D2954" s="14"/>
      <c r="E2954" s="22"/>
      <c r="F2954" s="10"/>
      <c r="G2954" s="11"/>
      <c r="H2954" s="6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8"/>
      <c r="AB2954" s="8"/>
    </row>
    <row r="2955" ht="19.5" customHeight="1">
      <c r="A2955" s="8"/>
      <c r="B2955" s="13"/>
      <c r="C2955" s="8"/>
      <c r="D2955" s="14"/>
      <c r="E2955" s="22"/>
      <c r="F2955" s="10"/>
      <c r="G2955" s="11"/>
      <c r="H2955" s="6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</row>
    <row r="2956" ht="19.5" customHeight="1">
      <c r="A2956" s="8"/>
      <c r="B2956" s="13"/>
      <c r="C2956" s="8"/>
      <c r="D2956" s="14"/>
      <c r="E2956" s="22"/>
      <c r="F2956" s="10"/>
      <c r="G2956" s="11"/>
      <c r="H2956" s="6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</row>
    <row r="2957" ht="19.5" customHeight="1">
      <c r="A2957" s="8"/>
      <c r="B2957" s="13"/>
      <c r="C2957" s="8"/>
      <c r="D2957" s="14"/>
      <c r="E2957" s="22"/>
      <c r="F2957" s="10"/>
      <c r="G2957" s="11"/>
      <c r="H2957" s="6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</row>
    <row r="2958" ht="19.5" customHeight="1">
      <c r="A2958" s="8"/>
      <c r="B2958" s="13"/>
      <c r="C2958" s="8"/>
      <c r="D2958" s="14"/>
      <c r="E2958" s="22"/>
      <c r="F2958" s="10"/>
      <c r="G2958" s="11"/>
      <c r="H2958" s="6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</row>
    <row r="2959" ht="19.5" customHeight="1">
      <c r="A2959" s="8"/>
      <c r="B2959" s="13"/>
      <c r="C2959" s="8"/>
      <c r="D2959" s="14"/>
      <c r="E2959" s="22"/>
      <c r="F2959" s="10"/>
      <c r="G2959" s="11"/>
      <c r="H2959" s="6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</row>
    <row r="2960" ht="19.5" customHeight="1">
      <c r="A2960" s="8"/>
      <c r="B2960" s="13"/>
      <c r="C2960" s="8"/>
      <c r="D2960" s="14"/>
      <c r="E2960" s="22"/>
      <c r="F2960" s="10"/>
      <c r="G2960" s="11"/>
      <c r="H2960" s="6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</row>
    <row r="2961" ht="19.5" customHeight="1">
      <c r="A2961" s="8"/>
      <c r="B2961" s="13"/>
      <c r="C2961" s="8"/>
      <c r="D2961" s="14"/>
      <c r="E2961" s="22"/>
      <c r="F2961" s="10"/>
      <c r="G2961" s="11"/>
      <c r="H2961" s="6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</row>
    <row r="2962" ht="19.5" customHeight="1">
      <c r="A2962" s="8"/>
      <c r="B2962" s="13"/>
      <c r="C2962" s="8"/>
      <c r="D2962" s="14"/>
      <c r="E2962" s="22"/>
      <c r="F2962" s="10"/>
      <c r="G2962" s="11"/>
      <c r="H2962" s="6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</row>
    <row r="2963" ht="19.5" customHeight="1">
      <c r="A2963" s="8"/>
      <c r="B2963" s="13"/>
      <c r="C2963" s="8"/>
      <c r="D2963" s="14"/>
      <c r="E2963" s="22"/>
      <c r="F2963" s="10"/>
      <c r="G2963" s="11"/>
      <c r="H2963" s="6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</row>
    <row r="2964" ht="19.5" customHeight="1">
      <c r="A2964" s="8"/>
      <c r="B2964" s="13"/>
      <c r="C2964" s="8"/>
      <c r="D2964" s="14"/>
      <c r="E2964" s="22"/>
      <c r="F2964" s="10"/>
      <c r="G2964" s="11"/>
      <c r="H2964" s="6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</row>
    <row r="2965" ht="19.5" customHeight="1">
      <c r="A2965" s="8"/>
      <c r="B2965" s="13"/>
      <c r="C2965" s="8"/>
      <c r="D2965" s="14"/>
      <c r="E2965" s="22"/>
      <c r="F2965" s="10"/>
      <c r="G2965" s="11"/>
      <c r="H2965" s="6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</row>
    <row r="2966" ht="19.5" customHeight="1">
      <c r="A2966" s="8"/>
      <c r="B2966" s="13"/>
      <c r="C2966" s="8"/>
      <c r="D2966" s="14"/>
      <c r="E2966" s="22"/>
      <c r="F2966" s="10"/>
      <c r="G2966" s="11"/>
      <c r="H2966" s="6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</row>
    <row r="2967" ht="19.5" customHeight="1">
      <c r="A2967" s="8"/>
      <c r="B2967" s="13"/>
      <c r="C2967" s="8"/>
      <c r="D2967" s="14"/>
      <c r="E2967" s="22"/>
      <c r="F2967" s="10"/>
      <c r="G2967" s="11"/>
      <c r="H2967" s="6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</row>
    <row r="2968" ht="19.5" customHeight="1">
      <c r="A2968" s="8"/>
      <c r="B2968" s="13"/>
      <c r="C2968" s="8"/>
      <c r="D2968" s="14"/>
      <c r="E2968" s="22"/>
      <c r="F2968" s="10"/>
      <c r="G2968" s="11"/>
      <c r="H2968" s="6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</row>
    <row r="2969" ht="19.5" customHeight="1">
      <c r="A2969" s="8"/>
      <c r="B2969" s="13"/>
      <c r="C2969" s="8"/>
      <c r="D2969" s="14"/>
      <c r="E2969" s="22"/>
      <c r="F2969" s="10"/>
      <c r="G2969" s="11"/>
      <c r="H2969" s="6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</row>
    <row r="2970" ht="19.5" customHeight="1">
      <c r="A2970" s="8"/>
      <c r="B2970" s="13"/>
      <c r="C2970" s="8"/>
      <c r="D2970" s="14"/>
      <c r="E2970" s="22"/>
      <c r="F2970" s="10"/>
      <c r="G2970" s="11"/>
      <c r="H2970" s="6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</row>
    <row r="2971" ht="19.5" customHeight="1">
      <c r="A2971" s="8"/>
      <c r="B2971" s="13"/>
      <c r="C2971" s="8"/>
      <c r="D2971" s="14"/>
      <c r="E2971" s="22"/>
      <c r="F2971" s="10"/>
      <c r="G2971" s="11"/>
      <c r="H2971" s="6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</row>
    <row r="2972" ht="19.5" customHeight="1">
      <c r="A2972" s="8"/>
      <c r="B2972" s="13"/>
      <c r="C2972" s="8"/>
      <c r="D2972" s="14"/>
      <c r="E2972" s="22"/>
      <c r="F2972" s="10"/>
      <c r="G2972" s="11"/>
      <c r="H2972" s="6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</row>
    <row r="2973" ht="19.5" customHeight="1">
      <c r="A2973" s="8"/>
      <c r="B2973" s="13"/>
      <c r="C2973" s="8"/>
      <c r="D2973" s="14"/>
      <c r="E2973" s="22"/>
      <c r="F2973" s="10"/>
      <c r="G2973" s="11"/>
      <c r="H2973" s="6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</row>
    <row r="2974" ht="19.5" customHeight="1">
      <c r="A2974" s="8"/>
      <c r="B2974" s="13"/>
      <c r="C2974" s="8"/>
      <c r="D2974" s="14"/>
      <c r="E2974" s="22"/>
      <c r="F2974" s="10"/>
      <c r="G2974" s="11"/>
      <c r="H2974" s="6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</row>
    <row r="2975" ht="19.5" customHeight="1">
      <c r="A2975" s="8"/>
      <c r="B2975" s="13"/>
      <c r="C2975" s="8"/>
      <c r="D2975" s="14"/>
      <c r="E2975" s="22"/>
      <c r="F2975" s="10"/>
      <c r="G2975" s="11"/>
      <c r="H2975" s="6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</row>
    <row r="2976" ht="19.5" customHeight="1">
      <c r="A2976" s="8"/>
      <c r="B2976" s="13"/>
      <c r="C2976" s="8"/>
      <c r="D2976" s="14"/>
      <c r="E2976" s="22"/>
      <c r="F2976" s="10"/>
      <c r="G2976" s="11"/>
      <c r="H2976" s="6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8"/>
      <c r="AB2976" s="8"/>
    </row>
    <row r="2977" ht="19.5" customHeight="1">
      <c r="A2977" s="8"/>
      <c r="B2977" s="13"/>
      <c r="C2977" s="8"/>
      <c r="D2977" s="14"/>
      <c r="E2977" s="22"/>
      <c r="F2977" s="10"/>
      <c r="G2977" s="11"/>
      <c r="H2977" s="6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</row>
    <row r="2978" ht="19.5" customHeight="1">
      <c r="A2978" s="8"/>
      <c r="B2978" s="13"/>
      <c r="C2978" s="8"/>
      <c r="D2978" s="14"/>
      <c r="E2978" s="22"/>
      <c r="F2978" s="10"/>
      <c r="G2978" s="11"/>
      <c r="H2978" s="6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8"/>
      <c r="AB2978" s="8"/>
    </row>
    <row r="2979" ht="19.5" customHeight="1">
      <c r="A2979" s="8"/>
      <c r="B2979" s="13"/>
      <c r="C2979" s="8"/>
      <c r="D2979" s="14"/>
      <c r="E2979" s="22"/>
      <c r="F2979" s="10"/>
      <c r="G2979" s="11"/>
      <c r="H2979" s="6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</row>
    <row r="2980" ht="19.5" customHeight="1">
      <c r="A2980" s="8"/>
      <c r="B2980" s="13"/>
      <c r="C2980" s="8"/>
      <c r="D2980" s="14"/>
      <c r="E2980" s="22"/>
      <c r="F2980" s="10"/>
      <c r="G2980" s="11"/>
      <c r="H2980" s="6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</row>
    <row r="2981" ht="19.5" customHeight="1">
      <c r="A2981" s="8"/>
      <c r="B2981" s="13"/>
      <c r="C2981" s="8"/>
      <c r="D2981" s="14"/>
      <c r="E2981" s="22"/>
      <c r="F2981" s="10"/>
      <c r="G2981" s="11"/>
      <c r="H2981" s="6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8"/>
      <c r="AB2981" s="8"/>
    </row>
    <row r="2982" ht="19.5" customHeight="1">
      <c r="A2982" s="8"/>
      <c r="B2982" s="13"/>
      <c r="C2982" s="8"/>
      <c r="D2982" s="14"/>
      <c r="E2982" s="22"/>
      <c r="F2982" s="10"/>
      <c r="G2982" s="11"/>
      <c r="H2982" s="6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</row>
    <row r="2983" ht="19.5" customHeight="1">
      <c r="A2983" s="8"/>
      <c r="B2983" s="13"/>
      <c r="C2983" s="8"/>
      <c r="D2983" s="14"/>
      <c r="E2983" s="22"/>
      <c r="F2983" s="10"/>
      <c r="G2983" s="11"/>
      <c r="H2983" s="6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</row>
    <row r="2984" ht="19.5" customHeight="1">
      <c r="A2984" s="8"/>
      <c r="B2984" s="13"/>
      <c r="C2984" s="8"/>
      <c r="D2984" s="14"/>
      <c r="E2984" s="22"/>
      <c r="F2984" s="10"/>
      <c r="G2984" s="11"/>
      <c r="H2984" s="6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8"/>
      <c r="AB2984" s="8"/>
    </row>
    <row r="2985" ht="19.5" customHeight="1">
      <c r="A2985" s="8"/>
      <c r="B2985" s="13"/>
      <c r="C2985" s="8"/>
      <c r="D2985" s="14"/>
      <c r="E2985" s="22"/>
      <c r="F2985" s="10"/>
      <c r="G2985" s="11"/>
      <c r="H2985" s="6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</row>
    <row r="2986" ht="19.5" customHeight="1">
      <c r="A2986" s="8"/>
      <c r="B2986" s="13"/>
      <c r="C2986" s="8"/>
      <c r="D2986" s="14"/>
      <c r="E2986" s="22"/>
      <c r="F2986" s="10"/>
      <c r="G2986" s="11"/>
      <c r="H2986" s="6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</row>
    <row r="2987" ht="19.5" customHeight="1">
      <c r="A2987" s="8"/>
      <c r="B2987" s="13"/>
      <c r="C2987" s="8"/>
      <c r="D2987" s="14"/>
      <c r="E2987" s="22"/>
      <c r="F2987" s="10"/>
      <c r="G2987" s="11"/>
      <c r="H2987" s="6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</row>
    <row r="2988" ht="19.5" customHeight="1">
      <c r="A2988" s="8"/>
      <c r="B2988" s="13"/>
      <c r="C2988" s="8"/>
      <c r="D2988" s="14"/>
      <c r="E2988" s="22"/>
      <c r="F2988" s="10"/>
      <c r="G2988" s="11"/>
      <c r="H2988" s="6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8"/>
      <c r="AB2988" s="8"/>
    </row>
    <row r="2989" ht="19.5" customHeight="1">
      <c r="A2989" s="8"/>
      <c r="B2989" s="13"/>
      <c r="C2989" s="8"/>
      <c r="D2989" s="14"/>
      <c r="E2989" s="22"/>
      <c r="F2989" s="10"/>
      <c r="G2989" s="11"/>
      <c r="H2989" s="6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</row>
    <row r="2990" ht="19.5" customHeight="1">
      <c r="A2990" s="8"/>
      <c r="B2990" s="13"/>
      <c r="C2990" s="8"/>
      <c r="D2990" s="14"/>
      <c r="E2990" s="22"/>
      <c r="F2990" s="10"/>
      <c r="G2990" s="11"/>
      <c r="H2990" s="6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</row>
    <row r="2991" ht="19.5" customHeight="1">
      <c r="A2991" s="8"/>
      <c r="B2991" s="13"/>
      <c r="C2991" s="8"/>
      <c r="D2991" s="14"/>
      <c r="E2991" s="22"/>
      <c r="F2991" s="10"/>
      <c r="G2991" s="11"/>
      <c r="H2991" s="6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</row>
    <row r="2992" ht="19.5" customHeight="1">
      <c r="A2992" s="8"/>
      <c r="B2992" s="13"/>
      <c r="C2992" s="8"/>
      <c r="D2992" s="14"/>
      <c r="E2992" s="22"/>
      <c r="F2992" s="10"/>
      <c r="G2992" s="11"/>
      <c r="H2992" s="6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</row>
    <row r="2993" ht="19.5" customHeight="1">
      <c r="A2993" s="8"/>
      <c r="B2993" s="13"/>
      <c r="C2993" s="8"/>
      <c r="D2993" s="14"/>
      <c r="E2993" s="22"/>
      <c r="F2993" s="10"/>
      <c r="G2993" s="11"/>
      <c r="H2993" s="6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</row>
    <row r="2994" ht="19.5" customHeight="1">
      <c r="A2994" s="8"/>
      <c r="B2994" s="13"/>
      <c r="C2994" s="8"/>
      <c r="D2994" s="14"/>
      <c r="E2994" s="22"/>
      <c r="F2994" s="10"/>
      <c r="G2994" s="11"/>
      <c r="H2994" s="6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</row>
    <row r="2995" ht="19.5" customHeight="1">
      <c r="A2995" s="8"/>
      <c r="B2995" s="13"/>
      <c r="C2995" s="8"/>
      <c r="D2995" s="14"/>
      <c r="E2995" s="22"/>
      <c r="F2995" s="10"/>
      <c r="G2995" s="11"/>
      <c r="H2995" s="6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</row>
    <row r="2996" ht="19.5" customHeight="1">
      <c r="A2996" s="8"/>
      <c r="B2996" s="13"/>
      <c r="C2996" s="8"/>
      <c r="D2996" s="14"/>
      <c r="E2996" s="22"/>
      <c r="F2996" s="10"/>
      <c r="G2996" s="11"/>
      <c r="H2996" s="6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8"/>
      <c r="AB2996" s="8"/>
    </row>
    <row r="2997" ht="19.5" customHeight="1">
      <c r="A2997" s="8"/>
      <c r="B2997" s="13"/>
      <c r="C2997" s="8"/>
      <c r="D2997" s="14"/>
      <c r="E2997" s="22"/>
      <c r="F2997" s="10"/>
      <c r="G2997" s="11"/>
      <c r="H2997" s="6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</row>
    <row r="2998" ht="19.5" customHeight="1">
      <c r="A2998" s="8"/>
      <c r="B2998" s="13"/>
      <c r="C2998" s="8"/>
      <c r="D2998" s="14"/>
      <c r="E2998" s="22"/>
      <c r="F2998" s="10"/>
      <c r="G2998" s="11"/>
      <c r="H2998" s="6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</row>
    <row r="2999" ht="19.5" customHeight="1">
      <c r="A2999" s="8"/>
      <c r="B2999" s="13"/>
      <c r="C2999" s="8"/>
      <c r="D2999" s="14"/>
      <c r="E2999" s="22"/>
      <c r="F2999" s="10"/>
      <c r="G2999" s="11"/>
      <c r="H2999" s="6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</row>
    <row r="3000" ht="19.5" customHeight="1">
      <c r="A3000" s="8"/>
      <c r="B3000" s="13"/>
      <c r="C3000" s="8"/>
      <c r="D3000" s="14"/>
      <c r="E3000" s="22"/>
      <c r="F3000" s="10"/>
      <c r="G3000" s="11"/>
      <c r="H3000" s="6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  <c r="AA3000" s="8"/>
      <c r="AB3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</cols>
  <sheetData>
    <row r="1">
      <c r="A1" s="23" t="s">
        <v>0</v>
      </c>
      <c r="B1" s="2" t="s">
        <v>1</v>
      </c>
      <c r="C1" s="1" t="s">
        <v>2</v>
      </c>
      <c r="D1" s="1" t="s">
        <v>3</v>
      </c>
      <c r="E1" s="24" t="s">
        <v>4</v>
      </c>
      <c r="F1" s="4" t="s">
        <v>5</v>
      </c>
      <c r="G1" s="5" t="s">
        <v>6</v>
      </c>
      <c r="H1" s="24" t="s">
        <v>7</v>
      </c>
      <c r="I1" s="1" t="s">
        <v>8</v>
      </c>
      <c r="J1" s="25"/>
    </row>
    <row r="2">
      <c r="A2" s="9">
        <v>45985.0</v>
      </c>
      <c r="B2" s="2"/>
      <c r="C2" s="1"/>
      <c r="D2" s="14"/>
      <c r="E2" s="26">
        <f t="shared" ref="E2:E80" si="1">IF(ISBLANK(A2), "",B2*C2)</f>
        <v>0</v>
      </c>
      <c r="F2" s="10"/>
      <c r="G2" s="5"/>
      <c r="H2" s="24">
        <v>100636.0</v>
      </c>
      <c r="I2" s="8"/>
      <c r="J2" s="27"/>
      <c r="K2" s="27"/>
      <c r="L2" s="27"/>
      <c r="M2" s="27"/>
      <c r="N2" s="27"/>
      <c r="O2" s="27"/>
      <c r="P2" s="27"/>
      <c r="Q2" s="27"/>
    </row>
    <row r="3">
      <c r="A3" s="9">
        <v>45986.0</v>
      </c>
      <c r="B3" s="2">
        <v>6500.0</v>
      </c>
      <c r="C3" s="1">
        <v>4.53</v>
      </c>
      <c r="D3" s="14"/>
      <c r="E3" s="26">
        <f t="shared" si="1"/>
        <v>29445</v>
      </c>
      <c r="F3" s="10"/>
      <c r="G3" s="5"/>
      <c r="H3" s="26">
        <f t="shared" ref="H3:H89" si="2">IF(ISBLANK(A3), "", H2 + E3 - G3)</f>
        <v>130081</v>
      </c>
      <c r="I3" s="8"/>
      <c r="J3" s="27"/>
      <c r="K3" s="27"/>
      <c r="L3" s="27"/>
      <c r="M3" s="27"/>
      <c r="N3" s="27"/>
      <c r="O3" s="27"/>
      <c r="P3" s="27"/>
      <c r="Q3" s="27"/>
    </row>
    <row r="4">
      <c r="A4" s="9">
        <v>45988.0</v>
      </c>
      <c r="B4" s="2">
        <v>6399.0</v>
      </c>
      <c r="C4" s="1">
        <v>4.53</v>
      </c>
      <c r="D4" s="14"/>
      <c r="E4" s="26">
        <f t="shared" si="1"/>
        <v>28987.47</v>
      </c>
      <c r="F4" s="10"/>
      <c r="G4" s="5"/>
      <c r="H4" s="26">
        <f t="shared" si="2"/>
        <v>159068.47</v>
      </c>
      <c r="I4" s="8"/>
      <c r="J4" s="27"/>
      <c r="K4" s="27"/>
      <c r="L4" s="27"/>
      <c r="M4" s="27"/>
      <c r="N4" s="27"/>
      <c r="O4" s="27"/>
      <c r="P4" s="27"/>
      <c r="Q4" s="27"/>
    </row>
    <row r="5">
      <c r="A5" s="9">
        <v>45988.0</v>
      </c>
      <c r="B5" s="2">
        <v>4655.0</v>
      </c>
      <c r="C5" s="1">
        <v>4.53</v>
      </c>
      <c r="D5" s="14"/>
      <c r="E5" s="26">
        <f t="shared" si="1"/>
        <v>21087.15</v>
      </c>
      <c r="F5" s="10"/>
      <c r="G5" s="11"/>
      <c r="H5" s="26">
        <f t="shared" si="2"/>
        <v>180155.62</v>
      </c>
      <c r="I5" s="8"/>
      <c r="J5" s="27"/>
      <c r="K5" s="27"/>
      <c r="L5" s="27"/>
      <c r="M5" s="27"/>
      <c r="N5" s="27"/>
      <c r="O5" s="27"/>
      <c r="P5" s="27"/>
      <c r="Q5" s="27"/>
    </row>
    <row r="6">
      <c r="A6" s="9">
        <v>45988.0</v>
      </c>
      <c r="B6" s="2">
        <v>4715.0</v>
      </c>
      <c r="C6" s="1">
        <v>4.53</v>
      </c>
      <c r="D6" s="14"/>
      <c r="E6" s="26">
        <f t="shared" si="1"/>
        <v>21358.95</v>
      </c>
      <c r="F6" s="10"/>
      <c r="G6" s="11"/>
      <c r="H6" s="26">
        <f t="shared" si="2"/>
        <v>201514.57</v>
      </c>
      <c r="I6" s="8"/>
      <c r="J6" s="27"/>
      <c r="K6" s="27"/>
      <c r="L6" s="27"/>
      <c r="M6" s="27"/>
      <c r="N6" s="27"/>
      <c r="O6" s="27"/>
      <c r="P6" s="27"/>
      <c r="Q6" s="27"/>
    </row>
    <row r="7">
      <c r="A7" s="9">
        <v>45988.0</v>
      </c>
      <c r="B7" s="2">
        <v>7900.0</v>
      </c>
      <c r="C7" s="1">
        <v>4.53</v>
      </c>
      <c r="D7" s="14"/>
      <c r="E7" s="26">
        <f t="shared" si="1"/>
        <v>35787</v>
      </c>
      <c r="F7" s="10"/>
      <c r="G7" s="11"/>
      <c r="H7" s="26">
        <f t="shared" si="2"/>
        <v>237301.57</v>
      </c>
      <c r="I7" s="8"/>
      <c r="J7" s="27"/>
      <c r="K7" s="27"/>
      <c r="L7" s="27"/>
      <c r="M7" s="27"/>
      <c r="N7" s="27"/>
      <c r="O7" s="27"/>
      <c r="P7" s="27"/>
      <c r="Q7" s="27"/>
    </row>
    <row r="8">
      <c r="A8" s="9">
        <v>45989.0</v>
      </c>
      <c r="B8" s="2">
        <v>3340.0</v>
      </c>
      <c r="C8" s="1">
        <v>4.53</v>
      </c>
      <c r="D8" s="1"/>
      <c r="E8" s="26">
        <f t="shared" si="1"/>
        <v>15130.2</v>
      </c>
      <c r="F8" s="4"/>
      <c r="G8" s="5"/>
      <c r="H8" s="26">
        <f t="shared" si="2"/>
        <v>252431.77</v>
      </c>
      <c r="I8" s="5"/>
      <c r="J8" s="28"/>
      <c r="K8" s="29"/>
      <c r="L8" s="27"/>
      <c r="M8" s="27"/>
      <c r="N8" s="27"/>
      <c r="O8" s="27"/>
      <c r="P8" s="27"/>
      <c r="Q8" s="27"/>
    </row>
    <row r="9">
      <c r="A9" s="9">
        <v>45989.0</v>
      </c>
      <c r="B9" s="13"/>
      <c r="C9" s="14"/>
      <c r="D9" s="1"/>
      <c r="E9" s="26">
        <f t="shared" si="1"/>
        <v>0</v>
      </c>
      <c r="F9" s="4"/>
      <c r="G9" s="5">
        <v>140000.0</v>
      </c>
      <c r="H9" s="26">
        <f t="shared" si="2"/>
        <v>112431.77</v>
      </c>
      <c r="I9" s="1" t="s">
        <v>28</v>
      </c>
      <c r="J9" s="25"/>
      <c r="K9" s="27"/>
      <c r="L9" s="27"/>
      <c r="M9" s="27"/>
      <c r="N9" s="27"/>
      <c r="O9" s="27"/>
      <c r="P9" s="27"/>
      <c r="Q9" s="27"/>
    </row>
    <row r="10">
      <c r="A10" s="9">
        <v>45989.0</v>
      </c>
      <c r="B10" s="2">
        <v>45200.0</v>
      </c>
      <c r="C10" s="1">
        <v>4.53</v>
      </c>
      <c r="D10" s="14"/>
      <c r="E10" s="26">
        <f t="shared" si="1"/>
        <v>204756</v>
      </c>
      <c r="F10" s="10"/>
      <c r="G10" s="11"/>
      <c r="H10" s="26">
        <f t="shared" si="2"/>
        <v>317187.77</v>
      </c>
      <c r="I10" s="8"/>
      <c r="J10" s="27"/>
      <c r="K10" s="27"/>
      <c r="L10" s="27"/>
      <c r="M10" s="27"/>
      <c r="N10" s="27"/>
      <c r="O10" s="27"/>
      <c r="P10" s="27"/>
      <c r="Q10" s="27"/>
    </row>
    <row r="11">
      <c r="A11" s="9">
        <v>45988.0</v>
      </c>
      <c r="B11" s="13"/>
      <c r="C11" s="14"/>
      <c r="D11" s="1"/>
      <c r="E11" s="26">
        <f t="shared" si="1"/>
        <v>0</v>
      </c>
      <c r="F11" s="4"/>
      <c r="G11" s="5">
        <v>250000.0</v>
      </c>
      <c r="H11" s="26">
        <f t="shared" si="2"/>
        <v>67187.77</v>
      </c>
      <c r="I11" s="1" t="s">
        <v>86</v>
      </c>
      <c r="J11" s="25"/>
      <c r="K11" s="27"/>
      <c r="L11" s="27"/>
      <c r="M11" s="27"/>
      <c r="N11" s="27"/>
      <c r="O11" s="27"/>
      <c r="P11" s="27"/>
      <c r="Q11" s="27"/>
    </row>
    <row r="12">
      <c r="A12" s="9">
        <v>45992.0</v>
      </c>
      <c r="B12" s="2">
        <v>13800.0</v>
      </c>
      <c r="C12" s="1">
        <v>4.55</v>
      </c>
      <c r="D12" s="14"/>
      <c r="E12" s="26">
        <f t="shared" si="1"/>
        <v>62790</v>
      </c>
      <c r="F12" s="10"/>
      <c r="G12" s="11"/>
      <c r="H12" s="26">
        <f t="shared" si="2"/>
        <v>129977.77</v>
      </c>
      <c r="I12" s="8"/>
      <c r="J12" s="27"/>
      <c r="K12" s="27"/>
      <c r="L12" s="27"/>
      <c r="M12" s="27"/>
      <c r="N12" s="27"/>
      <c r="O12" s="27"/>
      <c r="P12" s="27"/>
      <c r="Q12" s="27"/>
    </row>
    <row r="13">
      <c r="A13" s="9">
        <v>45993.0</v>
      </c>
      <c r="B13" s="2">
        <v>800.0</v>
      </c>
      <c r="C13" s="1">
        <v>4.55</v>
      </c>
      <c r="D13" s="14"/>
      <c r="E13" s="26">
        <f t="shared" si="1"/>
        <v>3640</v>
      </c>
      <c r="F13" s="10"/>
      <c r="G13" s="11"/>
      <c r="H13" s="26">
        <f t="shared" si="2"/>
        <v>133617.77</v>
      </c>
      <c r="I13" s="8"/>
      <c r="J13" s="27"/>
      <c r="K13" s="27"/>
      <c r="L13" s="27"/>
      <c r="M13" s="27"/>
      <c r="N13" s="27"/>
      <c r="O13" s="27"/>
      <c r="P13" s="27"/>
      <c r="Q13" s="27"/>
    </row>
    <row r="14">
      <c r="A14" s="9">
        <v>45995.0</v>
      </c>
      <c r="B14" s="2">
        <v>9500.0</v>
      </c>
      <c r="C14" s="1">
        <v>4.55</v>
      </c>
      <c r="D14" s="14"/>
      <c r="E14" s="26">
        <f t="shared" si="1"/>
        <v>43225</v>
      </c>
      <c r="F14" s="10"/>
      <c r="G14" s="11"/>
      <c r="H14" s="26">
        <f t="shared" si="2"/>
        <v>176842.77</v>
      </c>
      <c r="I14" s="8"/>
      <c r="J14" s="27"/>
      <c r="K14" s="27"/>
      <c r="L14" s="27"/>
      <c r="M14" s="27"/>
      <c r="N14" s="27"/>
      <c r="O14" s="27"/>
      <c r="P14" s="27"/>
      <c r="Q14" s="27"/>
    </row>
    <row r="15">
      <c r="A15" s="9">
        <v>45995.0</v>
      </c>
      <c r="B15" s="13"/>
      <c r="C15" s="14"/>
      <c r="D15" s="1"/>
      <c r="E15" s="26">
        <f t="shared" si="1"/>
        <v>0</v>
      </c>
      <c r="F15" s="4"/>
      <c r="G15" s="5">
        <v>130000.0</v>
      </c>
      <c r="H15" s="26">
        <f t="shared" si="2"/>
        <v>46842.77</v>
      </c>
      <c r="I15" s="1" t="s">
        <v>87</v>
      </c>
      <c r="J15" s="25"/>
      <c r="K15" s="27"/>
      <c r="L15" s="27"/>
      <c r="M15" s="27"/>
      <c r="N15" s="27"/>
      <c r="O15" s="27"/>
      <c r="P15" s="27"/>
      <c r="Q15" s="27"/>
    </row>
    <row r="16">
      <c r="A16" s="9">
        <v>45997.0</v>
      </c>
      <c r="B16" s="2">
        <v>11000.0</v>
      </c>
      <c r="C16" s="1">
        <v>4.55</v>
      </c>
      <c r="D16" s="14"/>
      <c r="E16" s="26">
        <f t="shared" si="1"/>
        <v>50050</v>
      </c>
      <c r="F16" s="10"/>
      <c r="G16" s="11"/>
      <c r="H16" s="26">
        <f t="shared" si="2"/>
        <v>96892.77</v>
      </c>
      <c r="I16" s="8"/>
      <c r="J16" s="27"/>
      <c r="K16" s="27"/>
      <c r="L16" s="27"/>
      <c r="M16" s="27"/>
      <c r="N16" s="27"/>
      <c r="O16" s="27"/>
      <c r="P16" s="27"/>
      <c r="Q16" s="27"/>
    </row>
    <row r="17">
      <c r="A17" s="9">
        <v>45998.0</v>
      </c>
      <c r="B17" s="2">
        <v>12200.0</v>
      </c>
      <c r="C17" s="1">
        <v>4.55</v>
      </c>
      <c r="D17" s="14"/>
      <c r="E17" s="26">
        <f t="shared" si="1"/>
        <v>55510</v>
      </c>
      <c r="F17" s="10"/>
      <c r="G17" s="11"/>
      <c r="H17" s="26">
        <f t="shared" si="2"/>
        <v>152402.77</v>
      </c>
      <c r="I17" s="8"/>
      <c r="J17" s="27"/>
      <c r="K17" s="27"/>
      <c r="L17" s="27"/>
      <c r="M17" s="27"/>
      <c r="N17" s="27"/>
      <c r="O17" s="27"/>
      <c r="P17" s="27"/>
      <c r="Q17" s="27"/>
    </row>
    <row r="18">
      <c r="A18" s="9">
        <v>45998.0</v>
      </c>
      <c r="B18" s="2">
        <v>9350.0</v>
      </c>
      <c r="C18" s="1">
        <v>4.55</v>
      </c>
      <c r="D18" s="14"/>
      <c r="E18" s="26">
        <f t="shared" si="1"/>
        <v>42542.5</v>
      </c>
      <c r="F18" s="10"/>
      <c r="G18" s="11"/>
      <c r="H18" s="26">
        <f t="shared" si="2"/>
        <v>194945.27</v>
      </c>
      <c r="I18" s="8"/>
      <c r="J18" s="27"/>
      <c r="K18" s="27"/>
      <c r="L18" s="27"/>
      <c r="M18" s="27"/>
      <c r="N18" s="27"/>
      <c r="O18" s="27"/>
      <c r="P18" s="27"/>
      <c r="Q18" s="27"/>
    </row>
    <row r="19">
      <c r="A19" s="9">
        <v>46001.0</v>
      </c>
      <c r="B19" s="2">
        <v>300.0</v>
      </c>
      <c r="C19" s="1">
        <v>4.53</v>
      </c>
      <c r="D19" s="14"/>
      <c r="E19" s="26">
        <f t="shared" si="1"/>
        <v>1359</v>
      </c>
      <c r="F19" s="10"/>
      <c r="G19" s="11"/>
      <c r="H19" s="26">
        <f t="shared" si="2"/>
        <v>196304.27</v>
      </c>
      <c r="I19" s="8"/>
      <c r="J19" s="27"/>
      <c r="K19" s="27"/>
      <c r="L19" s="27"/>
      <c r="M19" s="27"/>
      <c r="N19" s="27"/>
      <c r="O19" s="27"/>
      <c r="P19" s="27"/>
      <c r="Q19" s="27"/>
    </row>
    <row r="20">
      <c r="A20" s="9">
        <v>46002.0</v>
      </c>
      <c r="B20" s="2">
        <v>6200.0</v>
      </c>
      <c r="C20" s="1">
        <v>4.53</v>
      </c>
      <c r="D20" s="14"/>
      <c r="E20" s="26">
        <f t="shared" si="1"/>
        <v>28086</v>
      </c>
      <c r="F20" s="10"/>
      <c r="G20" s="11"/>
      <c r="H20" s="26">
        <f t="shared" si="2"/>
        <v>224390.27</v>
      </c>
      <c r="I20" s="8"/>
      <c r="J20" s="27"/>
      <c r="K20" s="27"/>
      <c r="L20" s="27"/>
      <c r="M20" s="27"/>
      <c r="N20" s="27"/>
      <c r="O20" s="27"/>
      <c r="P20" s="27"/>
      <c r="Q20" s="27"/>
    </row>
    <row r="21">
      <c r="A21" s="9">
        <v>46003.0</v>
      </c>
      <c r="B21" s="2">
        <v>3560.0</v>
      </c>
      <c r="C21" s="1">
        <v>4.55</v>
      </c>
      <c r="D21" s="14"/>
      <c r="E21" s="26">
        <f t="shared" si="1"/>
        <v>16198</v>
      </c>
      <c r="F21" s="10"/>
      <c r="G21" s="11"/>
      <c r="H21" s="26">
        <f t="shared" si="2"/>
        <v>240588.27</v>
      </c>
      <c r="I21" s="8"/>
      <c r="J21" s="27"/>
      <c r="K21" s="27"/>
      <c r="L21" s="27"/>
      <c r="M21" s="27"/>
      <c r="N21" s="27"/>
      <c r="O21" s="27"/>
      <c r="P21" s="27"/>
      <c r="Q21" s="27"/>
    </row>
    <row r="22">
      <c r="A22" s="9">
        <v>46003.0</v>
      </c>
      <c r="B22" s="2">
        <v>20500.0</v>
      </c>
      <c r="C22" s="1">
        <v>4.55</v>
      </c>
      <c r="D22" s="14"/>
      <c r="E22" s="26">
        <f t="shared" si="1"/>
        <v>93275</v>
      </c>
      <c r="F22" s="10"/>
      <c r="G22" s="11"/>
      <c r="H22" s="26">
        <f t="shared" si="2"/>
        <v>333863.27</v>
      </c>
      <c r="I22" s="8"/>
      <c r="J22" s="27"/>
      <c r="K22" s="27"/>
      <c r="L22" s="27"/>
      <c r="M22" s="27"/>
      <c r="N22" s="27"/>
      <c r="O22" s="27"/>
      <c r="P22" s="27"/>
      <c r="Q22" s="27"/>
    </row>
    <row r="23">
      <c r="A23" s="9">
        <v>46003.0</v>
      </c>
      <c r="B23" s="2">
        <v>4355.0</v>
      </c>
      <c r="C23" s="1">
        <v>4.55</v>
      </c>
      <c r="D23" s="14"/>
      <c r="E23" s="26">
        <f t="shared" si="1"/>
        <v>19815.25</v>
      </c>
      <c r="F23" s="10"/>
      <c r="G23" s="11"/>
      <c r="H23" s="26">
        <f t="shared" si="2"/>
        <v>353678.52</v>
      </c>
      <c r="I23" s="8"/>
      <c r="J23" s="27"/>
      <c r="K23" s="27"/>
      <c r="L23" s="27"/>
      <c r="M23" s="27"/>
      <c r="N23" s="27"/>
      <c r="O23" s="27"/>
      <c r="P23" s="27"/>
      <c r="Q23" s="27"/>
    </row>
    <row r="24">
      <c r="A24" s="9">
        <v>46004.0</v>
      </c>
      <c r="B24" s="2">
        <v>34000.0</v>
      </c>
      <c r="C24" s="1">
        <v>4.55</v>
      </c>
      <c r="D24" s="14"/>
      <c r="E24" s="26">
        <f t="shared" si="1"/>
        <v>154700</v>
      </c>
      <c r="F24" s="10"/>
      <c r="G24" s="11"/>
      <c r="H24" s="26">
        <f t="shared" si="2"/>
        <v>508378.52</v>
      </c>
      <c r="I24" s="8"/>
      <c r="J24" s="27"/>
      <c r="K24" s="27"/>
      <c r="L24" s="27"/>
      <c r="M24" s="27"/>
      <c r="N24" s="27"/>
      <c r="O24" s="27"/>
      <c r="P24" s="27"/>
      <c r="Q24" s="27"/>
    </row>
    <row r="25">
      <c r="A25" s="9">
        <v>46006.0</v>
      </c>
      <c r="B25" s="2"/>
      <c r="C25" s="1">
        <v>4.55</v>
      </c>
      <c r="D25" s="14"/>
      <c r="E25" s="26">
        <f t="shared" si="1"/>
        <v>0</v>
      </c>
      <c r="F25" s="10"/>
      <c r="G25" s="5">
        <v>340000.0</v>
      </c>
      <c r="H25" s="26">
        <f t="shared" si="2"/>
        <v>168378.52</v>
      </c>
      <c r="I25" s="8"/>
      <c r="J25" s="27"/>
      <c r="K25" s="27"/>
      <c r="L25" s="27"/>
      <c r="M25" s="27"/>
      <c r="N25" s="27"/>
      <c r="O25" s="27"/>
      <c r="P25" s="27"/>
      <c r="Q25" s="27"/>
    </row>
    <row r="26">
      <c r="A26" s="9">
        <v>46006.0</v>
      </c>
      <c r="B26" s="2">
        <v>1000.0</v>
      </c>
      <c r="C26" s="1">
        <v>4.55</v>
      </c>
      <c r="D26" s="14"/>
      <c r="E26" s="26">
        <f t="shared" si="1"/>
        <v>4550</v>
      </c>
      <c r="F26" s="10"/>
      <c r="G26" s="11"/>
      <c r="H26" s="26">
        <f t="shared" si="2"/>
        <v>172928.52</v>
      </c>
      <c r="I26" s="8"/>
      <c r="J26" s="27"/>
      <c r="K26" s="27"/>
      <c r="L26" s="27"/>
      <c r="M26" s="27"/>
      <c r="N26" s="27"/>
      <c r="O26" s="27"/>
      <c r="P26" s="27"/>
      <c r="Q26" s="27"/>
    </row>
    <row r="27">
      <c r="A27" s="9">
        <v>46007.0</v>
      </c>
      <c r="B27" s="2">
        <v>6300.0</v>
      </c>
      <c r="C27" s="1">
        <v>4.6</v>
      </c>
      <c r="D27" s="14"/>
      <c r="E27" s="26">
        <f t="shared" si="1"/>
        <v>28980</v>
      </c>
      <c r="F27" s="10"/>
      <c r="G27" s="11"/>
      <c r="H27" s="26">
        <f t="shared" si="2"/>
        <v>201908.52</v>
      </c>
      <c r="I27" s="8"/>
      <c r="J27" s="27"/>
      <c r="K27" s="27"/>
      <c r="L27" s="27"/>
      <c r="M27" s="27"/>
      <c r="N27" s="27"/>
      <c r="O27" s="27"/>
      <c r="P27" s="27"/>
      <c r="Q27" s="27"/>
    </row>
    <row r="28">
      <c r="A28" s="9">
        <v>46008.0</v>
      </c>
      <c r="B28" s="2">
        <v>13000.0</v>
      </c>
      <c r="C28" s="1">
        <v>4.6</v>
      </c>
      <c r="D28" s="14"/>
      <c r="E28" s="26">
        <f t="shared" si="1"/>
        <v>59800</v>
      </c>
      <c r="F28" s="10"/>
      <c r="G28" s="11"/>
      <c r="H28" s="26">
        <f t="shared" si="2"/>
        <v>261708.52</v>
      </c>
      <c r="I28" s="8"/>
      <c r="J28" s="27"/>
      <c r="K28" s="27"/>
      <c r="L28" s="27"/>
      <c r="M28" s="27"/>
      <c r="N28" s="27"/>
      <c r="O28" s="27"/>
      <c r="P28" s="27"/>
      <c r="Q28" s="27"/>
    </row>
    <row r="29">
      <c r="A29" s="9">
        <v>46009.0</v>
      </c>
      <c r="B29" s="2">
        <v>5800.0</v>
      </c>
      <c r="C29" s="1">
        <v>4.6</v>
      </c>
      <c r="D29" s="14"/>
      <c r="E29" s="26">
        <f t="shared" si="1"/>
        <v>26680</v>
      </c>
      <c r="F29" s="10"/>
      <c r="G29" s="11"/>
      <c r="H29" s="26">
        <f t="shared" si="2"/>
        <v>288388.52</v>
      </c>
      <c r="I29" s="8"/>
      <c r="J29" s="27"/>
      <c r="K29" s="27"/>
      <c r="L29" s="27"/>
      <c r="M29" s="27"/>
      <c r="N29" s="27"/>
      <c r="O29" s="27"/>
      <c r="P29" s="27"/>
      <c r="Q29" s="27"/>
    </row>
    <row r="30">
      <c r="A30" s="9">
        <v>46009.0</v>
      </c>
      <c r="B30" s="13"/>
      <c r="C30" s="14"/>
      <c r="D30" s="14"/>
      <c r="E30" s="26">
        <f t="shared" si="1"/>
        <v>0</v>
      </c>
      <c r="F30" s="10"/>
      <c r="G30" s="5">
        <v>250000.0</v>
      </c>
      <c r="H30" s="26">
        <f t="shared" si="2"/>
        <v>38388.52</v>
      </c>
      <c r="I30" s="8"/>
      <c r="J30" s="27"/>
      <c r="K30" s="27"/>
      <c r="L30" s="27"/>
      <c r="M30" s="27"/>
      <c r="N30" s="27"/>
      <c r="O30" s="27"/>
      <c r="P30" s="27"/>
      <c r="Q30" s="27"/>
    </row>
    <row r="31">
      <c r="A31" s="9">
        <v>46011.0</v>
      </c>
      <c r="B31" s="2">
        <v>8350.0</v>
      </c>
      <c r="C31" s="1">
        <v>4.6</v>
      </c>
      <c r="D31" s="14"/>
      <c r="E31" s="26">
        <f t="shared" si="1"/>
        <v>38410</v>
      </c>
      <c r="F31" s="10"/>
      <c r="G31" s="11"/>
      <c r="H31" s="26">
        <f t="shared" si="2"/>
        <v>76798.52</v>
      </c>
      <c r="I31" s="8"/>
      <c r="J31" s="27"/>
      <c r="K31" s="27"/>
      <c r="L31" s="27"/>
      <c r="M31" s="27"/>
      <c r="N31" s="27"/>
      <c r="O31" s="27"/>
      <c r="P31" s="27"/>
      <c r="Q31" s="27"/>
    </row>
    <row r="32">
      <c r="A32" s="9">
        <v>46012.0</v>
      </c>
      <c r="B32" s="13"/>
      <c r="C32" s="14"/>
      <c r="D32" s="1"/>
      <c r="E32" s="26">
        <f t="shared" si="1"/>
        <v>0</v>
      </c>
      <c r="F32" s="4"/>
      <c r="G32" s="5">
        <v>10000.0</v>
      </c>
      <c r="H32" s="26">
        <f t="shared" si="2"/>
        <v>66798.52</v>
      </c>
      <c r="I32" s="1" t="s">
        <v>10</v>
      </c>
      <c r="J32" s="25"/>
      <c r="K32" s="27"/>
      <c r="L32" s="27"/>
      <c r="M32" s="27"/>
      <c r="N32" s="27"/>
      <c r="O32" s="27"/>
      <c r="P32" s="27"/>
      <c r="Q32" s="27"/>
    </row>
    <row r="33">
      <c r="A33" s="9">
        <v>46013.0</v>
      </c>
      <c r="B33" s="2">
        <v>7000.0</v>
      </c>
      <c r="C33" s="1">
        <v>4.6</v>
      </c>
      <c r="D33" s="14"/>
      <c r="E33" s="26">
        <f t="shared" si="1"/>
        <v>32200</v>
      </c>
      <c r="F33" s="10"/>
      <c r="G33" s="11"/>
      <c r="H33" s="26">
        <f t="shared" si="2"/>
        <v>98998.52</v>
      </c>
      <c r="I33" s="8"/>
      <c r="J33" s="27"/>
      <c r="K33" s="27"/>
      <c r="L33" s="27"/>
      <c r="M33" s="27"/>
      <c r="N33" s="27"/>
      <c r="O33" s="27"/>
      <c r="P33" s="27"/>
      <c r="Q33" s="27"/>
    </row>
    <row r="34">
      <c r="A34" s="9">
        <v>46016.0</v>
      </c>
      <c r="B34" s="2">
        <v>5880.0</v>
      </c>
      <c r="C34" s="1">
        <v>4.6</v>
      </c>
      <c r="D34" s="14"/>
      <c r="E34" s="26">
        <f t="shared" si="1"/>
        <v>27048</v>
      </c>
      <c r="F34" s="10"/>
      <c r="G34" s="11"/>
      <c r="H34" s="26">
        <f t="shared" si="2"/>
        <v>126046.52</v>
      </c>
      <c r="I34" s="8"/>
      <c r="J34" s="27"/>
      <c r="K34" s="27"/>
      <c r="L34" s="27"/>
      <c r="M34" s="27"/>
      <c r="N34" s="27"/>
      <c r="O34" s="27"/>
      <c r="P34" s="27"/>
      <c r="Q34" s="27"/>
    </row>
    <row r="35">
      <c r="A35" s="9">
        <v>46016.0</v>
      </c>
      <c r="B35" s="2">
        <v>12500.0</v>
      </c>
      <c r="C35" s="1">
        <v>4.6</v>
      </c>
      <c r="D35" s="14"/>
      <c r="E35" s="26">
        <f t="shared" si="1"/>
        <v>57500</v>
      </c>
      <c r="F35" s="10"/>
      <c r="G35" s="11"/>
      <c r="H35" s="26">
        <f t="shared" si="2"/>
        <v>183546.52</v>
      </c>
      <c r="I35" s="8"/>
      <c r="J35" s="27"/>
      <c r="K35" s="27"/>
      <c r="L35" s="27"/>
      <c r="M35" s="27"/>
      <c r="N35" s="27"/>
      <c r="O35" s="27"/>
      <c r="P35" s="27"/>
      <c r="Q35" s="27"/>
    </row>
    <row r="36">
      <c r="A36" s="9">
        <v>46017.0</v>
      </c>
      <c r="B36" s="2">
        <v>10000.0</v>
      </c>
      <c r="C36" s="1">
        <v>4.6</v>
      </c>
      <c r="D36" s="14"/>
      <c r="E36" s="26">
        <f t="shared" si="1"/>
        <v>46000</v>
      </c>
      <c r="F36" s="10"/>
      <c r="G36" s="11"/>
      <c r="H36" s="26">
        <f t="shared" si="2"/>
        <v>229546.52</v>
      </c>
      <c r="I36" s="8"/>
      <c r="J36" s="27"/>
      <c r="K36" s="27"/>
      <c r="L36" s="27"/>
      <c r="M36" s="27"/>
      <c r="N36" s="27"/>
      <c r="O36" s="27"/>
      <c r="P36" s="27"/>
      <c r="Q36" s="27"/>
    </row>
    <row r="37">
      <c r="A37" s="9">
        <v>46017.0</v>
      </c>
      <c r="B37" s="2">
        <v>3000.0</v>
      </c>
      <c r="C37" s="1">
        <v>4.6</v>
      </c>
      <c r="D37" s="14"/>
      <c r="E37" s="26">
        <f t="shared" si="1"/>
        <v>13800</v>
      </c>
      <c r="F37" s="10"/>
      <c r="G37" s="11"/>
      <c r="H37" s="26">
        <f t="shared" si="2"/>
        <v>243346.52</v>
      </c>
      <c r="I37" s="8"/>
      <c r="J37" s="27"/>
      <c r="K37" s="27"/>
      <c r="L37" s="27"/>
      <c r="M37" s="27"/>
      <c r="N37" s="27"/>
      <c r="O37" s="27"/>
      <c r="P37" s="27"/>
      <c r="Q37" s="27"/>
    </row>
    <row r="38">
      <c r="A38" s="9">
        <v>46017.0</v>
      </c>
      <c r="B38" s="2">
        <v>6999.0</v>
      </c>
      <c r="C38" s="1">
        <v>4.6</v>
      </c>
      <c r="D38" s="14"/>
      <c r="E38" s="26">
        <f t="shared" si="1"/>
        <v>32195.4</v>
      </c>
      <c r="F38" s="10"/>
      <c r="G38" s="11"/>
      <c r="H38" s="26">
        <f t="shared" si="2"/>
        <v>275541.92</v>
      </c>
      <c r="I38" s="8"/>
      <c r="J38" s="27"/>
      <c r="K38" s="27"/>
      <c r="L38" s="27"/>
      <c r="M38" s="27"/>
      <c r="N38" s="27"/>
      <c r="O38" s="27"/>
      <c r="P38" s="27"/>
      <c r="Q38" s="27"/>
    </row>
    <row r="39">
      <c r="A39" s="9">
        <v>46019.0</v>
      </c>
      <c r="B39" s="13"/>
      <c r="C39" s="14"/>
      <c r="D39" s="1"/>
      <c r="E39" s="26">
        <f t="shared" si="1"/>
        <v>0</v>
      </c>
      <c r="F39" s="4"/>
      <c r="G39" s="5">
        <v>270000.0</v>
      </c>
      <c r="H39" s="26">
        <f t="shared" si="2"/>
        <v>5541.92</v>
      </c>
      <c r="I39" s="1" t="s">
        <v>17</v>
      </c>
      <c r="J39" s="25"/>
      <c r="K39" s="27"/>
      <c r="L39" s="27"/>
      <c r="M39" s="27"/>
      <c r="N39" s="27"/>
      <c r="O39" s="27"/>
      <c r="P39" s="27"/>
      <c r="Q39" s="27"/>
    </row>
    <row r="40">
      <c r="A40" s="9">
        <v>46020.0</v>
      </c>
      <c r="B40" s="2">
        <v>2000.0</v>
      </c>
      <c r="C40" s="1">
        <v>4.62</v>
      </c>
      <c r="D40" s="14"/>
      <c r="E40" s="26">
        <f t="shared" si="1"/>
        <v>9240</v>
      </c>
      <c r="F40" s="10"/>
      <c r="G40" s="11"/>
      <c r="H40" s="26">
        <f t="shared" si="2"/>
        <v>14781.92</v>
      </c>
      <c r="I40" s="8"/>
      <c r="J40" s="27"/>
      <c r="K40" s="27"/>
      <c r="L40" s="27"/>
      <c r="M40" s="27"/>
      <c r="N40" s="27"/>
      <c r="O40" s="27"/>
      <c r="P40" s="27"/>
      <c r="Q40" s="27"/>
    </row>
    <row r="41">
      <c r="A41" s="9">
        <v>46020.0</v>
      </c>
      <c r="B41" s="2">
        <v>1000.0</v>
      </c>
      <c r="C41" s="1">
        <v>4.61</v>
      </c>
      <c r="D41" s="14"/>
      <c r="E41" s="26">
        <f t="shared" si="1"/>
        <v>4610</v>
      </c>
      <c r="F41" s="10"/>
      <c r="G41" s="11"/>
      <c r="H41" s="26">
        <f t="shared" si="2"/>
        <v>19391.92</v>
      </c>
      <c r="I41" s="8"/>
      <c r="J41" s="27"/>
      <c r="K41" s="27"/>
      <c r="L41" s="27"/>
      <c r="M41" s="27"/>
      <c r="N41" s="27"/>
      <c r="O41" s="27"/>
      <c r="P41" s="27"/>
      <c r="Q41" s="27"/>
    </row>
    <row r="42">
      <c r="A42" s="9">
        <v>46020.0</v>
      </c>
      <c r="B42" s="2">
        <v>15300.0</v>
      </c>
      <c r="C42" s="1">
        <v>4.61</v>
      </c>
      <c r="D42" s="14"/>
      <c r="E42" s="26">
        <f t="shared" si="1"/>
        <v>70533</v>
      </c>
      <c r="F42" s="10"/>
      <c r="G42" s="11"/>
      <c r="H42" s="26">
        <f t="shared" si="2"/>
        <v>89924.92</v>
      </c>
      <c r="I42" s="8"/>
      <c r="J42" s="27"/>
      <c r="K42" s="27"/>
      <c r="L42" s="27"/>
      <c r="M42" s="27"/>
      <c r="N42" s="27"/>
      <c r="O42" s="27"/>
      <c r="P42" s="27"/>
      <c r="Q42" s="27"/>
    </row>
    <row r="43">
      <c r="A43" s="9">
        <v>46023.0</v>
      </c>
      <c r="B43" s="2">
        <v>8800.0</v>
      </c>
      <c r="C43" s="1">
        <v>4.61</v>
      </c>
      <c r="D43" s="14"/>
      <c r="E43" s="26">
        <f t="shared" si="1"/>
        <v>40568</v>
      </c>
      <c r="F43" s="10"/>
      <c r="G43" s="11"/>
      <c r="H43" s="26">
        <f t="shared" si="2"/>
        <v>130492.92</v>
      </c>
      <c r="I43" s="8"/>
      <c r="J43" s="27"/>
      <c r="K43" s="27"/>
      <c r="L43" s="27"/>
      <c r="M43" s="27"/>
      <c r="N43" s="27"/>
      <c r="O43" s="27"/>
      <c r="P43" s="27"/>
      <c r="Q43" s="27"/>
    </row>
    <row r="44">
      <c r="A44" s="9">
        <v>46025.0</v>
      </c>
      <c r="B44" s="2">
        <v>7999.0</v>
      </c>
      <c r="C44" s="1">
        <v>4.63</v>
      </c>
      <c r="D44" s="14"/>
      <c r="E44" s="26">
        <f t="shared" si="1"/>
        <v>37035.37</v>
      </c>
      <c r="F44" s="10"/>
      <c r="G44" s="11"/>
      <c r="H44" s="26">
        <f t="shared" si="2"/>
        <v>167528.29</v>
      </c>
      <c r="I44" s="8"/>
      <c r="J44" s="27"/>
      <c r="K44" s="27"/>
      <c r="L44" s="27"/>
      <c r="M44" s="27"/>
      <c r="N44" s="27"/>
      <c r="O44" s="27"/>
      <c r="P44" s="27"/>
      <c r="Q44" s="27"/>
    </row>
    <row r="45">
      <c r="A45" s="9">
        <v>46026.0</v>
      </c>
      <c r="B45" s="2">
        <v>5999.0</v>
      </c>
      <c r="C45" s="1">
        <v>4.63</v>
      </c>
      <c r="D45" s="14"/>
      <c r="E45" s="26">
        <f t="shared" si="1"/>
        <v>27775.37</v>
      </c>
      <c r="F45" s="10"/>
      <c r="G45" s="11"/>
      <c r="H45" s="26">
        <f t="shared" si="2"/>
        <v>195303.66</v>
      </c>
      <c r="I45" s="8"/>
      <c r="J45" s="27"/>
      <c r="K45" s="27"/>
      <c r="L45" s="27"/>
      <c r="M45" s="27"/>
      <c r="N45" s="27"/>
      <c r="O45" s="27"/>
      <c r="P45" s="27"/>
      <c r="Q45" s="27"/>
    </row>
    <row r="46">
      <c r="A46" s="9">
        <v>46028.0</v>
      </c>
      <c r="B46" s="13"/>
      <c r="C46" s="14"/>
      <c r="D46" s="14"/>
      <c r="E46" s="26">
        <f t="shared" si="1"/>
        <v>0</v>
      </c>
      <c r="F46" s="10"/>
      <c r="G46" s="5">
        <v>150000.0</v>
      </c>
      <c r="H46" s="26">
        <f t="shared" si="2"/>
        <v>45303.66</v>
      </c>
      <c r="I46" s="8"/>
      <c r="J46" s="27"/>
      <c r="K46" s="27"/>
      <c r="L46" s="27"/>
      <c r="M46" s="27"/>
      <c r="N46" s="27"/>
      <c r="O46" s="27"/>
      <c r="P46" s="27"/>
      <c r="Q46" s="27"/>
    </row>
    <row r="47">
      <c r="A47" s="9">
        <v>46030.0</v>
      </c>
      <c r="B47" s="2">
        <v>19300.0</v>
      </c>
      <c r="C47" s="1">
        <v>4.67</v>
      </c>
      <c r="D47" s="14"/>
      <c r="E47" s="26">
        <f t="shared" si="1"/>
        <v>90131</v>
      </c>
      <c r="F47" s="10"/>
      <c r="G47" s="11"/>
      <c r="H47" s="26">
        <f t="shared" si="2"/>
        <v>135434.66</v>
      </c>
      <c r="I47" s="8"/>
      <c r="J47" s="27"/>
      <c r="K47" s="27"/>
      <c r="L47" s="27"/>
      <c r="M47" s="27"/>
      <c r="N47" s="27"/>
      <c r="O47" s="27"/>
      <c r="P47" s="27"/>
      <c r="Q47" s="27"/>
    </row>
    <row r="48">
      <c r="A48" s="9">
        <v>46032.0</v>
      </c>
      <c r="B48" s="2">
        <v>6999.0</v>
      </c>
      <c r="C48" s="1">
        <v>4.67</v>
      </c>
      <c r="D48" s="14"/>
      <c r="E48" s="26">
        <f t="shared" si="1"/>
        <v>32685.33</v>
      </c>
      <c r="F48" s="10"/>
      <c r="G48" s="11"/>
      <c r="H48" s="26">
        <f t="shared" si="2"/>
        <v>168119.99</v>
      </c>
      <c r="I48" s="8"/>
      <c r="J48" s="27"/>
      <c r="K48" s="27"/>
      <c r="L48" s="27"/>
      <c r="M48" s="27"/>
      <c r="N48" s="27"/>
      <c r="O48" s="27"/>
      <c r="P48" s="27"/>
      <c r="Q48" s="27"/>
    </row>
    <row r="49">
      <c r="A49" s="9">
        <v>46033.0</v>
      </c>
      <c r="B49" s="2">
        <v>12000.0</v>
      </c>
      <c r="C49" s="1">
        <v>4.67</v>
      </c>
      <c r="D49" s="14"/>
      <c r="E49" s="26">
        <f t="shared" si="1"/>
        <v>56040</v>
      </c>
      <c r="F49" s="10"/>
      <c r="G49" s="11"/>
      <c r="H49" s="26">
        <f t="shared" si="2"/>
        <v>224159.99</v>
      </c>
      <c r="I49" s="8"/>
      <c r="J49" s="27"/>
      <c r="K49" s="27"/>
      <c r="L49" s="27"/>
      <c r="M49" s="27"/>
      <c r="N49" s="27"/>
      <c r="O49" s="27"/>
      <c r="P49" s="27"/>
      <c r="Q49" s="27"/>
    </row>
    <row r="50">
      <c r="A50" s="9">
        <v>46035.0</v>
      </c>
      <c r="B50" s="2">
        <v>5080.0</v>
      </c>
      <c r="C50" s="1">
        <v>4.69</v>
      </c>
      <c r="D50" s="14"/>
      <c r="E50" s="26">
        <f t="shared" si="1"/>
        <v>23825.2</v>
      </c>
      <c r="F50" s="10"/>
      <c r="G50" s="11"/>
      <c r="H50" s="26">
        <f t="shared" si="2"/>
        <v>247985.19</v>
      </c>
      <c r="I50" s="8"/>
      <c r="J50" s="27"/>
      <c r="K50" s="27"/>
      <c r="L50" s="27"/>
      <c r="M50" s="27"/>
      <c r="N50" s="27"/>
      <c r="O50" s="27"/>
      <c r="P50" s="27"/>
      <c r="Q50" s="27"/>
    </row>
    <row r="51">
      <c r="A51" s="9">
        <v>46036.0</v>
      </c>
      <c r="B51" s="2">
        <v>3088.0</v>
      </c>
      <c r="C51" s="1">
        <v>4.69</v>
      </c>
      <c r="D51" s="14"/>
      <c r="E51" s="26">
        <f t="shared" si="1"/>
        <v>14482.72</v>
      </c>
      <c r="F51" s="10"/>
      <c r="G51" s="11"/>
      <c r="H51" s="26">
        <f t="shared" si="2"/>
        <v>262467.91</v>
      </c>
      <c r="I51" s="8"/>
      <c r="J51" s="27"/>
      <c r="K51" s="27"/>
      <c r="L51" s="27"/>
      <c r="M51" s="27"/>
      <c r="N51" s="27"/>
      <c r="O51" s="27"/>
      <c r="P51" s="27"/>
      <c r="Q51" s="27"/>
    </row>
    <row r="52">
      <c r="A52" s="9">
        <v>46037.0</v>
      </c>
      <c r="B52" s="13"/>
      <c r="C52" s="14"/>
      <c r="D52" s="14"/>
      <c r="E52" s="26">
        <f t="shared" si="1"/>
        <v>0</v>
      </c>
      <c r="F52" s="10"/>
      <c r="G52" s="5">
        <v>190000.0</v>
      </c>
      <c r="H52" s="26">
        <f t="shared" si="2"/>
        <v>72467.91</v>
      </c>
      <c r="I52" s="8"/>
      <c r="J52" s="27"/>
      <c r="K52" s="27"/>
      <c r="L52" s="27"/>
      <c r="M52" s="27"/>
      <c r="N52" s="27"/>
      <c r="O52" s="27"/>
      <c r="P52" s="27"/>
      <c r="Q52" s="27"/>
    </row>
    <row r="53">
      <c r="A53" s="9">
        <v>46037.0</v>
      </c>
      <c r="B53" s="2">
        <v>7900.0</v>
      </c>
      <c r="C53" s="1">
        <v>4.69</v>
      </c>
      <c r="D53" s="14"/>
      <c r="E53" s="26">
        <f t="shared" si="1"/>
        <v>37051</v>
      </c>
      <c r="F53" s="10"/>
      <c r="G53" s="11"/>
      <c r="H53" s="26">
        <f t="shared" si="2"/>
        <v>109518.91</v>
      </c>
      <c r="I53" s="8"/>
      <c r="J53" s="27"/>
      <c r="K53" s="27"/>
      <c r="L53" s="27"/>
      <c r="M53" s="27"/>
      <c r="N53" s="27"/>
      <c r="O53" s="27"/>
      <c r="P53" s="27"/>
      <c r="Q53" s="27"/>
    </row>
    <row r="54">
      <c r="A54" s="9">
        <v>46037.0</v>
      </c>
      <c r="B54" s="2">
        <v>4780.0</v>
      </c>
      <c r="C54" s="1">
        <v>4.69</v>
      </c>
      <c r="D54" s="14"/>
      <c r="E54" s="26">
        <f t="shared" si="1"/>
        <v>22418.2</v>
      </c>
      <c r="F54" s="10"/>
      <c r="G54" s="11"/>
      <c r="H54" s="26">
        <f t="shared" si="2"/>
        <v>131937.11</v>
      </c>
      <c r="I54" s="8"/>
      <c r="J54" s="27"/>
      <c r="K54" s="27"/>
      <c r="L54" s="27"/>
      <c r="M54" s="27"/>
      <c r="N54" s="27"/>
      <c r="O54" s="27"/>
      <c r="P54" s="27"/>
      <c r="Q54" s="27"/>
    </row>
    <row r="55">
      <c r="A55" s="9">
        <v>46038.0</v>
      </c>
      <c r="B55" s="2">
        <v>3000.0</v>
      </c>
      <c r="C55" s="1">
        <v>4.69</v>
      </c>
      <c r="D55" s="14"/>
      <c r="E55" s="26">
        <f t="shared" si="1"/>
        <v>14070</v>
      </c>
      <c r="F55" s="10"/>
      <c r="G55" s="11"/>
      <c r="H55" s="26">
        <f t="shared" si="2"/>
        <v>146007.11</v>
      </c>
      <c r="I55" s="8"/>
      <c r="J55" s="27"/>
      <c r="K55" s="27"/>
      <c r="L55" s="27"/>
      <c r="M55" s="27"/>
      <c r="N55" s="27"/>
      <c r="O55" s="27"/>
      <c r="P55" s="27"/>
      <c r="Q55" s="27"/>
    </row>
    <row r="56">
      <c r="A56" s="9">
        <v>46042.0</v>
      </c>
      <c r="B56" s="2">
        <v>6500.0</v>
      </c>
      <c r="C56" s="1">
        <v>4.67</v>
      </c>
      <c r="D56" s="14"/>
      <c r="E56" s="26">
        <f t="shared" si="1"/>
        <v>30355</v>
      </c>
      <c r="F56" s="10"/>
      <c r="G56" s="11"/>
      <c r="H56" s="26">
        <f t="shared" si="2"/>
        <v>176362.11</v>
      </c>
      <c r="I56" s="8"/>
      <c r="J56" s="27"/>
      <c r="K56" s="27"/>
      <c r="L56" s="27"/>
      <c r="M56" s="27"/>
      <c r="N56" s="27"/>
      <c r="O56" s="27"/>
      <c r="P56" s="27"/>
      <c r="Q56" s="27"/>
    </row>
    <row r="57">
      <c r="A57" s="9">
        <v>46042.0</v>
      </c>
      <c r="B57" s="2">
        <v>11500.0</v>
      </c>
      <c r="C57" s="1">
        <v>4.67</v>
      </c>
      <c r="D57" s="14"/>
      <c r="E57" s="26">
        <f t="shared" si="1"/>
        <v>53705</v>
      </c>
      <c r="F57" s="10"/>
      <c r="G57" s="11"/>
      <c r="H57" s="26">
        <f t="shared" si="2"/>
        <v>230067.11</v>
      </c>
      <c r="I57" s="8"/>
      <c r="J57" s="27"/>
      <c r="K57" s="27"/>
      <c r="L57" s="27"/>
      <c r="M57" s="27"/>
      <c r="N57" s="27"/>
      <c r="O57" s="27"/>
      <c r="P57" s="27"/>
      <c r="Q57" s="27"/>
    </row>
    <row r="58">
      <c r="A58" s="9">
        <v>46042.0</v>
      </c>
      <c r="B58" s="2">
        <v>2800.0</v>
      </c>
      <c r="C58" s="1">
        <v>4.67</v>
      </c>
      <c r="D58" s="14"/>
      <c r="E58" s="26">
        <f t="shared" si="1"/>
        <v>13076</v>
      </c>
      <c r="F58" s="10"/>
      <c r="G58" s="11"/>
      <c r="H58" s="26">
        <f t="shared" si="2"/>
        <v>243143.11</v>
      </c>
      <c r="I58" s="8"/>
      <c r="J58" s="27"/>
      <c r="K58" s="27"/>
      <c r="L58" s="27"/>
      <c r="M58" s="27"/>
      <c r="N58" s="27"/>
      <c r="O58" s="27"/>
      <c r="P58" s="27"/>
      <c r="Q58" s="27"/>
    </row>
    <row r="59">
      <c r="A59" s="9">
        <v>46044.0</v>
      </c>
      <c r="B59" s="2">
        <v>800.0</v>
      </c>
      <c r="C59" s="1">
        <v>4.67</v>
      </c>
      <c r="D59" s="14"/>
      <c r="E59" s="26">
        <f t="shared" si="1"/>
        <v>3736</v>
      </c>
      <c r="F59" s="10"/>
      <c r="G59" s="11"/>
      <c r="H59" s="26">
        <f t="shared" si="2"/>
        <v>246879.11</v>
      </c>
      <c r="I59" s="8"/>
      <c r="J59" s="27"/>
      <c r="K59" s="27"/>
      <c r="L59" s="27"/>
      <c r="M59" s="27"/>
      <c r="N59" s="27"/>
      <c r="O59" s="27"/>
      <c r="P59" s="27"/>
      <c r="Q59" s="27"/>
    </row>
    <row r="60">
      <c r="A60" s="9">
        <v>46045.0</v>
      </c>
      <c r="B60" s="13"/>
      <c r="C60" s="14"/>
      <c r="D60" s="14"/>
      <c r="E60" s="26">
        <f t="shared" si="1"/>
        <v>0</v>
      </c>
      <c r="F60" s="10"/>
      <c r="G60" s="5">
        <v>200000.0</v>
      </c>
      <c r="H60" s="26">
        <f t="shared" si="2"/>
        <v>46879.11</v>
      </c>
      <c r="I60" s="8"/>
      <c r="J60" s="27"/>
      <c r="K60" s="27"/>
      <c r="L60" s="27"/>
      <c r="M60" s="27"/>
      <c r="N60" s="27"/>
      <c r="O60" s="27"/>
      <c r="P60" s="27"/>
      <c r="Q60" s="27"/>
    </row>
    <row r="61">
      <c r="A61" s="9">
        <v>46046.0</v>
      </c>
      <c r="B61" s="2">
        <v>5500.0</v>
      </c>
      <c r="C61" s="1">
        <v>4.67</v>
      </c>
      <c r="D61" s="14"/>
      <c r="E61" s="26">
        <f t="shared" si="1"/>
        <v>25685</v>
      </c>
      <c r="F61" s="10"/>
      <c r="G61" s="11"/>
      <c r="H61" s="26">
        <f t="shared" si="2"/>
        <v>72564.11</v>
      </c>
      <c r="I61" s="8"/>
      <c r="J61" s="27"/>
      <c r="K61" s="27"/>
      <c r="L61" s="27"/>
      <c r="M61" s="27"/>
      <c r="N61" s="27"/>
      <c r="O61" s="27"/>
      <c r="P61" s="27"/>
      <c r="Q61" s="27"/>
    </row>
    <row r="62">
      <c r="A62" s="9">
        <v>46047.0</v>
      </c>
      <c r="B62" s="2">
        <v>9600.0</v>
      </c>
      <c r="C62" s="1">
        <v>4.67</v>
      </c>
      <c r="D62" s="14"/>
      <c r="E62" s="26">
        <f t="shared" si="1"/>
        <v>44832</v>
      </c>
      <c r="F62" s="10"/>
      <c r="G62" s="11"/>
      <c r="H62" s="26">
        <f t="shared" si="2"/>
        <v>117396.11</v>
      </c>
      <c r="I62" s="8"/>
      <c r="J62" s="27"/>
      <c r="K62" s="27"/>
      <c r="L62" s="27"/>
      <c r="M62" s="27"/>
      <c r="N62" s="27"/>
      <c r="O62" s="27"/>
      <c r="P62" s="27"/>
      <c r="Q62" s="27"/>
    </row>
    <row r="63">
      <c r="A63" s="9">
        <v>46048.0</v>
      </c>
      <c r="B63" s="2">
        <v>8900.0</v>
      </c>
      <c r="C63" s="1">
        <v>4.67</v>
      </c>
      <c r="D63" s="14"/>
      <c r="E63" s="26">
        <f t="shared" si="1"/>
        <v>41563</v>
      </c>
      <c r="F63" s="10"/>
      <c r="G63" s="11"/>
      <c r="H63" s="26">
        <f t="shared" si="2"/>
        <v>158959.11</v>
      </c>
      <c r="I63" s="8"/>
      <c r="J63" s="27"/>
      <c r="K63" s="27"/>
      <c r="L63" s="27"/>
      <c r="M63" s="27"/>
      <c r="N63" s="27"/>
      <c r="O63" s="27"/>
      <c r="P63" s="27"/>
      <c r="Q63" s="27"/>
    </row>
    <row r="64">
      <c r="A64" s="9">
        <v>46048.0</v>
      </c>
      <c r="B64" s="2">
        <v>5500.0</v>
      </c>
      <c r="C64" s="1">
        <v>4.67</v>
      </c>
      <c r="D64" s="14"/>
      <c r="E64" s="26">
        <f t="shared" si="1"/>
        <v>25685</v>
      </c>
      <c r="F64" s="10"/>
      <c r="G64" s="11"/>
      <c r="H64" s="26">
        <f t="shared" si="2"/>
        <v>184644.11</v>
      </c>
      <c r="I64" s="8"/>
      <c r="J64" s="27"/>
      <c r="K64" s="27"/>
      <c r="L64" s="27"/>
      <c r="M64" s="27"/>
      <c r="N64" s="27"/>
      <c r="O64" s="27"/>
      <c r="P64" s="27"/>
      <c r="Q64" s="27"/>
    </row>
    <row r="65">
      <c r="A65" s="9">
        <v>46050.0</v>
      </c>
      <c r="B65" s="13"/>
      <c r="C65" s="14"/>
      <c r="D65" s="1"/>
      <c r="E65" s="26">
        <f t="shared" si="1"/>
        <v>0</v>
      </c>
      <c r="F65" s="4"/>
      <c r="G65" s="5">
        <v>150000.0</v>
      </c>
      <c r="H65" s="26">
        <f t="shared" si="2"/>
        <v>34644.11</v>
      </c>
      <c r="I65" s="1" t="s">
        <v>17</v>
      </c>
      <c r="J65" s="25"/>
      <c r="K65" s="27"/>
      <c r="L65" s="27"/>
      <c r="M65" s="27"/>
      <c r="N65" s="27"/>
      <c r="O65" s="27"/>
      <c r="P65" s="27"/>
      <c r="Q65" s="27"/>
    </row>
    <row r="66">
      <c r="A66" s="9">
        <v>46055.0</v>
      </c>
      <c r="B66" s="2">
        <v>13000.0</v>
      </c>
      <c r="C66" s="1">
        <v>4.68</v>
      </c>
      <c r="D66" s="14"/>
      <c r="E66" s="26">
        <f t="shared" si="1"/>
        <v>60840</v>
      </c>
      <c r="F66" s="10"/>
      <c r="G66" s="11"/>
      <c r="H66" s="26">
        <f t="shared" si="2"/>
        <v>95484.11</v>
      </c>
      <c r="I66" s="8"/>
      <c r="J66" s="27"/>
      <c r="K66" s="27"/>
      <c r="L66" s="27"/>
      <c r="M66" s="27"/>
      <c r="N66" s="27"/>
      <c r="O66" s="27"/>
      <c r="P66" s="27"/>
      <c r="Q66" s="27"/>
    </row>
    <row r="67">
      <c r="A67" s="9">
        <v>46055.0</v>
      </c>
      <c r="B67" s="2">
        <v>6400.0</v>
      </c>
      <c r="C67" s="1">
        <v>4.68</v>
      </c>
      <c r="D67" s="14"/>
      <c r="E67" s="26">
        <f t="shared" si="1"/>
        <v>29952</v>
      </c>
      <c r="F67" s="10"/>
      <c r="G67" s="11"/>
      <c r="H67" s="26">
        <f t="shared" si="2"/>
        <v>125436.11</v>
      </c>
      <c r="I67" s="8"/>
      <c r="J67" s="27"/>
      <c r="K67" s="27"/>
      <c r="L67" s="27"/>
      <c r="M67" s="27"/>
      <c r="N67" s="27"/>
      <c r="O67" s="27"/>
      <c r="P67" s="27"/>
      <c r="Q67" s="27"/>
    </row>
    <row r="68">
      <c r="A68" s="9">
        <v>46056.0</v>
      </c>
      <c r="B68" s="2">
        <v>7000.0</v>
      </c>
      <c r="C68" s="1">
        <v>4.68</v>
      </c>
      <c r="D68" s="14"/>
      <c r="E68" s="26">
        <f t="shared" si="1"/>
        <v>32760</v>
      </c>
      <c r="F68" s="10"/>
      <c r="G68" s="11"/>
      <c r="H68" s="26">
        <f t="shared" si="2"/>
        <v>158196.11</v>
      </c>
      <c r="I68" s="8"/>
      <c r="J68" s="27"/>
      <c r="K68" s="27"/>
      <c r="L68" s="27"/>
      <c r="M68" s="27"/>
      <c r="N68" s="27"/>
      <c r="O68" s="27"/>
      <c r="P68" s="27"/>
      <c r="Q68" s="27"/>
    </row>
    <row r="69">
      <c r="A69" s="9">
        <v>46056.0</v>
      </c>
      <c r="B69" s="2">
        <v>18999.0</v>
      </c>
      <c r="C69" s="1">
        <v>4.68</v>
      </c>
      <c r="D69" s="14"/>
      <c r="E69" s="26">
        <f t="shared" si="1"/>
        <v>88915.32</v>
      </c>
      <c r="F69" s="10"/>
      <c r="G69" s="11"/>
      <c r="H69" s="26">
        <f t="shared" si="2"/>
        <v>247111.43</v>
      </c>
      <c r="I69" s="8"/>
      <c r="J69" s="27"/>
      <c r="K69" s="27"/>
      <c r="L69" s="27"/>
      <c r="M69" s="27"/>
      <c r="N69" s="27"/>
      <c r="O69" s="27"/>
      <c r="P69" s="27"/>
      <c r="Q69" s="27"/>
    </row>
    <row r="70">
      <c r="A70" s="9">
        <v>46058.0</v>
      </c>
      <c r="B70" s="2">
        <v>7500.0</v>
      </c>
      <c r="C70" s="1">
        <v>4.68</v>
      </c>
      <c r="D70" s="14"/>
      <c r="E70" s="26">
        <f t="shared" si="1"/>
        <v>35100</v>
      </c>
      <c r="F70" s="10"/>
      <c r="G70" s="11"/>
      <c r="H70" s="26">
        <f t="shared" si="2"/>
        <v>282211.43</v>
      </c>
      <c r="I70" s="8"/>
      <c r="J70" s="27"/>
      <c r="K70" s="27"/>
      <c r="L70" s="27"/>
      <c r="M70" s="27"/>
      <c r="N70" s="27"/>
      <c r="O70" s="27"/>
      <c r="P70" s="27"/>
      <c r="Q70" s="27"/>
    </row>
    <row r="71">
      <c r="A71" s="9">
        <v>46058.0</v>
      </c>
      <c r="B71" s="2">
        <v>3600.0</v>
      </c>
      <c r="C71" s="1">
        <v>4.68</v>
      </c>
      <c r="D71" s="14"/>
      <c r="E71" s="26">
        <f t="shared" si="1"/>
        <v>16848</v>
      </c>
      <c r="F71" s="10"/>
      <c r="G71" s="11"/>
      <c r="H71" s="26">
        <f t="shared" si="2"/>
        <v>299059.43</v>
      </c>
      <c r="I71" s="8"/>
      <c r="J71" s="27"/>
      <c r="K71" s="27"/>
      <c r="L71" s="27"/>
      <c r="M71" s="27"/>
      <c r="N71" s="27"/>
      <c r="O71" s="27"/>
      <c r="P71" s="27"/>
      <c r="Q71" s="27"/>
    </row>
    <row r="72">
      <c r="A72" s="9">
        <v>46059.0</v>
      </c>
      <c r="B72" s="13"/>
      <c r="C72" s="14"/>
      <c r="D72" s="1"/>
      <c r="E72" s="26">
        <f t="shared" si="1"/>
        <v>0</v>
      </c>
      <c r="F72" s="4"/>
      <c r="G72" s="5">
        <v>290000.0</v>
      </c>
      <c r="H72" s="26">
        <f t="shared" si="2"/>
        <v>9059.43</v>
      </c>
      <c r="I72" s="1" t="s">
        <v>17</v>
      </c>
      <c r="J72" s="25"/>
      <c r="K72" s="27"/>
      <c r="L72" s="27"/>
      <c r="M72" s="27"/>
      <c r="N72" s="27"/>
      <c r="O72" s="27"/>
      <c r="P72" s="27"/>
      <c r="Q72" s="27"/>
    </row>
    <row r="73">
      <c r="A73" s="9">
        <v>46059.0</v>
      </c>
      <c r="B73" s="2">
        <v>6600.0</v>
      </c>
      <c r="C73" s="1">
        <v>4.68</v>
      </c>
      <c r="D73" s="14"/>
      <c r="E73" s="26">
        <f t="shared" si="1"/>
        <v>30888</v>
      </c>
      <c r="F73" s="10"/>
      <c r="G73" s="11"/>
      <c r="H73" s="26">
        <f t="shared" si="2"/>
        <v>39947.43</v>
      </c>
      <c r="I73" s="8"/>
      <c r="J73" s="27"/>
      <c r="K73" s="27"/>
      <c r="L73" s="27"/>
      <c r="M73" s="27"/>
      <c r="N73" s="27"/>
      <c r="O73" s="27"/>
      <c r="P73" s="27"/>
      <c r="Q73" s="27"/>
    </row>
    <row r="74">
      <c r="A74" s="9">
        <v>46059.0</v>
      </c>
      <c r="B74" s="2">
        <v>48000.0</v>
      </c>
      <c r="C74" s="1">
        <v>4.68</v>
      </c>
      <c r="D74" s="14"/>
      <c r="E74" s="26">
        <f t="shared" si="1"/>
        <v>224640</v>
      </c>
      <c r="F74" s="10"/>
      <c r="G74" s="11"/>
      <c r="H74" s="26">
        <f t="shared" si="2"/>
        <v>264587.43</v>
      </c>
      <c r="I74" s="8"/>
      <c r="J74" s="27"/>
      <c r="K74" s="27"/>
      <c r="L74" s="27"/>
      <c r="M74" s="27"/>
      <c r="N74" s="27"/>
      <c r="O74" s="27"/>
      <c r="P74" s="27"/>
      <c r="Q74" s="27"/>
    </row>
    <row r="75">
      <c r="A75" s="9">
        <v>46060.0</v>
      </c>
      <c r="B75" s="2">
        <v>11200.0</v>
      </c>
      <c r="C75" s="1">
        <v>4.68</v>
      </c>
      <c r="D75" s="14"/>
      <c r="E75" s="26">
        <f t="shared" si="1"/>
        <v>52416</v>
      </c>
      <c r="F75" s="10"/>
      <c r="G75" s="11"/>
      <c r="H75" s="26">
        <f t="shared" si="2"/>
        <v>317003.43</v>
      </c>
      <c r="I75" s="8"/>
      <c r="J75" s="27"/>
      <c r="K75" s="27"/>
      <c r="L75" s="27"/>
      <c r="M75" s="27"/>
      <c r="N75" s="27"/>
      <c r="O75" s="27"/>
      <c r="P75" s="27"/>
      <c r="Q75" s="27"/>
    </row>
    <row r="76">
      <c r="A76" s="9">
        <v>46061.0</v>
      </c>
      <c r="B76" s="2">
        <v>3730.0</v>
      </c>
      <c r="C76" s="1">
        <v>4.68</v>
      </c>
      <c r="D76" s="1">
        <v>17269.0</v>
      </c>
      <c r="E76" s="26">
        <f t="shared" si="1"/>
        <v>17456.4</v>
      </c>
      <c r="F76" s="4">
        <v>187.0</v>
      </c>
      <c r="G76" s="11"/>
      <c r="H76" s="26">
        <f t="shared" si="2"/>
        <v>334459.83</v>
      </c>
      <c r="I76" s="8"/>
      <c r="J76" s="27"/>
      <c r="K76" s="27"/>
      <c r="L76" s="27"/>
      <c r="M76" s="27"/>
      <c r="N76" s="27"/>
      <c r="O76" s="27"/>
      <c r="P76" s="27"/>
      <c r="Q76" s="27"/>
    </row>
    <row r="77">
      <c r="A77" s="9">
        <v>46062.0</v>
      </c>
      <c r="B77" s="13"/>
      <c r="C77" s="14"/>
      <c r="D77" s="14"/>
      <c r="E77" s="26">
        <f t="shared" si="1"/>
        <v>0</v>
      </c>
      <c r="F77" s="4"/>
      <c r="G77" s="5">
        <v>250000.0</v>
      </c>
      <c r="H77" s="26">
        <f t="shared" si="2"/>
        <v>84459.83</v>
      </c>
      <c r="I77" s="8"/>
      <c r="J77" s="27"/>
      <c r="K77" s="27"/>
      <c r="L77" s="27"/>
      <c r="M77" s="27"/>
      <c r="N77" s="27"/>
      <c r="O77" s="27"/>
      <c r="P77" s="27"/>
      <c r="Q77" s="27"/>
    </row>
    <row r="78">
      <c r="A78" s="9">
        <v>46062.0</v>
      </c>
      <c r="B78" s="2">
        <v>2599.0</v>
      </c>
      <c r="C78" s="1">
        <v>4.7</v>
      </c>
      <c r="D78" s="1">
        <v>12033.0</v>
      </c>
      <c r="E78" s="26">
        <f t="shared" si="1"/>
        <v>12215.3</v>
      </c>
      <c r="F78" s="4">
        <v>183.0</v>
      </c>
      <c r="G78" s="11"/>
      <c r="H78" s="26">
        <f t="shared" si="2"/>
        <v>96675.13</v>
      </c>
      <c r="I78" s="8"/>
      <c r="J78" s="27"/>
      <c r="K78" s="27"/>
      <c r="L78" s="27"/>
      <c r="M78" s="27"/>
      <c r="N78" s="27"/>
      <c r="O78" s="27"/>
      <c r="P78" s="27"/>
      <c r="Q78" s="27"/>
    </row>
    <row r="79">
      <c r="A79" s="9">
        <v>46063.0</v>
      </c>
      <c r="B79" s="2">
        <v>8500.0</v>
      </c>
      <c r="C79" s="1">
        <v>4.7</v>
      </c>
      <c r="D79" s="1">
        <v>39355.0</v>
      </c>
      <c r="E79" s="26">
        <f t="shared" si="1"/>
        <v>39950</v>
      </c>
      <c r="F79" s="10">
        <f t="shared" ref="F79:F80" si="3">IF(D79=0, "", (E79-D79))</f>
        <v>595</v>
      </c>
      <c r="G79" s="11"/>
      <c r="H79" s="26">
        <f t="shared" si="2"/>
        <v>136625.13</v>
      </c>
      <c r="I79" s="8"/>
      <c r="J79" s="27"/>
      <c r="K79" s="27"/>
      <c r="L79" s="27"/>
      <c r="M79" s="27"/>
      <c r="N79" s="27"/>
      <c r="O79" s="27"/>
      <c r="P79" s="27"/>
      <c r="Q79" s="27"/>
    </row>
    <row r="80">
      <c r="A80" s="9">
        <v>46065.0</v>
      </c>
      <c r="B80" s="2">
        <v>3799.0</v>
      </c>
      <c r="C80" s="1">
        <v>4.7</v>
      </c>
      <c r="D80" s="1">
        <v>17589.0</v>
      </c>
      <c r="E80" s="26">
        <f t="shared" si="1"/>
        <v>17855.3</v>
      </c>
      <c r="F80" s="10">
        <f t="shared" si="3"/>
        <v>266.3</v>
      </c>
      <c r="G80" s="11"/>
      <c r="H80" s="26">
        <f t="shared" si="2"/>
        <v>154480.43</v>
      </c>
      <c r="I80" s="8"/>
      <c r="J80" s="27"/>
      <c r="K80" s="27"/>
      <c r="L80" s="27"/>
      <c r="M80" s="27"/>
      <c r="N80" s="27"/>
      <c r="O80" s="27"/>
      <c r="P80" s="27"/>
      <c r="Q80" s="27"/>
    </row>
    <row r="81">
      <c r="A81" s="9">
        <v>46067.0</v>
      </c>
      <c r="B81" s="2"/>
      <c r="C81" s="1"/>
      <c r="D81" s="1"/>
      <c r="E81" s="24"/>
      <c r="F81" s="4"/>
      <c r="G81" s="11"/>
      <c r="H81" s="26">
        <f t="shared" si="2"/>
        <v>154480.43</v>
      </c>
      <c r="I81" s="8"/>
      <c r="J81" s="27"/>
      <c r="K81" s="27"/>
      <c r="L81" s="27"/>
      <c r="M81" s="27"/>
      <c r="N81" s="27"/>
      <c r="O81" s="27"/>
      <c r="P81" s="27"/>
      <c r="Q81" s="27"/>
    </row>
    <row r="82">
      <c r="A82" s="9">
        <v>46067.0</v>
      </c>
      <c r="B82" s="2">
        <v>2180.0</v>
      </c>
      <c r="C82" s="1">
        <v>4.7</v>
      </c>
      <c r="D82" s="1">
        <v>4.63</v>
      </c>
      <c r="E82" s="26">
        <f t="shared" ref="E82:E89" si="4">IF(ISBLANK(A82), "",B82*C82)</f>
        <v>10246</v>
      </c>
      <c r="F82" s="10">
        <f t="shared" ref="F82:F89" si="5">IF(D82=0, "", (C82-D82)*B82)</f>
        <v>152.6</v>
      </c>
      <c r="G82" s="11"/>
      <c r="H82" s="26">
        <f t="shared" si="2"/>
        <v>164726.43</v>
      </c>
      <c r="I82" s="8"/>
      <c r="J82" s="27"/>
      <c r="K82" s="27"/>
      <c r="L82" s="27"/>
      <c r="M82" s="27"/>
      <c r="N82" s="27"/>
      <c r="O82" s="27"/>
      <c r="P82" s="27"/>
      <c r="Q82" s="27"/>
    </row>
    <row r="83">
      <c r="A83" s="9">
        <v>46067.0</v>
      </c>
      <c r="B83" s="2">
        <v>6800.0</v>
      </c>
      <c r="C83" s="1">
        <v>4.7</v>
      </c>
      <c r="D83" s="1">
        <v>4.63</v>
      </c>
      <c r="E83" s="26">
        <f t="shared" si="4"/>
        <v>31960</v>
      </c>
      <c r="F83" s="10">
        <f t="shared" si="5"/>
        <v>476</v>
      </c>
      <c r="G83" s="11"/>
      <c r="H83" s="26">
        <f t="shared" si="2"/>
        <v>196686.43</v>
      </c>
      <c r="I83" s="8"/>
      <c r="J83" s="27"/>
      <c r="K83" s="27"/>
      <c r="L83" s="27"/>
      <c r="M83" s="27"/>
      <c r="N83" s="27"/>
      <c r="O83" s="27"/>
      <c r="P83" s="27"/>
      <c r="Q83" s="27"/>
    </row>
    <row r="84">
      <c r="A84" s="9">
        <v>46067.0</v>
      </c>
      <c r="B84" s="2">
        <v>8000.0</v>
      </c>
      <c r="C84" s="1">
        <v>4.7</v>
      </c>
      <c r="D84" s="1">
        <v>4.63</v>
      </c>
      <c r="E84" s="26">
        <f t="shared" si="4"/>
        <v>37600</v>
      </c>
      <c r="F84" s="10">
        <f t="shared" si="5"/>
        <v>560</v>
      </c>
      <c r="G84" s="5"/>
      <c r="H84" s="26">
        <f t="shared" si="2"/>
        <v>234286.43</v>
      </c>
      <c r="I84" s="1"/>
      <c r="J84" s="27"/>
      <c r="K84" s="27"/>
      <c r="L84" s="27"/>
      <c r="M84" s="27"/>
      <c r="N84" s="27"/>
      <c r="O84" s="27"/>
      <c r="P84" s="27"/>
      <c r="Q84" s="27"/>
    </row>
    <row r="85">
      <c r="A85" s="9">
        <v>46068.0</v>
      </c>
      <c r="B85" s="13"/>
      <c r="C85" s="14"/>
      <c r="D85" s="14"/>
      <c r="E85" s="26">
        <f t="shared" si="4"/>
        <v>0</v>
      </c>
      <c r="F85" s="10" t="str">
        <f t="shared" si="5"/>
        <v/>
      </c>
      <c r="G85" s="5">
        <v>200000.0</v>
      </c>
      <c r="H85" s="26">
        <f t="shared" si="2"/>
        <v>34286.43</v>
      </c>
      <c r="I85" s="1" t="s">
        <v>17</v>
      </c>
      <c r="J85" s="27"/>
      <c r="K85" s="27"/>
      <c r="L85" s="27"/>
      <c r="M85" s="27"/>
      <c r="N85" s="27"/>
      <c r="O85" s="27"/>
      <c r="P85" s="27"/>
      <c r="Q85" s="27"/>
    </row>
    <row r="86">
      <c r="A86" s="9">
        <v>46069.0</v>
      </c>
      <c r="B86" s="2">
        <v>13000.0</v>
      </c>
      <c r="C86" s="1">
        <v>4.7</v>
      </c>
      <c r="D86" s="1">
        <v>4.63</v>
      </c>
      <c r="E86" s="26">
        <f t="shared" si="4"/>
        <v>61100</v>
      </c>
      <c r="F86" s="10">
        <f t="shared" si="5"/>
        <v>910</v>
      </c>
      <c r="G86" s="11"/>
      <c r="H86" s="26">
        <f t="shared" si="2"/>
        <v>95386.43</v>
      </c>
      <c r="I86" s="8"/>
      <c r="J86" s="27"/>
      <c r="K86" s="27"/>
      <c r="L86" s="27"/>
      <c r="M86" s="27"/>
      <c r="N86" s="27"/>
      <c r="O86" s="27"/>
      <c r="P86" s="27"/>
      <c r="Q86" s="27"/>
    </row>
    <row r="87">
      <c r="A87" s="9">
        <v>46070.0</v>
      </c>
      <c r="B87" s="2">
        <v>3292.0</v>
      </c>
      <c r="C87" s="1">
        <v>4.7</v>
      </c>
      <c r="D87" s="1">
        <v>4.63</v>
      </c>
      <c r="E87" s="26">
        <f t="shared" si="4"/>
        <v>15472.4</v>
      </c>
      <c r="F87" s="10">
        <f t="shared" si="5"/>
        <v>230.44</v>
      </c>
      <c r="G87" s="11"/>
      <c r="H87" s="26">
        <f t="shared" si="2"/>
        <v>110858.83</v>
      </c>
      <c r="I87" s="8"/>
      <c r="J87" s="27"/>
      <c r="K87" s="27"/>
      <c r="L87" s="27"/>
      <c r="M87" s="27"/>
      <c r="N87" s="27"/>
      <c r="O87" s="27"/>
      <c r="P87" s="27"/>
      <c r="Q87" s="27"/>
    </row>
    <row r="88">
      <c r="A88" s="9">
        <v>46073.0</v>
      </c>
      <c r="B88" s="2">
        <v>12604.0</v>
      </c>
      <c r="C88" s="1">
        <v>4.7</v>
      </c>
      <c r="D88" s="1">
        <v>4.64</v>
      </c>
      <c r="E88" s="26">
        <f t="shared" si="4"/>
        <v>59238.8</v>
      </c>
      <c r="F88" s="10">
        <f t="shared" si="5"/>
        <v>756.24</v>
      </c>
      <c r="G88" s="11"/>
      <c r="H88" s="26">
        <f t="shared" si="2"/>
        <v>170097.63</v>
      </c>
      <c r="I88" s="8"/>
      <c r="J88" s="27"/>
      <c r="K88" s="27"/>
      <c r="L88" s="27"/>
      <c r="M88" s="27"/>
      <c r="N88" s="27"/>
      <c r="O88" s="27"/>
      <c r="P88" s="27"/>
      <c r="Q88" s="27"/>
    </row>
    <row r="89">
      <c r="A89" s="9">
        <v>46075.0</v>
      </c>
      <c r="B89" s="2">
        <v>42059.0</v>
      </c>
      <c r="C89" s="1">
        <v>4.7</v>
      </c>
      <c r="D89" s="1">
        <v>4.64</v>
      </c>
      <c r="E89" s="26">
        <f t="shared" si="4"/>
        <v>197677.3</v>
      </c>
      <c r="F89" s="10">
        <f t="shared" si="5"/>
        <v>2523.54</v>
      </c>
      <c r="G89" s="11"/>
      <c r="H89" s="26">
        <f t="shared" si="2"/>
        <v>367774.93</v>
      </c>
      <c r="I89" s="8"/>
      <c r="J89" s="27"/>
      <c r="K89" s="27"/>
      <c r="L89" s="27"/>
      <c r="M89" s="27"/>
      <c r="N89" s="27"/>
      <c r="O89" s="27"/>
      <c r="P89" s="27"/>
      <c r="Q89" s="27"/>
    </row>
    <row r="90">
      <c r="A90" s="16">
        <v>46077.0</v>
      </c>
      <c r="B90" s="2">
        <v>16989.0</v>
      </c>
      <c r="C90" s="1">
        <v>4.7</v>
      </c>
      <c r="D90" s="1">
        <v>4.64</v>
      </c>
      <c r="E90" s="24">
        <v>79849.0</v>
      </c>
      <c r="F90" s="4"/>
      <c r="G90" s="11"/>
      <c r="H90" s="24">
        <v>447624.0</v>
      </c>
      <c r="I90" s="8"/>
      <c r="J90" s="27"/>
      <c r="K90" s="27"/>
      <c r="L90" s="27"/>
      <c r="M90" s="27"/>
      <c r="N90" s="27"/>
      <c r="O90" s="27"/>
      <c r="P90" s="27"/>
      <c r="Q90" s="27"/>
    </row>
    <row r="91">
      <c r="A91" s="9">
        <v>46078.0</v>
      </c>
      <c r="B91" s="13"/>
      <c r="C91" s="14"/>
      <c r="D91" s="14"/>
      <c r="E91" s="26"/>
      <c r="F91" s="10"/>
      <c r="G91" s="5">
        <v>200000.0</v>
      </c>
      <c r="H91" s="24">
        <v>247624.0</v>
      </c>
      <c r="I91" s="8"/>
      <c r="J91" s="27"/>
      <c r="K91" s="27"/>
      <c r="L91" s="27"/>
      <c r="M91" s="27"/>
      <c r="N91" s="27"/>
      <c r="O91" s="27"/>
      <c r="P91" s="27"/>
      <c r="Q91" s="27"/>
    </row>
    <row r="92">
      <c r="A92" s="9">
        <v>46078.0</v>
      </c>
      <c r="B92" s="2">
        <v>14910.0</v>
      </c>
      <c r="C92" s="1">
        <v>4.7</v>
      </c>
      <c r="D92" s="1">
        <v>4.64</v>
      </c>
      <c r="E92" s="24">
        <v>70077.0</v>
      </c>
      <c r="F92" s="10"/>
      <c r="G92" s="11"/>
      <c r="H92" s="24">
        <v>317702.0</v>
      </c>
      <c r="I92" s="8"/>
      <c r="J92" s="27"/>
      <c r="K92" s="27"/>
      <c r="L92" s="27"/>
      <c r="M92" s="27"/>
      <c r="N92" s="27"/>
      <c r="O92" s="27"/>
      <c r="P92" s="27"/>
      <c r="Q92" s="27"/>
    </row>
    <row r="93">
      <c r="A93" s="17" t="s">
        <v>35</v>
      </c>
      <c r="B93" s="2">
        <v>32198.0</v>
      </c>
      <c r="C93" s="1">
        <v>4.7</v>
      </c>
      <c r="D93" s="1">
        <v>4.64</v>
      </c>
      <c r="E93" s="24">
        <v>151330.6</v>
      </c>
      <c r="F93" s="4">
        <v>1931.880000000016</v>
      </c>
      <c r="G93" s="11"/>
      <c r="H93" s="24">
        <v>469032.6</v>
      </c>
      <c r="I93" s="8"/>
      <c r="J93" s="27"/>
      <c r="K93" s="27"/>
      <c r="L93" s="27"/>
      <c r="M93" s="27"/>
      <c r="N93" s="27"/>
      <c r="O93" s="27"/>
      <c r="P93" s="27"/>
      <c r="Q93" s="27"/>
    </row>
    <row r="94">
      <c r="A94" s="17" t="s">
        <v>36</v>
      </c>
      <c r="B94" s="2">
        <v>6999.0</v>
      </c>
      <c r="C94" s="1">
        <v>4.7</v>
      </c>
      <c r="D94" s="1">
        <v>4.64</v>
      </c>
      <c r="E94" s="24">
        <v>32895.3</v>
      </c>
      <c r="F94" s="4">
        <v>419.94000000000347</v>
      </c>
      <c r="G94" s="11"/>
      <c r="H94" s="24">
        <v>501928.3</v>
      </c>
      <c r="I94" s="8"/>
      <c r="J94" s="27"/>
      <c r="K94" s="27"/>
      <c r="L94" s="27"/>
      <c r="M94" s="27"/>
      <c r="N94" s="27"/>
      <c r="O94" s="27"/>
      <c r="P94" s="27"/>
      <c r="Q94" s="27"/>
    </row>
    <row r="95">
      <c r="A95" s="17" t="s">
        <v>37</v>
      </c>
      <c r="B95" s="13"/>
      <c r="C95" s="14"/>
      <c r="D95" s="14"/>
      <c r="E95" s="26"/>
      <c r="F95" s="10"/>
      <c r="G95" s="5">
        <v>250000.0</v>
      </c>
      <c r="H95" s="24">
        <v>251928.0</v>
      </c>
      <c r="I95" s="8"/>
      <c r="J95" s="27"/>
      <c r="K95" s="27"/>
      <c r="L95" s="27"/>
      <c r="M95" s="27"/>
      <c r="N95" s="27"/>
      <c r="O95" s="27"/>
      <c r="P95" s="27"/>
      <c r="Q95" s="27"/>
    </row>
    <row r="96">
      <c r="A96" s="17" t="s">
        <v>38</v>
      </c>
      <c r="B96" s="2">
        <v>3089.0</v>
      </c>
      <c r="C96" s="1">
        <v>4.7</v>
      </c>
      <c r="D96" s="1">
        <v>4.65</v>
      </c>
      <c r="E96" s="24">
        <v>14518.300000000001</v>
      </c>
      <c r="F96" s="4">
        <v>154.44999999999945</v>
      </c>
      <c r="G96" s="11"/>
      <c r="H96" s="24">
        <v>266446.3</v>
      </c>
      <c r="I96" s="8"/>
      <c r="J96" s="27"/>
      <c r="K96" s="27"/>
      <c r="L96" s="27"/>
      <c r="M96" s="27"/>
      <c r="N96" s="27"/>
      <c r="O96" s="27"/>
      <c r="P96" s="27"/>
      <c r="Q96" s="27"/>
    </row>
    <row r="97">
      <c r="A97" s="17" t="s">
        <v>38</v>
      </c>
      <c r="B97" s="2">
        <v>3074.0</v>
      </c>
      <c r="C97" s="1">
        <v>4.7</v>
      </c>
      <c r="D97" s="1">
        <v>4.64</v>
      </c>
      <c r="E97" s="24">
        <v>14447.800000000001</v>
      </c>
      <c r="F97" s="4">
        <v>184.44000000000153</v>
      </c>
      <c r="G97" s="11"/>
      <c r="H97" s="24">
        <v>280893.8</v>
      </c>
      <c r="I97" s="8"/>
      <c r="J97" s="27"/>
      <c r="K97" s="27"/>
      <c r="L97" s="27"/>
      <c r="M97" s="27"/>
      <c r="N97" s="27"/>
      <c r="O97" s="27"/>
      <c r="P97" s="27"/>
      <c r="Q97" s="27"/>
    </row>
    <row r="98">
      <c r="A98" s="17" t="s">
        <v>40</v>
      </c>
      <c r="B98" s="2">
        <v>8079.0</v>
      </c>
      <c r="C98" s="1">
        <v>4.7</v>
      </c>
      <c r="D98" s="1">
        <v>4.59</v>
      </c>
      <c r="E98" s="24">
        <v>37971.3</v>
      </c>
      <c r="F98" s="4">
        <v>888.6900000000026</v>
      </c>
      <c r="G98" s="11"/>
      <c r="H98" s="24">
        <v>318865.1</v>
      </c>
      <c r="I98" s="8"/>
      <c r="J98" s="27"/>
      <c r="K98" s="27"/>
      <c r="L98" s="27"/>
      <c r="M98" s="27"/>
      <c r="N98" s="27"/>
      <c r="O98" s="27"/>
      <c r="P98" s="27"/>
      <c r="Q98" s="27"/>
    </row>
    <row r="99">
      <c r="A99" s="17" t="s">
        <v>43</v>
      </c>
      <c r="B99" s="2">
        <v>38429.0</v>
      </c>
      <c r="C99" s="1">
        <v>4.7</v>
      </c>
      <c r="D99" s="1">
        <v>4.59</v>
      </c>
      <c r="E99" s="24">
        <v>180616.30000000002</v>
      </c>
      <c r="F99" s="4">
        <v>4227.190000000012</v>
      </c>
      <c r="G99" s="11"/>
      <c r="H99" s="24">
        <v>499481.4</v>
      </c>
      <c r="I99" s="8"/>
      <c r="J99" s="27"/>
      <c r="K99" s="27"/>
      <c r="L99" s="27"/>
      <c r="M99" s="27"/>
      <c r="N99" s="27"/>
      <c r="O99" s="27"/>
      <c r="P99" s="27"/>
      <c r="Q99" s="27"/>
    </row>
    <row r="100">
      <c r="A100" s="17" t="s">
        <v>43</v>
      </c>
      <c r="B100" s="2">
        <v>13074.0</v>
      </c>
      <c r="C100" s="1">
        <v>4.72</v>
      </c>
      <c r="D100" s="1">
        <v>4.67</v>
      </c>
      <c r="E100" s="24">
        <v>61709.28</v>
      </c>
      <c r="F100" s="4">
        <v>653.6999999999977</v>
      </c>
      <c r="G100" s="11"/>
      <c r="H100" s="24">
        <v>561190.68</v>
      </c>
      <c r="I100" s="8"/>
      <c r="J100" s="27"/>
      <c r="K100" s="27"/>
      <c r="L100" s="27"/>
      <c r="M100" s="27"/>
      <c r="N100" s="27"/>
      <c r="O100" s="27"/>
      <c r="P100" s="27"/>
      <c r="Q100" s="27"/>
    </row>
    <row r="101">
      <c r="A101" s="17" t="s">
        <v>43</v>
      </c>
      <c r="B101" s="13"/>
      <c r="C101" s="14"/>
      <c r="D101" s="14"/>
      <c r="E101" s="26"/>
      <c r="F101" s="10"/>
      <c r="G101" s="5">
        <v>300000.0</v>
      </c>
      <c r="H101" s="24">
        <v>261190.68000000005</v>
      </c>
      <c r="I101" s="8"/>
      <c r="J101" s="27"/>
      <c r="K101" s="27"/>
      <c r="L101" s="27"/>
      <c r="M101" s="27"/>
      <c r="N101" s="27"/>
      <c r="O101" s="27"/>
      <c r="P101" s="27"/>
      <c r="Q101" s="27"/>
    </row>
    <row r="102">
      <c r="A102" s="17" t="s">
        <v>45</v>
      </c>
      <c r="B102" s="2">
        <v>7600.0</v>
      </c>
      <c r="C102" s="1">
        <v>4.72</v>
      </c>
      <c r="D102" s="1">
        <v>4.67</v>
      </c>
      <c r="E102" s="24">
        <v>35872.0</v>
      </c>
      <c r="F102" s="4">
        <v>379.99999999999864</v>
      </c>
      <c r="G102" s="11"/>
      <c r="H102" s="24">
        <v>297062.68000000005</v>
      </c>
      <c r="I102" s="8"/>
      <c r="J102" s="27"/>
      <c r="K102" s="27"/>
      <c r="L102" s="27"/>
      <c r="M102" s="27"/>
      <c r="N102" s="27"/>
      <c r="O102" s="27"/>
      <c r="P102" s="27"/>
      <c r="Q102" s="27"/>
    </row>
    <row r="103">
      <c r="A103" s="17" t="s">
        <v>46</v>
      </c>
      <c r="B103" s="2">
        <v>16900.0</v>
      </c>
      <c r="C103" s="1">
        <v>4.72</v>
      </c>
      <c r="D103" s="1">
        <v>4.65</v>
      </c>
      <c r="E103" s="24">
        <v>79768.0</v>
      </c>
      <c r="F103" s="4">
        <v>1182.9999999999898</v>
      </c>
      <c r="G103" s="11"/>
      <c r="H103" s="24">
        <v>376830.68000000005</v>
      </c>
      <c r="I103" s="8"/>
      <c r="J103" s="27"/>
      <c r="K103" s="27"/>
      <c r="L103" s="27"/>
      <c r="M103" s="27"/>
      <c r="N103" s="27"/>
      <c r="O103" s="27"/>
      <c r="P103" s="27"/>
      <c r="Q103" s="27"/>
    </row>
    <row r="104">
      <c r="A104" s="17" t="s">
        <v>46</v>
      </c>
      <c r="B104" s="13"/>
      <c r="C104" s="14"/>
      <c r="D104" s="14"/>
      <c r="E104" s="26"/>
      <c r="F104" s="10"/>
      <c r="G104" s="5">
        <v>51150.0</v>
      </c>
      <c r="H104" s="24">
        <v>325680.68000000005</v>
      </c>
      <c r="I104" s="8"/>
      <c r="J104" s="27"/>
      <c r="K104" s="27"/>
      <c r="L104" s="27"/>
      <c r="M104" s="27"/>
      <c r="N104" s="27"/>
      <c r="O104" s="27"/>
      <c r="P104" s="27"/>
      <c r="Q104" s="27"/>
    </row>
    <row r="105">
      <c r="A105" s="17" t="s">
        <v>47</v>
      </c>
      <c r="B105" s="13"/>
      <c r="C105" s="14"/>
      <c r="D105" s="14"/>
      <c r="E105" s="26"/>
      <c r="F105" s="10"/>
      <c r="G105" s="5">
        <v>133000.0</v>
      </c>
      <c r="H105" s="24">
        <v>192680.68000000005</v>
      </c>
      <c r="I105" s="8"/>
      <c r="J105" s="27"/>
      <c r="K105" s="27"/>
      <c r="L105" s="27"/>
      <c r="M105" s="27"/>
      <c r="N105" s="27"/>
      <c r="O105" s="27"/>
      <c r="P105" s="27"/>
      <c r="Q105" s="27"/>
    </row>
    <row r="106">
      <c r="A106" s="17" t="s">
        <v>47</v>
      </c>
      <c r="B106" s="2">
        <v>8999.0</v>
      </c>
      <c r="C106" s="1">
        <v>4.72</v>
      </c>
      <c r="D106" s="1">
        <v>4.65</v>
      </c>
      <c r="E106" s="24">
        <v>42475.28</v>
      </c>
      <c r="F106" s="4">
        <v>629.9299999999946</v>
      </c>
      <c r="G106" s="11"/>
      <c r="H106" s="24">
        <v>235155.96000000005</v>
      </c>
      <c r="I106" s="8"/>
      <c r="J106" s="27"/>
      <c r="K106" s="27"/>
      <c r="L106" s="27"/>
      <c r="M106" s="27"/>
      <c r="N106" s="27"/>
      <c r="O106" s="27"/>
      <c r="P106" s="27"/>
      <c r="Q106" s="27"/>
    </row>
    <row r="107">
      <c r="A107" s="17" t="s">
        <v>50</v>
      </c>
      <c r="B107" s="2">
        <v>9775.0</v>
      </c>
      <c r="C107" s="1">
        <v>4.72</v>
      </c>
      <c r="D107" s="1">
        <v>4.65</v>
      </c>
      <c r="E107" s="24">
        <v>46138.0</v>
      </c>
      <c r="F107" s="4">
        <v>684.25</v>
      </c>
      <c r="G107" s="11"/>
      <c r="H107" s="24">
        <v>281293.9600000001</v>
      </c>
      <c r="I107" s="8"/>
      <c r="J107" s="27"/>
      <c r="K107" s="27"/>
      <c r="L107" s="27"/>
      <c r="M107" s="27"/>
      <c r="N107" s="27"/>
      <c r="O107" s="27"/>
      <c r="P107" s="27"/>
      <c r="Q107" s="27"/>
    </row>
    <row r="108">
      <c r="A108" s="17" t="s">
        <v>50</v>
      </c>
      <c r="B108" s="2">
        <v>6800.0</v>
      </c>
      <c r="C108" s="1">
        <v>4.74</v>
      </c>
      <c r="D108" s="1">
        <v>4.65</v>
      </c>
      <c r="E108" s="24">
        <v>32232.0</v>
      </c>
      <c r="F108" s="4">
        <v>611.9999999999991</v>
      </c>
      <c r="G108" s="11"/>
      <c r="H108" s="24">
        <v>313525.9600000001</v>
      </c>
      <c r="I108" s="8"/>
      <c r="J108" s="27"/>
      <c r="K108" s="27"/>
      <c r="L108" s="27"/>
      <c r="M108" s="27"/>
      <c r="N108" s="27"/>
      <c r="O108" s="27"/>
      <c r="P108" s="27"/>
      <c r="Q108" s="27"/>
    </row>
    <row r="109">
      <c r="A109" s="17" t="s">
        <v>51</v>
      </c>
      <c r="B109" s="2">
        <v>1000.0</v>
      </c>
      <c r="C109" s="1">
        <v>4.74</v>
      </c>
      <c r="D109" s="1">
        <v>4.68</v>
      </c>
      <c r="E109" s="24">
        <v>4740.0</v>
      </c>
      <c r="F109" s="4">
        <v>60.0000000000005</v>
      </c>
      <c r="G109" s="11"/>
      <c r="H109" s="24">
        <v>318265.9600000001</v>
      </c>
      <c r="I109" s="8"/>
      <c r="J109" s="27"/>
      <c r="K109" s="27"/>
      <c r="L109" s="27"/>
      <c r="M109" s="27"/>
      <c r="N109" s="27"/>
      <c r="O109" s="27"/>
      <c r="P109" s="27"/>
      <c r="Q109" s="27"/>
    </row>
    <row r="110">
      <c r="A110" s="17" t="s">
        <v>52</v>
      </c>
      <c r="B110" s="2">
        <v>4599.0</v>
      </c>
      <c r="C110" s="1">
        <v>4.72</v>
      </c>
      <c r="D110" s="1">
        <v>4.68</v>
      </c>
      <c r="E110" s="24">
        <v>21707.28</v>
      </c>
      <c r="F110" s="4">
        <v>183.96000000000015</v>
      </c>
      <c r="G110" s="11"/>
      <c r="H110" s="24">
        <v>339973.2400000001</v>
      </c>
      <c r="I110" s="8"/>
      <c r="J110" s="27"/>
      <c r="K110" s="27"/>
      <c r="L110" s="27"/>
      <c r="M110" s="27"/>
      <c r="N110" s="27"/>
      <c r="O110" s="27"/>
      <c r="P110" s="27"/>
      <c r="Q110" s="27"/>
    </row>
    <row r="111">
      <c r="A111" s="17" t="s">
        <v>52</v>
      </c>
      <c r="B111" s="13"/>
      <c r="C111" s="14"/>
      <c r="D111" s="14"/>
      <c r="E111" s="26"/>
      <c r="F111" s="10"/>
      <c r="G111" s="5">
        <v>200000.0</v>
      </c>
      <c r="H111" s="24">
        <v>139973.2400000001</v>
      </c>
      <c r="I111" s="8"/>
      <c r="J111" s="27"/>
      <c r="K111" s="27"/>
      <c r="L111" s="27"/>
      <c r="M111" s="27"/>
      <c r="N111" s="27"/>
      <c r="O111" s="27"/>
      <c r="P111" s="27"/>
      <c r="Q111" s="27"/>
    </row>
    <row r="112">
      <c r="A112" s="17" t="s">
        <v>53</v>
      </c>
      <c r="B112" s="2">
        <v>10500.0</v>
      </c>
      <c r="C112" s="1">
        <v>4.72</v>
      </c>
      <c r="D112" s="1">
        <v>4.67</v>
      </c>
      <c r="E112" s="24">
        <v>49560.0</v>
      </c>
      <c r="F112" s="4">
        <v>524.9999999999982</v>
      </c>
      <c r="G112" s="11"/>
      <c r="H112" s="24">
        <v>189533.2400000001</v>
      </c>
      <c r="I112" s="8"/>
      <c r="J112" s="27"/>
      <c r="K112" s="27"/>
      <c r="L112" s="27"/>
      <c r="M112" s="27"/>
      <c r="N112" s="27"/>
      <c r="O112" s="27"/>
      <c r="P112" s="27"/>
      <c r="Q112" s="27"/>
    </row>
    <row r="113">
      <c r="A113" s="17" t="s">
        <v>53</v>
      </c>
      <c r="B113" s="2">
        <v>12800.0</v>
      </c>
      <c r="C113" s="1">
        <v>4.72</v>
      </c>
      <c r="D113" s="1">
        <v>4.67</v>
      </c>
      <c r="E113" s="24">
        <v>60416.0</v>
      </c>
      <c r="F113" s="4">
        <v>639.9999999999977</v>
      </c>
      <c r="G113" s="11"/>
      <c r="H113" s="24">
        <v>249949.2400000001</v>
      </c>
      <c r="I113" s="8"/>
      <c r="J113" s="27"/>
      <c r="K113" s="27"/>
      <c r="L113" s="27"/>
      <c r="M113" s="27"/>
      <c r="N113" s="27"/>
      <c r="O113" s="27"/>
      <c r="P113" s="27"/>
      <c r="Q113" s="27"/>
    </row>
    <row r="114">
      <c r="A114" s="17" t="s">
        <v>54</v>
      </c>
      <c r="B114" s="13"/>
      <c r="C114" s="14"/>
      <c r="D114" s="14"/>
      <c r="E114" s="26"/>
      <c r="F114" s="10"/>
      <c r="G114" s="5">
        <v>167400.0</v>
      </c>
      <c r="H114" s="24">
        <v>82549.2400000001</v>
      </c>
      <c r="I114" s="8"/>
      <c r="J114" s="27"/>
      <c r="K114" s="27"/>
      <c r="L114" s="27"/>
      <c r="M114" s="27"/>
      <c r="N114" s="27"/>
      <c r="O114" s="27"/>
      <c r="P114" s="27"/>
      <c r="Q114" s="27"/>
    </row>
    <row r="115">
      <c r="A115" s="17" t="s">
        <v>57</v>
      </c>
      <c r="B115" s="2">
        <v>10160.0</v>
      </c>
      <c r="C115" s="1">
        <v>4.71</v>
      </c>
      <c r="D115" s="1">
        <v>4.66</v>
      </c>
      <c r="E115" s="24">
        <v>47853.6</v>
      </c>
      <c r="F115" s="4">
        <v>507.9999999999982</v>
      </c>
      <c r="G115" s="11"/>
      <c r="H115" s="24">
        <v>130402.84000000011</v>
      </c>
      <c r="I115" s="8"/>
      <c r="J115" s="27"/>
      <c r="K115" s="27"/>
      <c r="L115" s="27"/>
      <c r="M115" s="27"/>
      <c r="N115" s="27"/>
      <c r="O115" s="27"/>
      <c r="P115" s="27"/>
      <c r="Q115" s="27"/>
    </row>
    <row r="116">
      <c r="A116" s="17" t="s">
        <v>60</v>
      </c>
      <c r="B116" s="2">
        <v>1180.0</v>
      </c>
      <c r="C116" s="1">
        <v>4.73</v>
      </c>
      <c r="D116" s="1">
        <v>4.68</v>
      </c>
      <c r="E116" s="24">
        <v>5581.400000000001</v>
      </c>
      <c r="F116" s="4">
        <v>59.00000000000084</v>
      </c>
      <c r="G116" s="11"/>
      <c r="H116" s="24">
        <v>135984.2400000001</v>
      </c>
      <c r="I116" s="8"/>
      <c r="J116" s="27"/>
      <c r="K116" s="27"/>
      <c r="L116" s="27"/>
      <c r="M116" s="27"/>
      <c r="N116" s="27"/>
      <c r="O116" s="27"/>
      <c r="P116" s="27"/>
      <c r="Q116" s="27"/>
    </row>
    <row r="117">
      <c r="A117" s="17" t="s">
        <v>60</v>
      </c>
      <c r="B117" s="2">
        <v>5500.0</v>
      </c>
      <c r="C117" s="1">
        <v>4.73</v>
      </c>
      <c r="D117" s="1">
        <v>4.68</v>
      </c>
      <c r="E117" s="24">
        <v>26015.000000000004</v>
      </c>
      <c r="F117" s="4">
        <v>275.0000000000039</v>
      </c>
      <c r="G117" s="11"/>
      <c r="H117" s="24">
        <v>161999.2400000001</v>
      </c>
      <c r="I117" s="8"/>
      <c r="J117" s="27"/>
      <c r="K117" s="27"/>
      <c r="L117" s="27"/>
      <c r="M117" s="27"/>
      <c r="N117" s="27"/>
      <c r="O117" s="27"/>
      <c r="P117" s="27"/>
      <c r="Q117" s="27"/>
    </row>
    <row r="118">
      <c r="A118" s="17" t="s">
        <v>64</v>
      </c>
      <c r="B118" s="2">
        <v>10600.0</v>
      </c>
      <c r="C118" s="1">
        <v>4.73</v>
      </c>
      <c r="D118" s="1">
        <v>4.68</v>
      </c>
      <c r="E118" s="24">
        <v>50138.00000000001</v>
      </c>
      <c r="F118" s="4">
        <v>530.0000000000075</v>
      </c>
      <c r="G118" s="11"/>
      <c r="H118" s="24">
        <v>212137.2400000001</v>
      </c>
      <c r="I118" s="8"/>
      <c r="J118" s="27"/>
      <c r="K118" s="27"/>
      <c r="L118" s="27"/>
      <c r="M118" s="27"/>
      <c r="N118" s="27"/>
      <c r="O118" s="27"/>
      <c r="P118" s="27"/>
      <c r="Q118" s="27"/>
    </row>
    <row r="119">
      <c r="A119" s="17" t="s">
        <v>65</v>
      </c>
      <c r="B119" s="2">
        <v>6600.0</v>
      </c>
      <c r="C119" s="1">
        <v>4.73</v>
      </c>
      <c r="D119" s="1">
        <v>4.68</v>
      </c>
      <c r="E119" s="24">
        <v>31218.000000000004</v>
      </c>
      <c r="F119" s="4">
        <v>330.00000000000466</v>
      </c>
      <c r="G119" s="11"/>
      <c r="H119" s="24">
        <v>243355.2400000001</v>
      </c>
      <c r="I119" s="8"/>
      <c r="J119" s="27"/>
      <c r="K119" s="27"/>
      <c r="L119" s="27"/>
      <c r="M119" s="27"/>
      <c r="N119" s="27"/>
      <c r="O119" s="27"/>
      <c r="P119" s="27"/>
      <c r="Q119" s="27"/>
    </row>
    <row r="120">
      <c r="A120" s="17" t="s">
        <v>65</v>
      </c>
      <c r="B120" s="2">
        <v>11000.0</v>
      </c>
      <c r="C120" s="1">
        <v>4.73</v>
      </c>
      <c r="D120" s="1">
        <v>4.68</v>
      </c>
      <c r="E120" s="24">
        <v>52030.00000000001</v>
      </c>
      <c r="F120" s="4">
        <v>550.0000000000078</v>
      </c>
      <c r="G120" s="11"/>
      <c r="H120" s="24">
        <v>295385.2400000001</v>
      </c>
      <c r="I120" s="8"/>
      <c r="J120" s="27"/>
      <c r="K120" s="27"/>
      <c r="L120" s="27"/>
      <c r="M120" s="27"/>
      <c r="N120" s="27"/>
      <c r="O120" s="27"/>
      <c r="P120" s="27"/>
      <c r="Q120" s="27"/>
    </row>
    <row r="121">
      <c r="A121" s="17" t="s">
        <v>65</v>
      </c>
      <c r="B121" s="2">
        <v>4262.0</v>
      </c>
      <c r="C121" s="1">
        <v>4.73</v>
      </c>
      <c r="D121" s="1">
        <v>4.68</v>
      </c>
      <c r="E121" s="24">
        <v>20159.260000000002</v>
      </c>
      <c r="F121" s="4">
        <v>213.10000000000304</v>
      </c>
      <c r="G121" s="11"/>
      <c r="H121" s="24">
        <v>315544.5000000001</v>
      </c>
      <c r="I121" s="8"/>
      <c r="J121" s="27"/>
      <c r="K121" s="27"/>
      <c r="L121" s="27"/>
      <c r="M121" s="27"/>
      <c r="N121" s="27"/>
      <c r="O121" s="27"/>
      <c r="P121" s="27"/>
      <c r="Q121" s="27"/>
    </row>
    <row r="122">
      <c r="A122" s="17" t="s">
        <v>66</v>
      </c>
      <c r="B122" s="2">
        <v>12300.0</v>
      </c>
      <c r="C122" s="1">
        <v>4.73</v>
      </c>
      <c r="D122" s="1">
        <v>4.68</v>
      </c>
      <c r="E122" s="24">
        <v>58179.00000000001</v>
      </c>
      <c r="F122" s="4">
        <v>615.0000000000088</v>
      </c>
      <c r="G122" s="11"/>
      <c r="H122" s="24">
        <v>373723.5000000001</v>
      </c>
      <c r="I122" s="8"/>
      <c r="J122" s="27"/>
      <c r="K122" s="27"/>
      <c r="L122" s="27"/>
      <c r="M122" s="27"/>
      <c r="N122" s="27"/>
      <c r="O122" s="27"/>
      <c r="P122" s="27"/>
      <c r="Q122" s="27"/>
    </row>
    <row r="123">
      <c r="A123" s="17" t="s">
        <v>67</v>
      </c>
      <c r="B123" s="13"/>
      <c r="C123" s="14"/>
      <c r="D123" s="14"/>
      <c r="E123" s="26"/>
      <c r="F123" s="10"/>
      <c r="G123" s="5">
        <v>0.0</v>
      </c>
      <c r="H123" s="24">
        <v>373723.5000000001</v>
      </c>
      <c r="I123" s="8"/>
      <c r="J123" s="27"/>
      <c r="K123" s="27"/>
      <c r="L123" s="27"/>
      <c r="M123" s="27"/>
      <c r="N123" s="27"/>
      <c r="O123" s="27"/>
      <c r="P123" s="27"/>
      <c r="Q123" s="27"/>
    </row>
    <row r="124">
      <c r="A124" s="17" t="s">
        <v>67</v>
      </c>
      <c r="B124" s="13"/>
      <c r="C124" s="14"/>
      <c r="D124" s="14"/>
      <c r="E124" s="26"/>
      <c r="F124" s="10"/>
      <c r="G124" s="5">
        <v>200000.0</v>
      </c>
      <c r="H124" s="24">
        <v>173723.50000000012</v>
      </c>
      <c r="I124" s="8"/>
      <c r="J124" s="27"/>
      <c r="K124" s="27"/>
      <c r="L124" s="27"/>
      <c r="M124" s="27"/>
      <c r="N124" s="27"/>
      <c r="O124" s="27"/>
      <c r="P124" s="27"/>
      <c r="Q124" s="27"/>
    </row>
    <row r="125">
      <c r="A125" s="17" t="s">
        <v>67</v>
      </c>
      <c r="B125" s="2">
        <v>180.0</v>
      </c>
      <c r="C125" s="1">
        <v>4.73</v>
      </c>
      <c r="D125" s="1">
        <v>4.67</v>
      </c>
      <c r="E125" s="24">
        <v>851.4000000000001</v>
      </c>
      <c r="F125" s="4">
        <v>10.80000000000009</v>
      </c>
      <c r="G125" s="11"/>
      <c r="H125" s="24">
        <v>174574.9000000001</v>
      </c>
      <c r="I125" s="8"/>
      <c r="J125" s="27"/>
      <c r="K125" s="27"/>
      <c r="L125" s="27"/>
      <c r="M125" s="27"/>
      <c r="N125" s="27"/>
      <c r="O125" s="27"/>
      <c r="P125" s="27"/>
      <c r="Q125" s="27"/>
    </row>
    <row r="126">
      <c r="A126" s="17" t="s">
        <v>67</v>
      </c>
      <c r="B126" s="2">
        <v>8150.0</v>
      </c>
      <c r="C126" s="1">
        <v>4.73</v>
      </c>
      <c r="D126" s="1">
        <v>4.67</v>
      </c>
      <c r="E126" s="24">
        <v>38549.5</v>
      </c>
      <c r="F126" s="4">
        <v>489.00000000000404</v>
      </c>
      <c r="G126" s="11"/>
      <c r="H126" s="24">
        <v>213124.4000000001</v>
      </c>
      <c r="I126" s="8"/>
      <c r="J126" s="27"/>
      <c r="K126" s="27"/>
      <c r="L126" s="27"/>
      <c r="M126" s="27"/>
      <c r="N126" s="27"/>
      <c r="O126" s="27"/>
      <c r="P126" s="27"/>
      <c r="Q126" s="27"/>
    </row>
    <row r="127">
      <c r="A127" s="17" t="s">
        <v>67</v>
      </c>
      <c r="B127" s="2">
        <v>8099.0</v>
      </c>
      <c r="C127" s="1">
        <v>4.73</v>
      </c>
      <c r="D127" s="1">
        <v>4.67</v>
      </c>
      <c r="E127" s="24">
        <v>38308.270000000004</v>
      </c>
      <c r="F127" s="4">
        <v>485.94000000000403</v>
      </c>
      <c r="G127" s="11"/>
      <c r="H127" s="24">
        <v>251432.6700000001</v>
      </c>
      <c r="I127" s="8"/>
      <c r="J127" s="27"/>
      <c r="K127" s="27"/>
      <c r="L127" s="27"/>
      <c r="M127" s="27"/>
      <c r="N127" s="27"/>
      <c r="O127" s="27"/>
      <c r="P127" s="27"/>
      <c r="Q127" s="27"/>
    </row>
    <row r="128">
      <c r="A128" s="17" t="s">
        <v>68</v>
      </c>
      <c r="B128" s="2">
        <v>30779.0</v>
      </c>
      <c r="C128" s="1">
        <v>4.73</v>
      </c>
      <c r="D128" s="1">
        <v>4.66</v>
      </c>
      <c r="E128" s="24">
        <v>145584.67</v>
      </c>
      <c r="F128" s="4">
        <v>2154.530000000009</v>
      </c>
      <c r="G128" s="11"/>
      <c r="H128" s="24">
        <v>397017.3400000001</v>
      </c>
      <c r="I128" s="8"/>
      <c r="J128" s="27"/>
      <c r="K128" s="27"/>
      <c r="L128" s="27"/>
      <c r="M128" s="27"/>
      <c r="N128" s="27"/>
      <c r="O128" s="27"/>
      <c r="P128" s="27"/>
      <c r="Q128" s="27"/>
    </row>
    <row r="129">
      <c r="A129" s="17" t="s">
        <v>68</v>
      </c>
      <c r="B129" s="2">
        <v>16200.0</v>
      </c>
      <c r="C129" s="1">
        <v>4.73</v>
      </c>
      <c r="D129" s="1">
        <v>4.66</v>
      </c>
      <c r="E129" s="24">
        <v>76626.0</v>
      </c>
      <c r="F129" s="4">
        <v>1134.0000000000045</v>
      </c>
      <c r="G129" s="11"/>
      <c r="H129" s="24">
        <v>473643.3400000001</v>
      </c>
      <c r="I129" s="8"/>
      <c r="J129" s="27"/>
      <c r="K129" s="27"/>
      <c r="L129" s="27"/>
      <c r="M129" s="27"/>
      <c r="N129" s="27"/>
      <c r="O129" s="27"/>
      <c r="P129" s="27"/>
      <c r="Q129" s="27"/>
    </row>
    <row r="130">
      <c r="A130" s="17" t="s">
        <v>69</v>
      </c>
      <c r="B130" s="2">
        <v>9999.0</v>
      </c>
      <c r="C130" s="1">
        <v>4.73</v>
      </c>
      <c r="D130" s="1">
        <v>4.66</v>
      </c>
      <c r="E130" s="24">
        <v>47295.270000000004</v>
      </c>
      <c r="F130" s="4">
        <v>699.9300000000028</v>
      </c>
      <c r="G130" s="11"/>
      <c r="H130" s="24">
        <v>520938.6100000001</v>
      </c>
      <c r="I130" s="8"/>
      <c r="J130" s="27"/>
      <c r="K130" s="27"/>
      <c r="L130" s="27"/>
      <c r="M130" s="27"/>
      <c r="N130" s="27"/>
      <c r="O130" s="27"/>
      <c r="P130" s="27"/>
      <c r="Q130" s="27"/>
    </row>
    <row r="131">
      <c r="A131" s="17" t="s">
        <v>70</v>
      </c>
      <c r="B131" s="13"/>
      <c r="C131" s="14"/>
      <c r="D131" s="14"/>
      <c r="E131" s="26"/>
      <c r="F131" s="10"/>
      <c r="G131" s="5">
        <v>300000.0</v>
      </c>
      <c r="H131" s="24">
        <v>220938.6100000001</v>
      </c>
      <c r="I131" s="8"/>
      <c r="J131" s="27"/>
      <c r="K131" s="27"/>
      <c r="L131" s="27"/>
      <c r="M131" s="27"/>
      <c r="N131" s="27"/>
      <c r="O131" s="27"/>
      <c r="P131" s="27"/>
      <c r="Q131" s="27"/>
    </row>
    <row r="132">
      <c r="A132" s="17" t="s">
        <v>70</v>
      </c>
      <c r="B132" s="2">
        <v>15300.0</v>
      </c>
      <c r="C132" s="1">
        <v>4.73</v>
      </c>
      <c r="D132" s="1">
        <v>4.67</v>
      </c>
      <c r="E132" s="24">
        <v>72369.0</v>
      </c>
      <c r="F132" s="4">
        <v>918.0000000000076</v>
      </c>
      <c r="G132" s="11"/>
      <c r="H132" s="24">
        <v>293307.6100000001</v>
      </c>
      <c r="I132" s="8"/>
      <c r="J132" s="27"/>
      <c r="K132" s="27"/>
      <c r="L132" s="27"/>
      <c r="M132" s="27"/>
      <c r="N132" s="27"/>
      <c r="O132" s="27"/>
      <c r="P132" s="27"/>
      <c r="Q132" s="27"/>
    </row>
    <row r="133">
      <c r="A133" s="17" t="s">
        <v>70</v>
      </c>
      <c r="B133" s="2">
        <v>2699.0</v>
      </c>
      <c r="C133" s="1">
        <v>4.73</v>
      </c>
      <c r="D133" s="1">
        <v>4.67</v>
      </c>
      <c r="E133" s="24">
        <v>12766.27</v>
      </c>
      <c r="F133" s="4">
        <v>161.94000000000133</v>
      </c>
      <c r="G133" s="11"/>
      <c r="H133" s="24">
        <v>306073.8800000001</v>
      </c>
      <c r="I133" s="8"/>
      <c r="J133" s="27"/>
      <c r="K133" s="27"/>
      <c r="L133" s="27"/>
      <c r="M133" s="27"/>
      <c r="N133" s="27"/>
      <c r="O133" s="27"/>
      <c r="P133" s="27"/>
      <c r="Q133" s="27"/>
    </row>
    <row r="134">
      <c r="A134" s="17" t="s">
        <v>70</v>
      </c>
      <c r="B134" s="2">
        <v>4600.0</v>
      </c>
      <c r="C134" s="1">
        <v>4.73</v>
      </c>
      <c r="D134" s="1">
        <v>4.67</v>
      </c>
      <c r="E134" s="24">
        <v>21758.000000000004</v>
      </c>
      <c r="F134" s="4">
        <v>276.0000000000023</v>
      </c>
      <c r="G134" s="11"/>
      <c r="H134" s="24">
        <v>327831.8800000001</v>
      </c>
      <c r="I134" s="8"/>
      <c r="J134" s="27"/>
      <c r="K134" s="27"/>
      <c r="L134" s="27"/>
      <c r="M134" s="27"/>
      <c r="N134" s="27"/>
      <c r="O134" s="27"/>
      <c r="P134" s="27"/>
      <c r="Q134" s="27"/>
    </row>
    <row r="135">
      <c r="A135" s="30" t="s">
        <v>72</v>
      </c>
      <c r="B135" s="31">
        <v>10500.0</v>
      </c>
      <c r="C135" s="25">
        <v>4.73</v>
      </c>
      <c r="D135" s="25">
        <v>4.69</v>
      </c>
      <c r="E135" s="32">
        <v>49665.00000000001</v>
      </c>
      <c r="F135" s="33">
        <v>420.0000000000004</v>
      </c>
      <c r="G135" s="34"/>
      <c r="H135" s="32">
        <v>377496.8800000001</v>
      </c>
      <c r="I135" s="27"/>
      <c r="J135" s="27"/>
      <c r="K135" s="27"/>
      <c r="L135" s="27"/>
      <c r="M135" s="27"/>
      <c r="N135" s="27"/>
      <c r="O135" s="27"/>
      <c r="P135" s="27"/>
      <c r="Q135" s="27"/>
    </row>
    <row r="136">
      <c r="A136" s="30" t="s">
        <v>75</v>
      </c>
      <c r="B136" s="31">
        <v>7980.0</v>
      </c>
      <c r="C136" s="25">
        <v>4.73</v>
      </c>
      <c r="D136" s="25">
        <v>4.68</v>
      </c>
      <c r="E136" s="32">
        <v>37745.4</v>
      </c>
      <c r="F136" s="33">
        <v>399.0000000000057</v>
      </c>
      <c r="G136" s="34"/>
      <c r="H136" s="32">
        <v>415242.28000000014</v>
      </c>
      <c r="I136" s="27"/>
      <c r="J136" s="27"/>
      <c r="K136" s="27"/>
      <c r="L136" s="27"/>
      <c r="M136" s="27"/>
      <c r="N136" s="27"/>
      <c r="O136" s="27"/>
      <c r="P136" s="27"/>
      <c r="Q136" s="27"/>
    </row>
    <row r="137">
      <c r="A137" s="30" t="s">
        <v>75</v>
      </c>
      <c r="B137" s="35"/>
      <c r="C137" s="36"/>
      <c r="D137" s="36"/>
      <c r="E137" s="37"/>
      <c r="F137" s="38"/>
      <c r="G137" s="28">
        <v>250000.0</v>
      </c>
      <c r="H137" s="32">
        <v>165242.28000000014</v>
      </c>
      <c r="I137" s="27"/>
      <c r="J137" s="27"/>
      <c r="K137" s="27"/>
      <c r="L137" s="27"/>
      <c r="M137" s="27"/>
      <c r="N137" s="27"/>
      <c r="O137" s="27"/>
      <c r="P137" s="27"/>
      <c r="Q137" s="27"/>
    </row>
    <row r="138">
      <c r="A138" s="30" t="s">
        <v>75</v>
      </c>
      <c r="B138" s="31">
        <v>10000.0</v>
      </c>
      <c r="C138" s="25">
        <v>4.73</v>
      </c>
      <c r="D138" s="25">
        <v>4.68</v>
      </c>
      <c r="E138" s="32">
        <v>47300.00000000001</v>
      </c>
      <c r="F138" s="33">
        <v>500.0000000000071</v>
      </c>
      <c r="G138" s="34"/>
      <c r="H138" s="32">
        <v>212542.28000000014</v>
      </c>
      <c r="I138" s="27"/>
      <c r="J138" s="27"/>
      <c r="K138" s="27"/>
      <c r="L138" s="27"/>
      <c r="M138" s="27"/>
      <c r="N138" s="27"/>
      <c r="O138" s="27"/>
      <c r="P138" s="27"/>
      <c r="Q138" s="27"/>
    </row>
    <row r="139">
      <c r="A139" s="30" t="s">
        <v>75</v>
      </c>
      <c r="B139" s="31">
        <v>11879.0</v>
      </c>
      <c r="C139" s="25">
        <v>4.73</v>
      </c>
      <c r="D139" s="25">
        <v>4.68</v>
      </c>
      <c r="E139" s="32">
        <v>56187.670000000006</v>
      </c>
      <c r="F139" s="33">
        <v>593.9500000000085</v>
      </c>
      <c r="G139" s="34"/>
      <c r="H139" s="32">
        <v>268729.9500000001</v>
      </c>
      <c r="I139" s="27"/>
      <c r="J139" s="27"/>
      <c r="K139" s="27"/>
      <c r="L139" s="27"/>
      <c r="M139" s="27"/>
      <c r="N139" s="27"/>
      <c r="O139" s="27"/>
      <c r="P139" s="27"/>
      <c r="Q139" s="27"/>
    </row>
    <row r="140">
      <c r="A140" s="30" t="s">
        <v>88</v>
      </c>
      <c r="B140" s="31">
        <v>500.0</v>
      </c>
      <c r="C140" s="25">
        <v>4.73</v>
      </c>
      <c r="D140" s="25">
        <v>4.63</v>
      </c>
      <c r="E140" s="32">
        <v>2365.0</v>
      </c>
      <c r="F140" s="33">
        <v>50.00000000000027</v>
      </c>
      <c r="G140" s="34"/>
      <c r="H140" s="32">
        <v>271094.9500000001</v>
      </c>
      <c r="I140" s="27"/>
      <c r="J140" s="27"/>
      <c r="K140" s="27"/>
      <c r="L140" s="27"/>
      <c r="M140" s="27"/>
      <c r="N140" s="27"/>
      <c r="O140" s="27"/>
      <c r="P140" s="27"/>
      <c r="Q140" s="27"/>
    </row>
    <row r="141">
      <c r="A141" s="30" t="s">
        <v>89</v>
      </c>
      <c r="B141" s="35"/>
      <c r="C141" s="36"/>
      <c r="D141" s="36"/>
      <c r="E141" s="37"/>
      <c r="F141" s="38"/>
      <c r="G141" s="28">
        <v>34000.0</v>
      </c>
      <c r="H141" s="32">
        <v>237094.95000000013</v>
      </c>
      <c r="I141" s="27"/>
      <c r="J141" s="27"/>
      <c r="K141" s="27"/>
      <c r="L141" s="27"/>
      <c r="M141" s="27"/>
      <c r="N141" s="27"/>
      <c r="O141" s="27"/>
      <c r="P141" s="27"/>
      <c r="Q141" s="27"/>
    </row>
    <row r="142">
      <c r="A142" s="30" t="s">
        <v>78</v>
      </c>
      <c r="B142" s="31">
        <v>16650.0</v>
      </c>
      <c r="C142" s="25">
        <v>4.73</v>
      </c>
      <c r="D142" s="25">
        <v>4.63</v>
      </c>
      <c r="E142" s="32">
        <v>78754.5</v>
      </c>
      <c r="F142" s="33">
        <v>1665.0000000000089</v>
      </c>
      <c r="G142" s="34"/>
      <c r="H142" s="32">
        <v>315849.4500000001</v>
      </c>
      <c r="I142" s="27"/>
      <c r="J142" s="27"/>
      <c r="K142" s="27"/>
      <c r="L142" s="27"/>
      <c r="M142" s="27"/>
      <c r="N142" s="27"/>
      <c r="O142" s="27"/>
      <c r="P142" s="27"/>
      <c r="Q142" s="27"/>
    </row>
    <row r="143">
      <c r="A143" s="30" t="s">
        <v>90</v>
      </c>
      <c r="B143" s="35"/>
      <c r="C143" s="36"/>
      <c r="D143" s="36"/>
      <c r="E143" s="37"/>
      <c r="F143" s="38"/>
      <c r="G143" s="28">
        <v>100000.0</v>
      </c>
      <c r="H143" s="32">
        <v>215849.45000000013</v>
      </c>
      <c r="I143" s="27"/>
      <c r="J143" s="27"/>
      <c r="K143" s="27"/>
      <c r="L143" s="27"/>
      <c r="M143" s="27"/>
      <c r="N143" s="27"/>
      <c r="O143" s="27"/>
      <c r="P143" s="27"/>
      <c r="Q143" s="27"/>
    </row>
    <row r="144">
      <c r="A144" s="30" t="s">
        <v>80</v>
      </c>
      <c r="B144" s="31">
        <v>19499.0</v>
      </c>
      <c r="C144" s="25">
        <v>4.73</v>
      </c>
      <c r="D144" s="25">
        <v>4.69</v>
      </c>
      <c r="E144" s="32">
        <v>92230.27</v>
      </c>
      <c r="F144" s="33">
        <v>779.9600000000007</v>
      </c>
      <c r="G144" s="34"/>
      <c r="H144" s="32">
        <v>308079.72000000015</v>
      </c>
      <c r="I144" s="27"/>
      <c r="J144" s="27"/>
      <c r="K144" s="27"/>
      <c r="L144" s="27"/>
      <c r="M144" s="27"/>
      <c r="N144" s="27"/>
      <c r="O144" s="27"/>
      <c r="P144" s="27"/>
      <c r="Q144" s="27"/>
    </row>
    <row r="145">
      <c r="A145" s="30" t="s">
        <v>81</v>
      </c>
      <c r="B145" s="31">
        <v>48968.0</v>
      </c>
      <c r="C145" s="25">
        <v>4.73</v>
      </c>
      <c r="D145" s="25">
        <v>4.69</v>
      </c>
      <c r="E145" s="32">
        <v>231618.64</v>
      </c>
      <c r="F145" s="33">
        <v>1958.7200000000018</v>
      </c>
      <c r="G145" s="34"/>
      <c r="H145" s="32">
        <v>539698.3600000001</v>
      </c>
      <c r="I145" s="27"/>
      <c r="J145" s="27"/>
      <c r="K145" s="27"/>
      <c r="L145" s="27"/>
      <c r="M145" s="27"/>
      <c r="N145" s="27"/>
      <c r="O145" s="27"/>
      <c r="P145" s="27"/>
      <c r="Q145" s="27"/>
    </row>
    <row r="146">
      <c r="A146" s="30" t="s">
        <v>81</v>
      </c>
      <c r="B146" s="35"/>
      <c r="C146" s="36"/>
      <c r="D146" s="36"/>
      <c r="E146" s="37"/>
      <c r="F146" s="38"/>
      <c r="G146" s="28">
        <v>20000.0</v>
      </c>
      <c r="H146" s="32">
        <v>519698.3600000001</v>
      </c>
      <c r="I146" s="27"/>
      <c r="J146" s="27"/>
      <c r="K146" s="27"/>
      <c r="L146" s="27"/>
      <c r="M146" s="27"/>
      <c r="N146" s="27"/>
      <c r="O146" s="27"/>
      <c r="P146" s="27"/>
      <c r="Q146" s="27"/>
    </row>
    <row r="147">
      <c r="A147" s="30" t="s">
        <v>81</v>
      </c>
      <c r="B147" s="31">
        <v>19200.0</v>
      </c>
      <c r="C147" s="25">
        <v>4.73</v>
      </c>
      <c r="D147" s="25">
        <v>4.69</v>
      </c>
      <c r="E147" s="32">
        <v>90816.00000000001</v>
      </c>
      <c r="F147" s="33">
        <v>768.0000000000007</v>
      </c>
      <c r="G147" s="34"/>
      <c r="H147" s="32">
        <v>610514.3600000001</v>
      </c>
      <c r="I147" s="27"/>
      <c r="J147" s="27"/>
      <c r="K147" s="27"/>
      <c r="L147" s="27"/>
      <c r="M147" s="27"/>
      <c r="N147" s="27"/>
      <c r="O147" s="27"/>
      <c r="P147" s="27"/>
      <c r="Q147" s="27"/>
    </row>
    <row r="148">
      <c r="A148" s="30" t="s">
        <v>82</v>
      </c>
      <c r="B148" s="35"/>
      <c r="C148" s="36"/>
      <c r="D148" s="36"/>
      <c r="E148" s="37"/>
      <c r="F148" s="38"/>
      <c r="G148" s="28">
        <v>200000.0</v>
      </c>
      <c r="H148" s="32">
        <v>410514.3600000001</v>
      </c>
      <c r="I148" s="27"/>
      <c r="J148" s="27"/>
      <c r="K148" s="27"/>
      <c r="L148" s="27"/>
      <c r="M148" s="27"/>
      <c r="N148" s="27"/>
      <c r="O148" s="27"/>
      <c r="P148" s="27"/>
      <c r="Q148" s="27"/>
    </row>
    <row r="149">
      <c r="A149" s="30" t="s">
        <v>83</v>
      </c>
      <c r="B149" s="31">
        <v>9700.0</v>
      </c>
      <c r="C149" s="25">
        <v>4.73</v>
      </c>
      <c r="D149" s="25">
        <v>4.69</v>
      </c>
      <c r="E149" s="32">
        <v>45881.00000000001</v>
      </c>
      <c r="F149" s="33">
        <v>388.00000000000034</v>
      </c>
      <c r="G149" s="34"/>
      <c r="H149" s="32">
        <v>456395.3600000001</v>
      </c>
      <c r="I149" s="27"/>
      <c r="J149" s="27"/>
      <c r="K149" s="27"/>
      <c r="L149" s="27"/>
      <c r="M149" s="27"/>
      <c r="N149" s="27"/>
      <c r="O149" s="27"/>
      <c r="P149" s="27"/>
      <c r="Q149" s="27"/>
    </row>
    <row r="150">
      <c r="A150" s="30" t="s">
        <v>84</v>
      </c>
      <c r="B150" s="35"/>
      <c r="C150" s="36"/>
      <c r="D150" s="36"/>
      <c r="E150" s="37"/>
      <c r="F150" s="38"/>
      <c r="G150" s="28">
        <v>71000.0</v>
      </c>
      <c r="H150" s="32">
        <v>385395.3600000001</v>
      </c>
      <c r="I150" s="27"/>
      <c r="J150" s="27"/>
      <c r="K150" s="27"/>
      <c r="L150" s="27"/>
      <c r="M150" s="27"/>
      <c r="N150" s="27"/>
      <c r="O150" s="27"/>
      <c r="P150" s="27"/>
      <c r="Q150" s="27"/>
    </row>
    <row r="151">
      <c r="A151" s="30" t="s">
        <v>84</v>
      </c>
      <c r="B151" s="31">
        <v>34380.0</v>
      </c>
      <c r="C151" s="25">
        <v>4.73</v>
      </c>
      <c r="D151" s="25">
        <v>4.69</v>
      </c>
      <c r="E151" s="32">
        <v>162617.40000000002</v>
      </c>
      <c r="F151" s="33">
        <v>1375.2000000000012</v>
      </c>
      <c r="G151" s="34"/>
      <c r="H151" s="32">
        <v>548012.7600000001</v>
      </c>
      <c r="I151" s="27"/>
      <c r="J151" s="27"/>
      <c r="K151" s="27"/>
      <c r="L151" s="27"/>
      <c r="M151" s="27"/>
      <c r="N151" s="27"/>
      <c r="O151" s="27"/>
      <c r="P151" s="27"/>
      <c r="Q151" s="27"/>
    </row>
    <row r="152">
      <c r="A152" s="27"/>
      <c r="B152" s="35"/>
      <c r="C152" s="36"/>
      <c r="D152" s="36"/>
      <c r="E152" s="37"/>
      <c r="F152" s="38"/>
      <c r="G152" s="34"/>
      <c r="H152" s="37"/>
      <c r="I152" s="27"/>
      <c r="J152" s="27"/>
      <c r="K152" s="27"/>
      <c r="L152" s="27"/>
      <c r="M152" s="27"/>
      <c r="N152" s="27"/>
      <c r="O152" s="27"/>
      <c r="P152" s="27"/>
      <c r="Q152" s="27"/>
    </row>
    <row r="153">
      <c r="A153" s="27"/>
      <c r="B153" s="35"/>
      <c r="C153" s="36"/>
      <c r="D153" s="36"/>
      <c r="E153" s="37"/>
      <c r="F153" s="38"/>
      <c r="G153" s="34"/>
      <c r="H153" s="37"/>
      <c r="I153" s="27"/>
      <c r="J153" s="27"/>
      <c r="K153" s="27"/>
      <c r="L153" s="27"/>
      <c r="M153" s="27"/>
      <c r="N153" s="27"/>
      <c r="O153" s="27"/>
      <c r="P153" s="27"/>
      <c r="Q153" s="27"/>
    </row>
    <row r="154">
      <c r="A154" s="27"/>
      <c r="B154" s="35"/>
      <c r="C154" s="36"/>
      <c r="D154" s="36"/>
      <c r="E154" s="37"/>
      <c r="F154" s="38"/>
      <c r="G154" s="34"/>
      <c r="H154" s="37"/>
      <c r="I154" s="27"/>
      <c r="J154" s="27"/>
      <c r="K154" s="27"/>
      <c r="L154" s="27"/>
      <c r="M154" s="27"/>
      <c r="N154" s="27"/>
      <c r="O154" s="27"/>
      <c r="P154" s="27"/>
      <c r="Q154" s="27"/>
    </row>
    <row r="155">
      <c r="A155" s="27"/>
      <c r="B155" s="35"/>
      <c r="C155" s="36"/>
      <c r="D155" s="36"/>
      <c r="E155" s="37"/>
      <c r="F155" s="38"/>
      <c r="G155" s="34"/>
      <c r="H155" s="37"/>
      <c r="I155" s="27"/>
      <c r="J155" s="27"/>
      <c r="K155" s="27"/>
      <c r="L155" s="27"/>
      <c r="M155" s="27"/>
      <c r="N155" s="27"/>
      <c r="O155" s="27"/>
      <c r="P155" s="27"/>
      <c r="Q155" s="27"/>
    </row>
    <row r="156">
      <c r="A156" s="27"/>
      <c r="B156" s="35"/>
      <c r="C156" s="36"/>
      <c r="D156" s="36"/>
      <c r="E156" s="37"/>
      <c r="F156" s="38"/>
      <c r="G156" s="34"/>
      <c r="H156" s="37"/>
      <c r="I156" s="27"/>
      <c r="J156" s="27"/>
      <c r="K156" s="27"/>
      <c r="L156" s="27"/>
      <c r="M156" s="27"/>
      <c r="N156" s="27"/>
      <c r="O156" s="27"/>
      <c r="P156" s="27"/>
      <c r="Q156" s="27"/>
    </row>
    <row r="157">
      <c r="A157" s="27"/>
      <c r="B157" s="35"/>
      <c r="C157" s="36"/>
      <c r="D157" s="36"/>
      <c r="E157" s="37"/>
      <c r="F157" s="38"/>
      <c r="G157" s="34"/>
      <c r="H157" s="37"/>
      <c r="I157" s="27"/>
      <c r="J157" s="27"/>
      <c r="K157" s="27"/>
      <c r="L157" s="27"/>
      <c r="M157" s="27"/>
      <c r="N157" s="27"/>
      <c r="O157" s="27"/>
      <c r="P157" s="27"/>
      <c r="Q157" s="27"/>
    </row>
    <row r="158">
      <c r="A158" s="27"/>
      <c r="B158" s="35"/>
      <c r="C158" s="36"/>
      <c r="D158" s="36"/>
      <c r="E158" s="37"/>
      <c r="F158" s="38"/>
      <c r="G158" s="34"/>
      <c r="H158" s="37"/>
      <c r="I158" s="27"/>
      <c r="J158" s="27"/>
      <c r="K158" s="27"/>
      <c r="L158" s="27"/>
      <c r="M158" s="27"/>
      <c r="N158" s="27"/>
      <c r="O158" s="27"/>
      <c r="P158" s="27"/>
      <c r="Q158" s="27"/>
    </row>
    <row r="159">
      <c r="A159" s="27"/>
      <c r="B159" s="35"/>
      <c r="C159" s="36"/>
      <c r="D159" s="36"/>
      <c r="E159" s="37"/>
      <c r="F159" s="38"/>
      <c r="G159" s="34"/>
      <c r="H159" s="37"/>
      <c r="I159" s="27"/>
      <c r="J159" s="27"/>
      <c r="K159" s="27"/>
      <c r="L159" s="27"/>
      <c r="M159" s="27"/>
      <c r="N159" s="27"/>
      <c r="O159" s="27"/>
      <c r="P159" s="27"/>
      <c r="Q159" s="27"/>
    </row>
    <row r="160">
      <c r="A160" s="27"/>
      <c r="B160" s="35"/>
      <c r="C160" s="36"/>
      <c r="D160" s="36"/>
      <c r="E160" s="37"/>
      <c r="F160" s="38"/>
      <c r="G160" s="34"/>
      <c r="H160" s="37"/>
      <c r="I160" s="27"/>
      <c r="J160" s="27"/>
      <c r="K160" s="27"/>
      <c r="L160" s="27"/>
      <c r="M160" s="27"/>
      <c r="N160" s="27"/>
      <c r="O160" s="27"/>
      <c r="P160" s="27"/>
      <c r="Q160" s="27"/>
    </row>
    <row r="161">
      <c r="A161" s="27"/>
      <c r="B161" s="35"/>
      <c r="C161" s="36"/>
      <c r="D161" s="36"/>
      <c r="E161" s="37"/>
      <c r="F161" s="38"/>
      <c r="G161" s="34"/>
      <c r="H161" s="37"/>
      <c r="I161" s="27"/>
      <c r="J161" s="27"/>
      <c r="K161" s="27"/>
      <c r="L161" s="27"/>
      <c r="M161" s="27"/>
      <c r="N161" s="27"/>
      <c r="O161" s="27"/>
      <c r="P161" s="27"/>
      <c r="Q161" s="27"/>
    </row>
    <row r="162">
      <c r="A162" s="27"/>
      <c r="B162" s="35"/>
      <c r="C162" s="36"/>
      <c r="D162" s="36"/>
      <c r="E162" s="37"/>
      <c r="F162" s="38"/>
      <c r="G162" s="34"/>
      <c r="H162" s="37"/>
      <c r="I162" s="27"/>
      <c r="J162" s="27"/>
      <c r="K162" s="27"/>
      <c r="L162" s="27"/>
      <c r="M162" s="27"/>
      <c r="N162" s="27"/>
      <c r="O162" s="27"/>
      <c r="P162" s="27"/>
      <c r="Q162" s="27"/>
    </row>
    <row r="163">
      <c r="A163" s="27"/>
      <c r="B163" s="35"/>
      <c r="C163" s="36"/>
      <c r="D163" s="36"/>
      <c r="E163" s="37"/>
      <c r="F163" s="38"/>
      <c r="G163" s="34"/>
      <c r="H163" s="37"/>
      <c r="I163" s="27"/>
      <c r="J163" s="27"/>
      <c r="K163" s="27"/>
      <c r="L163" s="27"/>
      <c r="M163" s="27"/>
      <c r="N163" s="27"/>
      <c r="O163" s="27"/>
      <c r="P163" s="27"/>
      <c r="Q163" s="27"/>
    </row>
    <row r="164">
      <c r="A164" s="27"/>
      <c r="B164" s="35"/>
      <c r="C164" s="36"/>
      <c r="D164" s="36"/>
      <c r="E164" s="37"/>
      <c r="F164" s="38"/>
      <c r="G164" s="34"/>
      <c r="H164" s="37"/>
      <c r="I164" s="27"/>
      <c r="J164" s="27"/>
      <c r="K164" s="27"/>
      <c r="L164" s="27"/>
      <c r="M164" s="27"/>
      <c r="N164" s="27"/>
      <c r="O164" s="27"/>
      <c r="P164" s="27"/>
      <c r="Q164" s="27"/>
    </row>
    <row r="165">
      <c r="A165" s="27"/>
      <c r="B165" s="35"/>
      <c r="C165" s="36"/>
      <c r="D165" s="36"/>
      <c r="E165" s="37"/>
      <c r="F165" s="38"/>
      <c r="G165" s="34"/>
      <c r="H165" s="37"/>
      <c r="I165" s="27"/>
      <c r="J165" s="27"/>
      <c r="K165" s="27"/>
      <c r="L165" s="27"/>
      <c r="M165" s="27"/>
      <c r="N165" s="27"/>
      <c r="O165" s="27"/>
      <c r="P165" s="27"/>
      <c r="Q165" s="27"/>
    </row>
    <row r="166">
      <c r="A166" s="27"/>
      <c r="B166" s="35"/>
      <c r="C166" s="36"/>
      <c r="D166" s="36"/>
      <c r="E166" s="37"/>
      <c r="F166" s="38"/>
      <c r="G166" s="34"/>
      <c r="H166" s="37"/>
      <c r="I166" s="27"/>
      <c r="J166" s="27"/>
      <c r="K166" s="27"/>
      <c r="L166" s="27"/>
      <c r="M166" s="27"/>
      <c r="N166" s="27"/>
      <c r="O166" s="27"/>
      <c r="P166" s="27"/>
      <c r="Q166" s="27"/>
    </row>
    <row r="167">
      <c r="A167" s="27"/>
      <c r="B167" s="35"/>
      <c r="C167" s="36"/>
      <c r="D167" s="36"/>
      <c r="E167" s="37"/>
      <c r="F167" s="38"/>
      <c r="G167" s="34"/>
      <c r="H167" s="37"/>
      <c r="I167" s="27"/>
      <c r="J167" s="27"/>
      <c r="K167" s="27"/>
      <c r="L167" s="27"/>
      <c r="M167" s="27"/>
      <c r="N167" s="27"/>
      <c r="O167" s="27"/>
      <c r="P167" s="27"/>
      <c r="Q167" s="27"/>
    </row>
    <row r="168">
      <c r="A168" s="27"/>
      <c r="B168" s="35"/>
      <c r="C168" s="36"/>
      <c r="D168" s="36"/>
      <c r="E168" s="37"/>
      <c r="F168" s="38"/>
      <c r="G168" s="34"/>
      <c r="H168" s="37"/>
      <c r="I168" s="27"/>
      <c r="J168" s="27"/>
      <c r="K168" s="27"/>
      <c r="L168" s="27"/>
      <c r="M168" s="27"/>
      <c r="N168" s="27"/>
      <c r="O168" s="27"/>
      <c r="P168" s="27"/>
      <c r="Q168" s="27"/>
    </row>
    <row r="169">
      <c r="A169" s="27"/>
      <c r="B169" s="35"/>
      <c r="C169" s="36"/>
      <c r="D169" s="36"/>
      <c r="E169" s="37"/>
      <c r="F169" s="38"/>
      <c r="G169" s="34"/>
      <c r="H169" s="37"/>
      <c r="I169" s="27"/>
      <c r="J169" s="27"/>
      <c r="K169" s="27"/>
      <c r="L169" s="27"/>
      <c r="M169" s="27"/>
      <c r="N169" s="27"/>
      <c r="O169" s="27"/>
      <c r="P169" s="27"/>
      <c r="Q169" s="27"/>
    </row>
    <row r="170">
      <c r="A170" s="27"/>
      <c r="B170" s="35"/>
      <c r="C170" s="36"/>
      <c r="D170" s="36"/>
      <c r="E170" s="37"/>
      <c r="F170" s="38"/>
      <c r="G170" s="34"/>
      <c r="H170" s="37"/>
      <c r="I170" s="27"/>
      <c r="J170" s="27"/>
      <c r="K170" s="27"/>
      <c r="L170" s="27"/>
      <c r="M170" s="27"/>
      <c r="N170" s="27"/>
      <c r="O170" s="27"/>
      <c r="P170" s="27"/>
      <c r="Q170" s="27"/>
    </row>
    <row r="171">
      <c r="A171" s="27"/>
      <c r="B171" s="35"/>
      <c r="C171" s="36"/>
      <c r="D171" s="36"/>
      <c r="E171" s="37"/>
      <c r="F171" s="38"/>
      <c r="G171" s="34"/>
      <c r="H171" s="37"/>
      <c r="I171" s="27"/>
      <c r="J171" s="27"/>
      <c r="K171" s="27"/>
      <c r="L171" s="27"/>
      <c r="M171" s="27"/>
      <c r="N171" s="27"/>
      <c r="O171" s="27"/>
      <c r="P171" s="27"/>
      <c r="Q171" s="27"/>
    </row>
    <row r="172">
      <c r="A172" s="27"/>
      <c r="B172" s="35"/>
      <c r="C172" s="36"/>
      <c r="D172" s="36"/>
      <c r="E172" s="37"/>
      <c r="F172" s="38"/>
      <c r="G172" s="34"/>
      <c r="H172" s="37"/>
      <c r="I172" s="27"/>
      <c r="J172" s="27"/>
      <c r="K172" s="27"/>
      <c r="L172" s="27"/>
      <c r="M172" s="27"/>
      <c r="N172" s="27"/>
      <c r="O172" s="27"/>
      <c r="P172" s="27"/>
      <c r="Q172" s="27"/>
    </row>
    <row r="173">
      <c r="A173" s="27"/>
      <c r="B173" s="35"/>
      <c r="C173" s="36"/>
      <c r="D173" s="36"/>
      <c r="E173" s="37"/>
      <c r="F173" s="38"/>
      <c r="G173" s="34"/>
      <c r="H173" s="37"/>
      <c r="I173" s="27"/>
      <c r="J173" s="27"/>
      <c r="K173" s="27"/>
      <c r="L173" s="27"/>
      <c r="M173" s="27"/>
      <c r="N173" s="27"/>
      <c r="O173" s="27"/>
      <c r="P173" s="27"/>
      <c r="Q173" s="27"/>
    </row>
    <row r="174">
      <c r="A174" s="27"/>
      <c r="B174" s="35"/>
      <c r="C174" s="36"/>
      <c r="D174" s="36"/>
      <c r="E174" s="37"/>
      <c r="F174" s="38"/>
      <c r="G174" s="34"/>
      <c r="H174" s="37"/>
      <c r="I174" s="27"/>
      <c r="J174" s="27"/>
      <c r="K174" s="27"/>
      <c r="L174" s="27"/>
      <c r="M174" s="27"/>
      <c r="N174" s="27"/>
      <c r="O174" s="27"/>
      <c r="P174" s="27"/>
      <c r="Q174" s="27"/>
    </row>
    <row r="175">
      <c r="A175" s="27"/>
      <c r="B175" s="35"/>
      <c r="C175" s="36"/>
      <c r="D175" s="36"/>
      <c r="E175" s="37"/>
      <c r="F175" s="38"/>
      <c r="G175" s="34"/>
      <c r="H175" s="37"/>
      <c r="I175" s="27"/>
      <c r="J175" s="27"/>
      <c r="K175" s="27"/>
      <c r="L175" s="27"/>
      <c r="M175" s="27"/>
      <c r="N175" s="27"/>
      <c r="O175" s="27"/>
      <c r="P175" s="27"/>
      <c r="Q175" s="27"/>
    </row>
    <row r="176">
      <c r="A176" s="27"/>
      <c r="B176" s="35"/>
      <c r="C176" s="36"/>
      <c r="D176" s="36"/>
      <c r="E176" s="37"/>
      <c r="F176" s="38"/>
      <c r="G176" s="34"/>
      <c r="H176" s="37"/>
      <c r="I176" s="27"/>
      <c r="J176" s="27"/>
      <c r="K176" s="27"/>
      <c r="L176" s="27"/>
      <c r="M176" s="27"/>
      <c r="N176" s="27"/>
      <c r="O176" s="27"/>
      <c r="P176" s="27"/>
      <c r="Q176" s="27"/>
    </row>
    <row r="177">
      <c r="A177" s="27"/>
      <c r="B177" s="35"/>
      <c r="C177" s="36"/>
      <c r="D177" s="36"/>
      <c r="E177" s="37"/>
      <c r="F177" s="38"/>
      <c r="G177" s="34"/>
      <c r="H177" s="37"/>
      <c r="I177" s="27"/>
      <c r="J177" s="27"/>
      <c r="K177" s="27"/>
      <c r="L177" s="27"/>
      <c r="M177" s="27"/>
      <c r="N177" s="27"/>
      <c r="O177" s="27"/>
      <c r="P177" s="27"/>
      <c r="Q177" s="27"/>
    </row>
    <row r="178">
      <c r="A178" s="27"/>
      <c r="B178" s="35"/>
      <c r="C178" s="36"/>
      <c r="D178" s="36"/>
      <c r="E178" s="37"/>
      <c r="F178" s="38"/>
      <c r="G178" s="34"/>
      <c r="H178" s="37"/>
      <c r="I178" s="27"/>
      <c r="J178" s="27"/>
      <c r="K178" s="27"/>
      <c r="L178" s="27"/>
      <c r="M178" s="27"/>
      <c r="N178" s="27"/>
      <c r="O178" s="27"/>
      <c r="P178" s="27"/>
      <c r="Q178" s="27"/>
    </row>
    <row r="179">
      <c r="A179" s="27"/>
      <c r="B179" s="35"/>
      <c r="C179" s="36"/>
      <c r="D179" s="36"/>
      <c r="E179" s="37"/>
      <c r="F179" s="38"/>
      <c r="G179" s="34"/>
      <c r="H179" s="37"/>
      <c r="I179" s="27"/>
      <c r="J179" s="27"/>
      <c r="K179" s="27"/>
      <c r="L179" s="27"/>
      <c r="M179" s="27"/>
      <c r="N179" s="27"/>
      <c r="O179" s="27"/>
      <c r="P179" s="27"/>
      <c r="Q179" s="27"/>
    </row>
    <row r="180">
      <c r="A180" s="27"/>
      <c r="B180" s="35"/>
      <c r="C180" s="36"/>
      <c r="D180" s="36"/>
      <c r="E180" s="37"/>
      <c r="F180" s="38"/>
      <c r="G180" s="34"/>
      <c r="H180" s="37"/>
      <c r="I180" s="27"/>
      <c r="J180" s="27"/>
      <c r="K180" s="27"/>
      <c r="L180" s="27"/>
      <c r="M180" s="27"/>
      <c r="N180" s="27"/>
      <c r="O180" s="27"/>
      <c r="P180" s="27"/>
      <c r="Q180" s="27"/>
    </row>
    <row r="181">
      <c r="A181" s="27"/>
      <c r="B181" s="35"/>
      <c r="C181" s="36"/>
      <c r="D181" s="36"/>
      <c r="E181" s="37"/>
      <c r="F181" s="38"/>
      <c r="G181" s="34"/>
      <c r="H181" s="37"/>
      <c r="I181" s="27"/>
      <c r="J181" s="27"/>
      <c r="K181" s="27"/>
      <c r="L181" s="27"/>
      <c r="M181" s="27"/>
      <c r="N181" s="27"/>
      <c r="O181" s="27"/>
      <c r="P181" s="27"/>
      <c r="Q181" s="27"/>
    </row>
    <row r="182">
      <c r="A182" s="27"/>
      <c r="B182" s="35"/>
      <c r="C182" s="36"/>
      <c r="D182" s="36"/>
      <c r="E182" s="37"/>
      <c r="F182" s="38"/>
      <c r="G182" s="34"/>
      <c r="H182" s="37"/>
      <c r="I182" s="27"/>
      <c r="J182" s="27"/>
      <c r="K182" s="27"/>
      <c r="L182" s="27"/>
      <c r="M182" s="27"/>
      <c r="N182" s="27"/>
      <c r="O182" s="27"/>
      <c r="P182" s="27"/>
      <c r="Q182" s="27"/>
    </row>
    <row r="183">
      <c r="A183" s="27"/>
      <c r="B183" s="35"/>
      <c r="C183" s="36"/>
      <c r="D183" s="36"/>
      <c r="E183" s="37"/>
      <c r="F183" s="38"/>
      <c r="G183" s="34"/>
      <c r="H183" s="37"/>
      <c r="I183" s="27"/>
      <c r="J183" s="27"/>
      <c r="K183" s="27"/>
      <c r="L183" s="27"/>
      <c r="M183" s="27"/>
      <c r="N183" s="27"/>
      <c r="O183" s="27"/>
      <c r="P183" s="27"/>
      <c r="Q183" s="27"/>
    </row>
    <row r="184">
      <c r="A184" s="27"/>
      <c r="B184" s="35"/>
      <c r="C184" s="36"/>
      <c r="D184" s="36"/>
      <c r="E184" s="37"/>
      <c r="F184" s="38"/>
      <c r="G184" s="34"/>
      <c r="H184" s="37"/>
      <c r="I184" s="27"/>
      <c r="J184" s="27"/>
      <c r="K184" s="27"/>
      <c r="L184" s="27"/>
      <c r="M184" s="27"/>
      <c r="N184" s="27"/>
      <c r="O184" s="27"/>
      <c r="P184" s="27"/>
      <c r="Q184" s="27"/>
    </row>
    <row r="185">
      <c r="A185" s="27"/>
      <c r="B185" s="35"/>
      <c r="C185" s="36"/>
      <c r="D185" s="36"/>
      <c r="E185" s="37"/>
      <c r="F185" s="38"/>
      <c r="G185" s="34"/>
      <c r="H185" s="37"/>
      <c r="I185" s="27"/>
      <c r="J185" s="27"/>
      <c r="K185" s="27"/>
      <c r="L185" s="27"/>
      <c r="M185" s="27"/>
      <c r="N185" s="27"/>
      <c r="O185" s="27"/>
      <c r="P185" s="27"/>
      <c r="Q185" s="27"/>
    </row>
    <row r="186">
      <c r="A186" s="27"/>
      <c r="B186" s="35"/>
      <c r="C186" s="36"/>
      <c r="D186" s="36"/>
      <c r="E186" s="37"/>
      <c r="F186" s="38"/>
      <c r="G186" s="34"/>
      <c r="H186" s="37"/>
      <c r="I186" s="27"/>
      <c r="J186" s="27"/>
      <c r="K186" s="27"/>
      <c r="L186" s="27"/>
      <c r="M186" s="27"/>
      <c r="N186" s="27"/>
      <c r="O186" s="27"/>
      <c r="P186" s="27"/>
      <c r="Q186" s="27"/>
    </row>
    <row r="187">
      <c r="A187" s="27"/>
      <c r="B187" s="35"/>
      <c r="C187" s="36"/>
      <c r="D187" s="36"/>
      <c r="E187" s="37"/>
      <c r="F187" s="38"/>
      <c r="G187" s="34"/>
      <c r="H187" s="37"/>
      <c r="I187" s="27"/>
      <c r="J187" s="27"/>
      <c r="K187" s="27"/>
      <c r="L187" s="27"/>
      <c r="M187" s="27"/>
      <c r="N187" s="27"/>
      <c r="O187" s="27"/>
      <c r="P187" s="27"/>
      <c r="Q187" s="27"/>
    </row>
    <row r="188">
      <c r="A188" s="27"/>
      <c r="B188" s="35"/>
      <c r="C188" s="36"/>
      <c r="D188" s="36"/>
      <c r="E188" s="37"/>
      <c r="F188" s="38"/>
      <c r="G188" s="34"/>
      <c r="H188" s="37"/>
      <c r="I188" s="27"/>
      <c r="J188" s="27"/>
      <c r="K188" s="27"/>
      <c r="L188" s="27"/>
      <c r="M188" s="27"/>
      <c r="N188" s="27"/>
      <c r="O188" s="27"/>
      <c r="P188" s="27"/>
      <c r="Q188" s="27"/>
    </row>
    <row r="189">
      <c r="A189" s="27"/>
      <c r="B189" s="35"/>
      <c r="C189" s="36"/>
      <c r="D189" s="36"/>
      <c r="E189" s="37"/>
      <c r="F189" s="38"/>
      <c r="G189" s="34"/>
      <c r="H189" s="37"/>
      <c r="I189" s="27"/>
      <c r="J189" s="27"/>
      <c r="K189" s="27"/>
      <c r="L189" s="27"/>
      <c r="M189" s="27"/>
      <c r="N189" s="27"/>
      <c r="O189" s="27"/>
      <c r="P189" s="27"/>
      <c r="Q189" s="27"/>
    </row>
    <row r="190">
      <c r="A190" s="27"/>
      <c r="B190" s="35"/>
      <c r="C190" s="36"/>
      <c r="D190" s="36"/>
      <c r="E190" s="37"/>
      <c r="F190" s="38"/>
      <c r="G190" s="34"/>
      <c r="H190" s="37"/>
      <c r="I190" s="27"/>
      <c r="J190" s="27"/>
      <c r="K190" s="27"/>
      <c r="L190" s="27"/>
      <c r="M190" s="27"/>
      <c r="N190" s="27"/>
      <c r="O190" s="27"/>
      <c r="P190" s="27"/>
      <c r="Q190" s="27"/>
    </row>
    <row r="191">
      <c r="A191" s="27"/>
      <c r="B191" s="35"/>
      <c r="C191" s="36"/>
      <c r="D191" s="36"/>
      <c r="E191" s="37"/>
      <c r="F191" s="38"/>
      <c r="G191" s="34"/>
      <c r="H191" s="37"/>
      <c r="I191" s="27"/>
      <c r="J191" s="27"/>
      <c r="K191" s="27"/>
      <c r="L191" s="27"/>
      <c r="M191" s="27"/>
      <c r="N191" s="27"/>
      <c r="O191" s="27"/>
      <c r="P191" s="27"/>
      <c r="Q191" s="27"/>
    </row>
    <row r="192">
      <c r="A192" s="27"/>
      <c r="B192" s="35"/>
      <c r="C192" s="36"/>
      <c r="D192" s="36"/>
      <c r="E192" s="37"/>
      <c r="F192" s="38"/>
      <c r="G192" s="34"/>
      <c r="H192" s="37"/>
      <c r="I192" s="27"/>
      <c r="J192" s="27"/>
      <c r="K192" s="27"/>
      <c r="L192" s="27"/>
      <c r="M192" s="27"/>
      <c r="N192" s="27"/>
      <c r="O192" s="27"/>
      <c r="P192" s="27"/>
      <c r="Q192" s="27"/>
    </row>
    <row r="193">
      <c r="A193" s="27"/>
      <c r="B193" s="35"/>
      <c r="C193" s="36"/>
      <c r="D193" s="36"/>
      <c r="E193" s="37"/>
      <c r="F193" s="38"/>
      <c r="G193" s="34"/>
      <c r="H193" s="37"/>
      <c r="I193" s="27"/>
      <c r="J193" s="27"/>
      <c r="K193" s="27"/>
      <c r="L193" s="27"/>
      <c r="M193" s="27"/>
      <c r="N193" s="27"/>
      <c r="O193" s="27"/>
      <c r="P193" s="27"/>
      <c r="Q193" s="27"/>
    </row>
    <row r="194">
      <c r="A194" s="27"/>
      <c r="B194" s="35"/>
      <c r="C194" s="36"/>
      <c r="D194" s="36"/>
      <c r="E194" s="37"/>
      <c r="F194" s="38"/>
      <c r="G194" s="34"/>
      <c r="H194" s="37"/>
      <c r="I194" s="27"/>
      <c r="J194" s="27"/>
      <c r="K194" s="27"/>
      <c r="L194" s="27"/>
      <c r="M194" s="27"/>
      <c r="N194" s="27"/>
      <c r="O194" s="27"/>
      <c r="P194" s="27"/>
      <c r="Q194" s="27"/>
    </row>
    <row r="195">
      <c r="A195" s="27"/>
      <c r="B195" s="35"/>
      <c r="C195" s="36"/>
      <c r="D195" s="36"/>
      <c r="E195" s="37"/>
      <c r="F195" s="38"/>
      <c r="G195" s="34"/>
      <c r="H195" s="37"/>
      <c r="I195" s="27"/>
      <c r="J195" s="27"/>
      <c r="K195" s="27"/>
      <c r="L195" s="27"/>
      <c r="M195" s="27"/>
      <c r="N195" s="27"/>
      <c r="O195" s="27"/>
      <c r="P195" s="27"/>
      <c r="Q195" s="27"/>
    </row>
    <row r="196">
      <c r="A196" s="27"/>
      <c r="B196" s="35"/>
      <c r="C196" s="36"/>
      <c r="D196" s="36"/>
      <c r="E196" s="37"/>
      <c r="F196" s="38"/>
      <c r="G196" s="34"/>
      <c r="H196" s="37"/>
      <c r="I196" s="27"/>
      <c r="J196" s="27"/>
      <c r="K196" s="27"/>
      <c r="L196" s="27"/>
      <c r="M196" s="27"/>
      <c r="N196" s="27"/>
      <c r="O196" s="27"/>
      <c r="P196" s="27"/>
      <c r="Q196" s="27"/>
    </row>
    <row r="197">
      <c r="A197" s="27"/>
      <c r="B197" s="35"/>
      <c r="C197" s="36"/>
      <c r="D197" s="36"/>
      <c r="E197" s="37"/>
      <c r="F197" s="38"/>
      <c r="G197" s="34"/>
      <c r="H197" s="37"/>
      <c r="I197" s="27"/>
      <c r="J197" s="27"/>
      <c r="K197" s="27"/>
      <c r="L197" s="27"/>
      <c r="M197" s="27"/>
      <c r="N197" s="27"/>
      <c r="O197" s="27"/>
      <c r="P197" s="27"/>
      <c r="Q197" s="27"/>
    </row>
    <row r="198">
      <c r="A198" s="27"/>
      <c r="B198" s="35"/>
      <c r="C198" s="36"/>
      <c r="D198" s="36"/>
      <c r="E198" s="37"/>
      <c r="F198" s="38"/>
      <c r="G198" s="34"/>
      <c r="H198" s="37"/>
      <c r="I198" s="27"/>
      <c r="J198" s="27"/>
      <c r="K198" s="27"/>
      <c r="L198" s="27"/>
      <c r="M198" s="27"/>
      <c r="N198" s="27"/>
      <c r="O198" s="27"/>
      <c r="P198" s="27"/>
      <c r="Q198" s="27"/>
    </row>
    <row r="199">
      <c r="A199" s="27"/>
      <c r="B199" s="35"/>
      <c r="C199" s="36"/>
      <c r="D199" s="36"/>
      <c r="E199" s="37"/>
      <c r="F199" s="38"/>
      <c r="G199" s="34"/>
      <c r="H199" s="37"/>
      <c r="I199" s="27"/>
      <c r="J199" s="27"/>
      <c r="K199" s="27"/>
      <c r="L199" s="27"/>
      <c r="M199" s="27"/>
      <c r="N199" s="27"/>
      <c r="O199" s="27"/>
      <c r="P199" s="27"/>
      <c r="Q199" s="27"/>
    </row>
    <row r="200">
      <c r="A200" s="27"/>
      <c r="B200" s="35"/>
      <c r="C200" s="36"/>
      <c r="D200" s="36"/>
      <c r="E200" s="37"/>
      <c r="F200" s="38"/>
      <c r="G200" s="34"/>
      <c r="H200" s="37"/>
      <c r="I200" s="27"/>
      <c r="J200" s="27"/>
      <c r="K200" s="27"/>
      <c r="L200" s="27"/>
      <c r="M200" s="27"/>
      <c r="N200" s="27"/>
      <c r="O200" s="27"/>
      <c r="P200" s="27"/>
      <c r="Q200" s="27"/>
    </row>
    <row r="201">
      <c r="A201" s="27"/>
      <c r="B201" s="35"/>
      <c r="C201" s="36"/>
      <c r="D201" s="36"/>
      <c r="E201" s="37"/>
      <c r="F201" s="38"/>
      <c r="G201" s="34"/>
      <c r="H201" s="37"/>
      <c r="I201" s="27"/>
      <c r="J201" s="27"/>
      <c r="K201" s="27"/>
      <c r="L201" s="27"/>
      <c r="M201" s="27"/>
      <c r="N201" s="27"/>
      <c r="O201" s="27"/>
      <c r="P201" s="27"/>
      <c r="Q201" s="27"/>
    </row>
    <row r="202">
      <c r="A202" s="27"/>
      <c r="B202" s="35"/>
      <c r="C202" s="36"/>
      <c r="D202" s="36"/>
      <c r="E202" s="37"/>
      <c r="F202" s="38"/>
      <c r="G202" s="34"/>
      <c r="H202" s="37"/>
      <c r="I202" s="27"/>
      <c r="J202" s="27"/>
      <c r="K202" s="27"/>
      <c r="L202" s="27"/>
      <c r="M202" s="27"/>
      <c r="N202" s="27"/>
      <c r="O202" s="27"/>
      <c r="P202" s="27"/>
      <c r="Q202" s="27"/>
    </row>
    <row r="203">
      <c r="A203" s="27"/>
      <c r="B203" s="35"/>
      <c r="C203" s="36"/>
      <c r="D203" s="36"/>
      <c r="E203" s="37"/>
      <c r="F203" s="38"/>
      <c r="G203" s="34"/>
      <c r="H203" s="37"/>
      <c r="I203" s="27"/>
      <c r="J203" s="27"/>
      <c r="K203" s="27"/>
      <c r="L203" s="27"/>
      <c r="M203" s="27"/>
      <c r="N203" s="27"/>
      <c r="O203" s="27"/>
      <c r="P203" s="27"/>
      <c r="Q203" s="27"/>
    </row>
    <row r="204">
      <c r="A204" s="27"/>
      <c r="B204" s="35"/>
      <c r="C204" s="36"/>
      <c r="D204" s="36"/>
      <c r="E204" s="37"/>
      <c r="F204" s="38"/>
      <c r="G204" s="34"/>
      <c r="H204" s="37"/>
      <c r="I204" s="27"/>
      <c r="J204" s="27"/>
      <c r="K204" s="27"/>
      <c r="L204" s="27"/>
      <c r="M204" s="27"/>
      <c r="N204" s="27"/>
      <c r="O204" s="27"/>
      <c r="P204" s="27"/>
      <c r="Q204" s="27"/>
    </row>
    <row r="205">
      <c r="A205" s="27"/>
      <c r="B205" s="35"/>
      <c r="C205" s="36"/>
      <c r="D205" s="36"/>
      <c r="E205" s="37"/>
      <c r="F205" s="38"/>
      <c r="G205" s="34"/>
      <c r="H205" s="37"/>
      <c r="I205" s="27"/>
      <c r="J205" s="27"/>
      <c r="K205" s="27"/>
      <c r="L205" s="27"/>
      <c r="M205" s="27"/>
      <c r="N205" s="27"/>
      <c r="O205" s="27"/>
      <c r="P205" s="27"/>
      <c r="Q205" s="27"/>
    </row>
    <row r="206">
      <c r="A206" s="27"/>
      <c r="B206" s="35"/>
      <c r="C206" s="36"/>
      <c r="D206" s="36"/>
      <c r="E206" s="37"/>
      <c r="F206" s="38"/>
      <c r="G206" s="34"/>
      <c r="H206" s="37"/>
      <c r="I206" s="27"/>
      <c r="J206" s="27"/>
      <c r="K206" s="27"/>
      <c r="L206" s="27"/>
      <c r="M206" s="27"/>
      <c r="N206" s="27"/>
      <c r="O206" s="27"/>
      <c r="P206" s="27"/>
      <c r="Q206" s="27"/>
    </row>
    <row r="207">
      <c r="A207" s="27"/>
      <c r="B207" s="35"/>
      <c r="C207" s="36"/>
      <c r="D207" s="36"/>
      <c r="E207" s="37"/>
      <c r="F207" s="38"/>
      <c r="G207" s="34"/>
      <c r="H207" s="37"/>
      <c r="I207" s="27"/>
      <c r="J207" s="27"/>
      <c r="K207" s="27"/>
      <c r="L207" s="27"/>
      <c r="M207" s="27"/>
      <c r="N207" s="27"/>
      <c r="O207" s="27"/>
      <c r="P207" s="27"/>
      <c r="Q207" s="27"/>
    </row>
    <row r="208">
      <c r="A208" s="27"/>
      <c r="B208" s="35"/>
      <c r="C208" s="36"/>
      <c r="D208" s="36"/>
      <c r="E208" s="37"/>
      <c r="F208" s="38"/>
      <c r="G208" s="34"/>
      <c r="H208" s="37"/>
      <c r="I208" s="27"/>
      <c r="J208" s="27"/>
      <c r="K208" s="27"/>
      <c r="L208" s="27"/>
      <c r="M208" s="27"/>
      <c r="N208" s="27"/>
      <c r="O208" s="27"/>
      <c r="P208" s="27"/>
      <c r="Q208" s="27"/>
    </row>
    <row r="209">
      <c r="A209" s="27"/>
      <c r="B209" s="35"/>
      <c r="C209" s="36"/>
      <c r="D209" s="36"/>
      <c r="E209" s="37"/>
      <c r="F209" s="38"/>
      <c r="G209" s="34"/>
      <c r="H209" s="37"/>
      <c r="I209" s="27"/>
      <c r="J209" s="27"/>
      <c r="K209" s="27"/>
      <c r="L209" s="27"/>
      <c r="M209" s="27"/>
      <c r="N209" s="27"/>
      <c r="O209" s="27"/>
      <c r="P209" s="27"/>
      <c r="Q209" s="27"/>
    </row>
    <row r="210">
      <c r="A210" s="27"/>
      <c r="B210" s="35"/>
      <c r="C210" s="36"/>
      <c r="D210" s="36"/>
      <c r="E210" s="37"/>
      <c r="F210" s="38"/>
      <c r="G210" s="34"/>
      <c r="H210" s="37"/>
      <c r="I210" s="27"/>
      <c r="J210" s="27"/>
      <c r="K210" s="27"/>
      <c r="L210" s="27"/>
      <c r="M210" s="27"/>
      <c r="N210" s="27"/>
      <c r="O210" s="27"/>
      <c r="P210" s="27"/>
      <c r="Q210" s="27"/>
    </row>
    <row r="211">
      <c r="A211" s="27"/>
      <c r="B211" s="35"/>
      <c r="C211" s="36"/>
      <c r="D211" s="36"/>
      <c r="E211" s="37"/>
      <c r="F211" s="38"/>
      <c r="G211" s="34"/>
      <c r="H211" s="37"/>
      <c r="I211" s="27"/>
      <c r="J211" s="27"/>
      <c r="K211" s="27"/>
      <c r="L211" s="27"/>
      <c r="M211" s="27"/>
      <c r="N211" s="27"/>
      <c r="O211" s="27"/>
      <c r="P211" s="27"/>
      <c r="Q211" s="27"/>
    </row>
    <row r="212">
      <c r="A212" s="27"/>
      <c r="B212" s="35"/>
      <c r="C212" s="36"/>
      <c r="D212" s="36"/>
      <c r="E212" s="37"/>
      <c r="F212" s="38"/>
      <c r="G212" s="34"/>
      <c r="H212" s="37"/>
      <c r="I212" s="27"/>
      <c r="J212" s="27"/>
      <c r="K212" s="27"/>
      <c r="L212" s="27"/>
      <c r="M212" s="27"/>
      <c r="N212" s="27"/>
      <c r="O212" s="27"/>
      <c r="P212" s="27"/>
      <c r="Q212" s="27"/>
    </row>
    <row r="213">
      <c r="A213" s="27"/>
      <c r="B213" s="35"/>
      <c r="C213" s="36"/>
      <c r="D213" s="36"/>
      <c r="E213" s="37"/>
      <c r="F213" s="38"/>
      <c r="G213" s="34"/>
      <c r="H213" s="37"/>
      <c r="I213" s="27"/>
      <c r="J213" s="27"/>
      <c r="K213" s="27"/>
      <c r="L213" s="27"/>
      <c r="M213" s="27"/>
      <c r="N213" s="27"/>
      <c r="O213" s="27"/>
      <c r="P213" s="27"/>
      <c r="Q213" s="27"/>
    </row>
    <row r="214">
      <c r="A214" s="27"/>
      <c r="B214" s="35"/>
      <c r="C214" s="36"/>
      <c r="D214" s="36"/>
      <c r="E214" s="37"/>
      <c r="F214" s="38"/>
      <c r="G214" s="34"/>
      <c r="H214" s="37"/>
      <c r="I214" s="27"/>
      <c r="J214" s="27"/>
      <c r="K214" s="27"/>
      <c r="L214" s="27"/>
      <c r="M214" s="27"/>
      <c r="N214" s="27"/>
      <c r="O214" s="27"/>
      <c r="P214" s="27"/>
      <c r="Q214" s="27"/>
    </row>
    <row r="215">
      <c r="A215" s="27"/>
      <c r="B215" s="35"/>
      <c r="C215" s="36"/>
      <c r="D215" s="36"/>
      <c r="E215" s="37"/>
      <c r="F215" s="38"/>
      <c r="G215" s="34"/>
      <c r="H215" s="37"/>
      <c r="I215" s="27"/>
      <c r="J215" s="27"/>
      <c r="K215" s="27"/>
      <c r="L215" s="27"/>
      <c r="M215" s="27"/>
      <c r="N215" s="27"/>
      <c r="O215" s="27"/>
      <c r="P215" s="27"/>
      <c r="Q215" s="27"/>
    </row>
    <row r="216">
      <c r="A216" s="27"/>
      <c r="B216" s="35"/>
      <c r="C216" s="36"/>
      <c r="D216" s="36"/>
      <c r="E216" s="37"/>
      <c r="F216" s="38"/>
      <c r="G216" s="34"/>
      <c r="H216" s="37"/>
      <c r="I216" s="27"/>
      <c r="J216" s="27"/>
      <c r="K216" s="27"/>
      <c r="L216" s="27"/>
      <c r="M216" s="27"/>
      <c r="N216" s="27"/>
      <c r="O216" s="27"/>
      <c r="P216" s="27"/>
      <c r="Q216" s="27"/>
    </row>
    <row r="217">
      <c r="A217" s="27"/>
      <c r="B217" s="35"/>
      <c r="C217" s="36"/>
      <c r="D217" s="36"/>
      <c r="E217" s="37"/>
      <c r="F217" s="38"/>
      <c r="G217" s="34"/>
      <c r="H217" s="37"/>
      <c r="I217" s="27"/>
      <c r="J217" s="27"/>
      <c r="K217" s="27"/>
      <c r="L217" s="27"/>
      <c r="M217" s="27"/>
      <c r="N217" s="27"/>
      <c r="O217" s="27"/>
      <c r="P217" s="27"/>
      <c r="Q217" s="27"/>
    </row>
    <row r="218">
      <c r="A218" s="27"/>
      <c r="B218" s="35"/>
      <c r="C218" s="36"/>
      <c r="D218" s="36"/>
      <c r="E218" s="37"/>
      <c r="F218" s="38"/>
      <c r="G218" s="34"/>
      <c r="H218" s="37"/>
      <c r="I218" s="27"/>
      <c r="J218" s="27"/>
      <c r="K218" s="27"/>
      <c r="L218" s="27"/>
      <c r="M218" s="27"/>
      <c r="N218" s="27"/>
      <c r="O218" s="27"/>
      <c r="P218" s="27"/>
      <c r="Q218" s="27"/>
    </row>
    <row r="219">
      <c r="A219" s="27"/>
      <c r="B219" s="35"/>
      <c r="C219" s="36"/>
      <c r="D219" s="36"/>
      <c r="E219" s="37"/>
      <c r="F219" s="38"/>
      <c r="G219" s="34"/>
      <c r="H219" s="37"/>
      <c r="I219" s="27"/>
      <c r="J219" s="27"/>
      <c r="K219" s="27"/>
      <c r="L219" s="27"/>
      <c r="M219" s="27"/>
      <c r="N219" s="27"/>
      <c r="O219" s="27"/>
      <c r="P219" s="27"/>
      <c r="Q219" s="27"/>
    </row>
    <row r="220">
      <c r="A220" s="27"/>
      <c r="B220" s="35"/>
      <c r="C220" s="36"/>
      <c r="D220" s="36"/>
      <c r="E220" s="37"/>
      <c r="F220" s="38"/>
      <c r="G220" s="34"/>
      <c r="H220" s="37"/>
      <c r="I220" s="27"/>
      <c r="J220" s="27"/>
      <c r="K220" s="27"/>
      <c r="L220" s="27"/>
      <c r="M220" s="27"/>
      <c r="N220" s="27"/>
      <c r="O220" s="27"/>
      <c r="P220" s="27"/>
      <c r="Q220" s="27"/>
    </row>
    <row r="221">
      <c r="A221" s="27"/>
      <c r="B221" s="35"/>
      <c r="C221" s="36"/>
      <c r="D221" s="36"/>
      <c r="E221" s="37"/>
      <c r="F221" s="38"/>
      <c r="G221" s="34"/>
      <c r="H221" s="37"/>
      <c r="I221" s="27"/>
      <c r="J221" s="27"/>
      <c r="K221" s="27"/>
      <c r="L221" s="27"/>
      <c r="M221" s="27"/>
      <c r="N221" s="27"/>
      <c r="O221" s="27"/>
      <c r="P221" s="27"/>
      <c r="Q221" s="27"/>
    </row>
    <row r="222">
      <c r="A222" s="27"/>
      <c r="B222" s="35"/>
      <c r="C222" s="36"/>
      <c r="D222" s="36"/>
      <c r="E222" s="37"/>
      <c r="F222" s="38"/>
      <c r="G222" s="34"/>
      <c r="H222" s="37"/>
      <c r="I222" s="27"/>
      <c r="J222" s="27"/>
      <c r="K222" s="27"/>
      <c r="L222" s="27"/>
      <c r="M222" s="27"/>
      <c r="N222" s="27"/>
      <c r="O222" s="27"/>
      <c r="P222" s="27"/>
      <c r="Q222" s="27"/>
    </row>
    <row r="223">
      <c r="A223" s="27"/>
      <c r="B223" s="35"/>
      <c r="C223" s="36"/>
      <c r="D223" s="36"/>
      <c r="E223" s="37"/>
      <c r="F223" s="38"/>
      <c r="G223" s="34"/>
      <c r="H223" s="37"/>
      <c r="I223" s="27"/>
      <c r="J223" s="27"/>
      <c r="K223" s="27"/>
      <c r="L223" s="27"/>
      <c r="M223" s="27"/>
      <c r="N223" s="27"/>
      <c r="O223" s="27"/>
      <c r="P223" s="27"/>
      <c r="Q223" s="27"/>
    </row>
    <row r="224">
      <c r="A224" s="27"/>
      <c r="B224" s="35"/>
      <c r="C224" s="36"/>
      <c r="D224" s="36"/>
      <c r="E224" s="37"/>
      <c r="F224" s="38"/>
      <c r="G224" s="34"/>
      <c r="H224" s="37"/>
      <c r="I224" s="27"/>
      <c r="J224" s="27"/>
      <c r="K224" s="27"/>
      <c r="L224" s="27"/>
      <c r="M224" s="27"/>
      <c r="N224" s="27"/>
      <c r="O224" s="27"/>
      <c r="P224" s="27"/>
      <c r="Q224" s="27"/>
    </row>
    <row r="225">
      <c r="A225" s="27"/>
      <c r="B225" s="35"/>
      <c r="C225" s="36"/>
      <c r="D225" s="36"/>
      <c r="E225" s="37"/>
      <c r="F225" s="38"/>
      <c r="G225" s="34"/>
      <c r="H225" s="37"/>
      <c r="I225" s="27"/>
      <c r="J225" s="27"/>
      <c r="K225" s="27"/>
      <c r="L225" s="27"/>
      <c r="M225" s="27"/>
      <c r="N225" s="27"/>
      <c r="O225" s="27"/>
      <c r="P225" s="27"/>
      <c r="Q225" s="27"/>
    </row>
    <row r="226">
      <c r="A226" s="27"/>
      <c r="B226" s="35"/>
      <c r="C226" s="36"/>
      <c r="D226" s="36"/>
      <c r="E226" s="37"/>
      <c r="F226" s="38"/>
      <c r="G226" s="34"/>
      <c r="H226" s="37"/>
      <c r="I226" s="27"/>
      <c r="J226" s="27"/>
      <c r="K226" s="27"/>
      <c r="L226" s="27"/>
      <c r="M226" s="27"/>
      <c r="N226" s="27"/>
      <c r="O226" s="27"/>
      <c r="P226" s="27"/>
      <c r="Q226" s="27"/>
    </row>
    <row r="227">
      <c r="A227" s="27"/>
      <c r="B227" s="35"/>
      <c r="C227" s="36"/>
      <c r="D227" s="36"/>
      <c r="E227" s="37"/>
      <c r="F227" s="38"/>
      <c r="G227" s="34"/>
      <c r="H227" s="37"/>
      <c r="I227" s="27"/>
      <c r="J227" s="27"/>
      <c r="K227" s="27"/>
      <c r="L227" s="27"/>
      <c r="M227" s="27"/>
      <c r="N227" s="27"/>
      <c r="O227" s="27"/>
      <c r="P227" s="27"/>
      <c r="Q227" s="27"/>
    </row>
    <row r="228">
      <c r="A228" s="27"/>
      <c r="B228" s="35"/>
      <c r="C228" s="36"/>
      <c r="D228" s="36"/>
      <c r="E228" s="37"/>
      <c r="F228" s="38"/>
      <c r="G228" s="34"/>
      <c r="H228" s="37"/>
      <c r="I228" s="27"/>
      <c r="J228" s="27"/>
      <c r="K228" s="27"/>
      <c r="L228" s="27"/>
      <c r="M228" s="27"/>
      <c r="N228" s="27"/>
      <c r="O228" s="27"/>
      <c r="P228" s="27"/>
      <c r="Q228" s="27"/>
    </row>
    <row r="229">
      <c r="A229" s="27"/>
      <c r="B229" s="35"/>
      <c r="C229" s="36"/>
      <c r="D229" s="36"/>
      <c r="E229" s="37"/>
      <c r="F229" s="38"/>
      <c r="G229" s="34"/>
      <c r="H229" s="37"/>
      <c r="I229" s="27"/>
      <c r="J229" s="27"/>
      <c r="K229" s="27"/>
      <c r="L229" s="27"/>
      <c r="M229" s="27"/>
      <c r="N229" s="27"/>
      <c r="O229" s="27"/>
      <c r="P229" s="27"/>
      <c r="Q229" s="27"/>
    </row>
    <row r="230">
      <c r="A230" s="27"/>
      <c r="B230" s="35"/>
      <c r="C230" s="36"/>
      <c r="D230" s="36"/>
      <c r="E230" s="37"/>
      <c r="F230" s="38"/>
      <c r="G230" s="34"/>
      <c r="H230" s="37"/>
      <c r="I230" s="27"/>
      <c r="J230" s="27"/>
      <c r="K230" s="27"/>
      <c r="L230" s="27"/>
      <c r="M230" s="27"/>
      <c r="N230" s="27"/>
      <c r="O230" s="27"/>
      <c r="P230" s="27"/>
      <c r="Q230" s="27"/>
    </row>
    <row r="231">
      <c r="A231" s="27"/>
      <c r="B231" s="35"/>
      <c r="C231" s="36"/>
      <c r="D231" s="36"/>
      <c r="E231" s="37"/>
      <c r="F231" s="38"/>
      <c r="G231" s="34"/>
      <c r="H231" s="37"/>
      <c r="I231" s="27"/>
      <c r="J231" s="27"/>
      <c r="K231" s="27"/>
      <c r="L231" s="27"/>
      <c r="M231" s="27"/>
      <c r="N231" s="27"/>
      <c r="O231" s="27"/>
      <c r="P231" s="27"/>
      <c r="Q231" s="27"/>
    </row>
    <row r="232">
      <c r="A232" s="27"/>
      <c r="B232" s="35"/>
      <c r="C232" s="36"/>
      <c r="D232" s="36"/>
      <c r="E232" s="37"/>
      <c r="F232" s="38"/>
      <c r="G232" s="34"/>
      <c r="H232" s="37"/>
      <c r="I232" s="27"/>
      <c r="J232" s="27"/>
      <c r="K232" s="27"/>
      <c r="L232" s="27"/>
      <c r="M232" s="27"/>
      <c r="N232" s="27"/>
      <c r="O232" s="27"/>
      <c r="P232" s="27"/>
      <c r="Q232" s="27"/>
    </row>
    <row r="233">
      <c r="A233" s="27"/>
      <c r="B233" s="35"/>
      <c r="C233" s="36"/>
      <c r="D233" s="36"/>
      <c r="E233" s="37"/>
      <c r="F233" s="38"/>
      <c r="G233" s="34"/>
      <c r="H233" s="37"/>
      <c r="I233" s="27"/>
      <c r="J233" s="27"/>
      <c r="K233" s="27"/>
      <c r="L233" s="27"/>
      <c r="M233" s="27"/>
      <c r="N233" s="27"/>
      <c r="O233" s="27"/>
      <c r="P233" s="27"/>
      <c r="Q233" s="27"/>
    </row>
    <row r="234">
      <c r="A234" s="27"/>
      <c r="B234" s="35"/>
      <c r="C234" s="36"/>
      <c r="D234" s="36"/>
      <c r="E234" s="37"/>
      <c r="F234" s="38"/>
      <c r="G234" s="34"/>
      <c r="H234" s="37"/>
      <c r="I234" s="27"/>
      <c r="J234" s="27"/>
      <c r="K234" s="27"/>
      <c r="L234" s="27"/>
      <c r="M234" s="27"/>
      <c r="N234" s="27"/>
      <c r="O234" s="27"/>
      <c r="P234" s="27"/>
      <c r="Q234" s="27"/>
    </row>
    <row r="235">
      <c r="A235" s="27"/>
      <c r="B235" s="35"/>
      <c r="C235" s="36"/>
      <c r="D235" s="36"/>
      <c r="E235" s="37"/>
      <c r="F235" s="38"/>
      <c r="G235" s="34"/>
      <c r="H235" s="37"/>
      <c r="I235" s="27"/>
      <c r="J235" s="27"/>
      <c r="K235" s="27"/>
      <c r="L235" s="27"/>
      <c r="M235" s="27"/>
      <c r="N235" s="27"/>
      <c r="O235" s="27"/>
      <c r="P235" s="27"/>
      <c r="Q235" s="27"/>
    </row>
    <row r="236">
      <c r="A236" s="27"/>
      <c r="B236" s="35"/>
      <c r="C236" s="36"/>
      <c r="D236" s="36"/>
      <c r="E236" s="37"/>
      <c r="F236" s="38"/>
      <c r="G236" s="34"/>
      <c r="H236" s="37"/>
      <c r="I236" s="27"/>
      <c r="J236" s="27"/>
      <c r="K236" s="27"/>
      <c r="L236" s="27"/>
      <c r="M236" s="27"/>
      <c r="N236" s="27"/>
      <c r="O236" s="27"/>
      <c r="P236" s="27"/>
      <c r="Q236" s="27"/>
    </row>
    <row r="237">
      <c r="A237" s="27"/>
      <c r="B237" s="35"/>
      <c r="C237" s="36"/>
      <c r="D237" s="36"/>
      <c r="E237" s="37"/>
      <c r="F237" s="38"/>
      <c r="G237" s="34"/>
      <c r="H237" s="37"/>
      <c r="I237" s="27"/>
      <c r="J237" s="27"/>
      <c r="K237" s="27"/>
      <c r="L237" s="27"/>
      <c r="M237" s="27"/>
      <c r="N237" s="27"/>
      <c r="O237" s="27"/>
      <c r="P237" s="27"/>
      <c r="Q237" s="27"/>
    </row>
    <row r="238">
      <c r="A238" s="27"/>
      <c r="B238" s="35"/>
      <c r="C238" s="36"/>
      <c r="D238" s="36"/>
      <c r="E238" s="37"/>
      <c r="F238" s="38"/>
      <c r="G238" s="34"/>
      <c r="H238" s="37"/>
      <c r="I238" s="27"/>
      <c r="J238" s="27"/>
      <c r="K238" s="27"/>
      <c r="L238" s="27"/>
      <c r="M238" s="27"/>
      <c r="N238" s="27"/>
      <c r="O238" s="27"/>
      <c r="P238" s="27"/>
      <c r="Q238" s="27"/>
    </row>
    <row r="239">
      <c r="A239" s="27"/>
      <c r="B239" s="35"/>
      <c r="C239" s="36"/>
      <c r="D239" s="36"/>
      <c r="E239" s="37"/>
      <c r="F239" s="38"/>
      <c r="G239" s="34"/>
      <c r="H239" s="37"/>
      <c r="I239" s="27"/>
      <c r="J239" s="27"/>
      <c r="K239" s="27"/>
      <c r="L239" s="27"/>
      <c r="M239" s="27"/>
      <c r="N239" s="27"/>
      <c r="O239" s="27"/>
      <c r="P239" s="27"/>
      <c r="Q239" s="27"/>
    </row>
    <row r="240">
      <c r="A240" s="27"/>
      <c r="B240" s="35"/>
      <c r="C240" s="36"/>
      <c r="D240" s="36"/>
      <c r="E240" s="37"/>
      <c r="F240" s="38"/>
      <c r="G240" s="34"/>
      <c r="H240" s="37"/>
      <c r="I240" s="27"/>
      <c r="J240" s="27"/>
      <c r="K240" s="27"/>
      <c r="L240" s="27"/>
      <c r="M240" s="27"/>
      <c r="N240" s="27"/>
      <c r="O240" s="27"/>
      <c r="P240" s="27"/>
      <c r="Q240" s="27"/>
    </row>
    <row r="241">
      <c r="A241" s="27"/>
      <c r="B241" s="35"/>
      <c r="C241" s="36"/>
      <c r="D241" s="36"/>
      <c r="E241" s="37"/>
      <c r="F241" s="38"/>
      <c r="G241" s="34"/>
      <c r="H241" s="37"/>
      <c r="I241" s="27"/>
      <c r="J241" s="27"/>
      <c r="K241" s="27"/>
      <c r="L241" s="27"/>
      <c r="M241" s="27"/>
      <c r="N241" s="27"/>
      <c r="O241" s="27"/>
      <c r="P241" s="27"/>
      <c r="Q241" s="27"/>
    </row>
    <row r="242">
      <c r="A242" s="27"/>
      <c r="B242" s="35"/>
      <c r="C242" s="36"/>
      <c r="D242" s="36"/>
      <c r="E242" s="37"/>
      <c r="F242" s="38"/>
      <c r="G242" s="34"/>
      <c r="H242" s="37"/>
      <c r="I242" s="27"/>
      <c r="J242" s="27"/>
      <c r="K242" s="27"/>
      <c r="L242" s="27"/>
      <c r="M242" s="27"/>
      <c r="N242" s="27"/>
      <c r="O242" s="27"/>
      <c r="P242" s="27"/>
      <c r="Q242" s="27"/>
    </row>
    <row r="243">
      <c r="A243" s="27"/>
      <c r="B243" s="35"/>
      <c r="C243" s="36"/>
      <c r="D243" s="36"/>
      <c r="E243" s="37"/>
      <c r="F243" s="38"/>
      <c r="G243" s="34"/>
      <c r="H243" s="37"/>
      <c r="I243" s="27"/>
      <c r="J243" s="27"/>
      <c r="K243" s="27"/>
      <c r="L243" s="27"/>
      <c r="M243" s="27"/>
      <c r="N243" s="27"/>
      <c r="O243" s="27"/>
      <c r="P243" s="27"/>
      <c r="Q243" s="27"/>
    </row>
    <row r="244">
      <c r="A244" s="27"/>
      <c r="B244" s="35"/>
      <c r="C244" s="36"/>
      <c r="D244" s="36"/>
      <c r="E244" s="37"/>
      <c r="F244" s="38"/>
      <c r="G244" s="34"/>
      <c r="H244" s="37"/>
      <c r="I244" s="27"/>
      <c r="J244" s="27"/>
      <c r="K244" s="27"/>
      <c r="L244" s="27"/>
      <c r="M244" s="27"/>
      <c r="N244" s="27"/>
      <c r="O244" s="27"/>
      <c r="P244" s="27"/>
      <c r="Q244" s="27"/>
    </row>
    <row r="245">
      <c r="A245" s="27"/>
      <c r="B245" s="35"/>
      <c r="C245" s="36"/>
      <c r="D245" s="36"/>
      <c r="E245" s="37"/>
      <c r="F245" s="38"/>
      <c r="G245" s="34"/>
      <c r="H245" s="37"/>
      <c r="I245" s="27"/>
      <c r="J245" s="27"/>
      <c r="K245" s="27"/>
      <c r="L245" s="27"/>
      <c r="M245" s="27"/>
      <c r="N245" s="27"/>
      <c r="O245" s="27"/>
      <c r="P245" s="27"/>
      <c r="Q245" s="27"/>
    </row>
    <row r="246">
      <c r="A246" s="27"/>
      <c r="B246" s="35"/>
      <c r="C246" s="36"/>
      <c r="D246" s="36"/>
      <c r="E246" s="37"/>
      <c r="F246" s="38"/>
      <c r="G246" s="34"/>
      <c r="H246" s="37"/>
      <c r="I246" s="27"/>
      <c r="J246" s="27"/>
      <c r="K246" s="27"/>
      <c r="L246" s="27"/>
      <c r="M246" s="27"/>
      <c r="N246" s="27"/>
      <c r="O246" s="27"/>
      <c r="P246" s="27"/>
      <c r="Q246" s="27"/>
    </row>
    <row r="247">
      <c r="A247" s="27"/>
      <c r="B247" s="35"/>
      <c r="C247" s="36"/>
      <c r="D247" s="36"/>
      <c r="E247" s="37"/>
      <c r="F247" s="38"/>
      <c r="G247" s="34"/>
      <c r="H247" s="37"/>
      <c r="I247" s="27"/>
      <c r="J247" s="27"/>
      <c r="K247" s="27"/>
      <c r="L247" s="27"/>
      <c r="M247" s="27"/>
      <c r="N247" s="27"/>
      <c r="O247" s="27"/>
      <c r="P247" s="27"/>
      <c r="Q247" s="27"/>
    </row>
    <row r="248">
      <c r="A248" s="27"/>
      <c r="B248" s="35"/>
      <c r="C248" s="36"/>
      <c r="D248" s="36"/>
      <c r="E248" s="37"/>
      <c r="F248" s="38"/>
      <c r="G248" s="34"/>
      <c r="H248" s="37"/>
      <c r="I248" s="27"/>
      <c r="J248" s="27"/>
      <c r="K248" s="27"/>
      <c r="L248" s="27"/>
      <c r="M248" s="27"/>
      <c r="N248" s="27"/>
      <c r="O248" s="27"/>
      <c r="P248" s="27"/>
      <c r="Q248" s="27"/>
    </row>
    <row r="249">
      <c r="A249" s="27"/>
      <c r="B249" s="35"/>
      <c r="C249" s="36"/>
      <c r="D249" s="36"/>
      <c r="E249" s="37"/>
      <c r="F249" s="38"/>
      <c r="G249" s="34"/>
      <c r="H249" s="37"/>
      <c r="I249" s="27"/>
      <c r="J249" s="27"/>
      <c r="K249" s="27"/>
      <c r="L249" s="27"/>
      <c r="M249" s="27"/>
      <c r="N249" s="27"/>
      <c r="O249" s="27"/>
      <c r="P249" s="27"/>
      <c r="Q249" s="27"/>
    </row>
    <row r="250">
      <c r="A250" s="27"/>
      <c r="B250" s="35"/>
      <c r="C250" s="36"/>
      <c r="D250" s="36"/>
      <c r="E250" s="37"/>
      <c r="F250" s="38"/>
      <c r="G250" s="34"/>
      <c r="H250" s="37"/>
      <c r="I250" s="27"/>
      <c r="J250" s="27"/>
      <c r="K250" s="27"/>
      <c r="L250" s="27"/>
      <c r="M250" s="27"/>
      <c r="N250" s="27"/>
      <c r="O250" s="27"/>
      <c r="P250" s="27"/>
      <c r="Q250" s="27"/>
    </row>
    <row r="251">
      <c r="A251" s="27"/>
      <c r="B251" s="35"/>
      <c r="C251" s="36"/>
      <c r="D251" s="36"/>
      <c r="E251" s="37"/>
      <c r="F251" s="38"/>
      <c r="G251" s="34"/>
      <c r="H251" s="37"/>
      <c r="I251" s="27"/>
      <c r="J251" s="27"/>
      <c r="K251" s="27"/>
      <c r="L251" s="27"/>
      <c r="M251" s="27"/>
      <c r="N251" s="27"/>
      <c r="O251" s="27"/>
      <c r="P251" s="27"/>
      <c r="Q251" s="27"/>
    </row>
    <row r="252">
      <c r="A252" s="27"/>
      <c r="B252" s="35"/>
      <c r="C252" s="36"/>
      <c r="D252" s="36"/>
      <c r="E252" s="37"/>
      <c r="F252" s="38"/>
      <c r="G252" s="34"/>
      <c r="H252" s="37"/>
      <c r="I252" s="27"/>
      <c r="J252" s="27"/>
      <c r="K252" s="27"/>
      <c r="L252" s="27"/>
      <c r="M252" s="27"/>
      <c r="N252" s="27"/>
      <c r="O252" s="27"/>
      <c r="P252" s="27"/>
      <c r="Q252" s="27"/>
    </row>
    <row r="253">
      <c r="A253" s="27"/>
      <c r="B253" s="35"/>
      <c r="C253" s="36"/>
      <c r="D253" s="36"/>
      <c r="E253" s="37"/>
      <c r="F253" s="38"/>
      <c r="G253" s="34"/>
      <c r="H253" s="37"/>
      <c r="I253" s="27"/>
      <c r="J253" s="27"/>
      <c r="K253" s="27"/>
      <c r="L253" s="27"/>
      <c r="M253" s="27"/>
      <c r="N253" s="27"/>
      <c r="O253" s="27"/>
      <c r="P253" s="27"/>
      <c r="Q253" s="27"/>
    </row>
    <row r="254">
      <c r="A254" s="27"/>
      <c r="B254" s="35"/>
      <c r="C254" s="36"/>
      <c r="D254" s="36"/>
      <c r="E254" s="37"/>
      <c r="F254" s="38"/>
      <c r="G254" s="34"/>
      <c r="H254" s="37"/>
      <c r="I254" s="27"/>
      <c r="J254" s="27"/>
      <c r="K254" s="27"/>
      <c r="L254" s="27"/>
      <c r="M254" s="27"/>
      <c r="N254" s="27"/>
      <c r="O254" s="27"/>
      <c r="P254" s="27"/>
      <c r="Q254" s="27"/>
    </row>
    <row r="255">
      <c r="A255" s="27"/>
      <c r="B255" s="35"/>
      <c r="C255" s="36"/>
      <c r="D255" s="36"/>
      <c r="E255" s="37"/>
      <c r="F255" s="38"/>
      <c r="G255" s="34"/>
      <c r="H255" s="37"/>
      <c r="I255" s="27"/>
      <c r="J255" s="27"/>
      <c r="K255" s="27"/>
      <c r="L255" s="27"/>
      <c r="M255" s="27"/>
      <c r="N255" s="27"/>
      <c r="O255" s="27"/>
      <c r="P255" s="27"/>
      <c r="Q255" s="27"/>
    </row>
    <row r="256">
      <c r="A256" s="27"/>
      <c r="B256" s="35"/>
      <c r="C256" s="36"/>
      <c r="D256" s="36"/>
      <c r="E256" s="37"/>
      <c r="F256" s="38"/>
      <c r="G256" s="34"/>
      <c r="H256" s="37"/>
      <c r="I256" s="27"/>
      <c r="J256" s="27"/>
      <c r="K256" s="27"/>
      <c r="L256" s="27"/>
      <c r="M256" s="27"/>
      <c r="N256" s="27"/>
      <c r="O256" s="27"/>
      <c r="P256" s="27"/>
      <c r="Q256" s="27"/>
    </row>
    <row r="257">
      <c r="A257" s="27"/>
      <c r="B257" s="35"/>
      <c r="C257" s="36"/>
      <c r="D257" s="36"/>
      <c r="E257" s="37"/>
      <c r="F257" s="38"/>
      <c r="G257" s="34"/>
      <c r="H257" s="37"/>
      <c r="I257" s="27"/>
      <c r="J257" s="27"/>
      <c r="K257" s="27"/>
      <c r="L257" s="27"/>
      <c r="M257" s="27"/>
      <c r="N257" s="27"/>
      <c r="O257" s="27"/>
      <c r="P257" s="27"/>
      <c r="Q257" s="27"/>
    </row>
    <row r="258">
      <c r="A258" s="27"/>
      <c r="B258" s="35"/>
      <c r="C258" s="36"/>
      <c r="D258" s="36"/>
      <c r="E258" s="37"/>
      <c r="F258" s="38"/>
      <c r="G258" s="34"/>
      <c r="H258" s="37"/>
      <c r="I258" s="27"/>
      <c r="J258" s="27"/>
      <c r="K258" s="27"/>
      <c r="L258" s="27"/>
      <c r="M258" s="27"/>
      <c r="N258" s="27"/>
      <c r="O258" s="27"/>
      <c r="P258" s="27"/>
      <c r="Q258" s="27"/>
    </row>
    <row r="259">
      <c r="A259" s="27"/>
      <c r="B259" s="35"/>
      <c r="C259" s="36"/>
      <c r="D259" s="36"/>
      <c r="E259" s="37"/>
      <c r="F259" s="38"/>
      <c r="G259" s="34"/>
      <c r="H259" s="37"/>
      <c r="I259" s="27"/>
      <c r="J259" s="27"/>
      <c r="K259" s="27"/>
      <c r="L259" s="27"/>
      <c r="M259" s="27"/>
      <c r="N259" s="27"/>
      <c r="O259" s="27"/>
      <c r="P259" s="27"/>
      <c r="Q259" s="27"/>
    </row>
    <row r="260">
      <c r="A260" s="27"/>
      <c r="B260" s="35"/>
      <c r="C260" s="36"/>
      <c r="D260" s="36"/>
      <c r="E260" s="37"/>
      <c r="F260" s="38"/>
      <c r="G260" s="34"/>
      <c r="H260" s="37"/>
      <c r="I260" s="27"/>
      <c r="J260" s="27"/>
      <c r="K260" s="27"/>
      <c r="L260" s="27"/>
      <c r="M260" s="27"/>
      <c r="N260" s="27"/>
      <c r="O260" s="27"/>
      <c r="P260" s="27"/>
      <c r="Q260" s="27"/>
    </row>
    <row r="261">
      <c r="A261" s="27"/>
      <c r="B261" s="35"/>
      <c r="C261" s="36"/>
      <c r="D261" s="36"/>
      <c r="E261" s="37"/>
      <c r="F261" s="38"/>
      <c r="G261" s="34"/>
      <c r="H261" s="37"/>
      <c r="I261" s="27"/>
      <c r="J261" s="27"/>
      <c r="K261" s="27"/>
      <c r="L261" s="27"/>
      <c r="M261" s="27"/>
      <c r="N261" s="27"/>
      <c r="O261" s="27"/>
      <c r="P261" s="27"/>
      <c r="Q261" s="27"/>
    </row>
    <row r="262">
      <c r="A262" s="27"/>
      <c r="B262" s="35"/>
      <c r="C262" s="36"/>
      <c r="D262" s="36"/>
      <c r="E262" s="37"/>
      <c r="F262" s="38"/>
      <c r="G262" s="34"/>
      <c r="H262" s="37"/>
      <c r="I262" s="27"/>
      <c r="J262" s="27"/>
      <c r="K262" s="27"/>
      <c r="L262" s="27"/>
      <c r="M262" s="27"/>
      <c r="N262" s="27"/>
      <c r="O262" s="27"/>
      <c r="P262" s="27"/>
      <c r="Q262" s="27"/>
    </row>
    <row r="263">
      <c r="A263" s="27"/>
      <c r="B263" s="35"/>
      <c r="C263" s="36"/>
      <c r="D263" s="36"/>
      <c r="E263" s="37"/>
      <c r="F263" s="38"/>
      <c r="G263" s="34"/>
      <c r="H263" s="37"/>
      <c r="I263" s="27"/>
      <c r="J263" s="27"/>
      <c r="K263" s="27"/>
      <c r="L263" s="27"/>
      <c r="M263" s="27"/>
      <c r="N263" s="27"/>
      <c r="O263" s="27"/>
      <c r="P263" s="27"/>
      <c r="Q263" s="27"/>
    </row>
    <row r="264">
      <c r="A264" s="27"/>
      <c r="B264" s="35"/>
      <c r="C264" s="36"/>
      <c r="D264" s="36"/>
      <c r="E264" s="37"/>
      <c r="F264" s="38"/>
      <c r="G264" s="34"/>
      <c r="H264" s="37"/>
      <c r="I264" s="27"/>
      <c r="J264" s="27"/>
      <c r="K264" s="27"/>
      <c r="L264" s="27"/>
      <c r="M264" s="27"/>
      <c r="N264" s="27"/>
      <c r="O264" s="27"/>
      <c r="P264" s="27"/>
      <c r="Q264" s="27"/>
    </row>
    <row r="265">
      <c r="A265" s="27"/>
      <c r="B265" s="35"/>
      <c r="C265" s="36"/>
      <c r="D265" s="36"/>
      <c r="E265" s="37"/>
      <c r="F265" s="38"/>
      <c r="G265" s="34"/>
      <c r="H265" s="37"/>
      <c r="I265" s="27"/>
      <c r="J265" s="27"/>
      <c r="K265" s="27"/>
      <c r="L265" s="27"/>
      <c r="M265" s="27"/>
      <c r="N265" s="27"/>
      <c r="O265" s="27"/>
      <c r="P265" s="27"/>
      <c r="Q265" s="27"/>
    </row>
    <row r="266">
      <c r="A266" s="27"/>
      <c r="B266" s="35"/>
      <c r="C266" s="36"/>
      <c r="D266" s="36"/>
      <c r="E266" s="37"/>
      <c r="F266" s="38"/>
      <c r="G266" s="34"/>
      <c r="H266" s="37"/>
      <c r="I266" s="27"/>
      <c r="J266" s="27"/>
      <c r="K266" s="27"/>
      <c r="L266" s="27"/>
      <c r="M266" s="27"/>
      <c r="N266" s="27"/>
      <c r="O266" s="27"/>
      <c r="P266" s="27"/>
      <c r="Q266" s="27"/>
    </row>
    <row r="267">
      <c r="A267" s="27"/>
      <c r="B267" s="35"/>
      <c r="C267" s="36"/>
      <c r="D267" s="36"/>
      <c r="E267" s="37"/>
      <c r="F267" s="38"/>
      <c r="G267" s="34"/>
      <c r="H267" s="37"/>
      <c r="I267" s="27"/>
      <c r="J267" s="27"/>
      <c r="K267" s="27"/>
      <c r="L267" s="27"/>
      <c r="M267" s="27"/>
      <c r="N267" s="27"/>
      <c r="O267" s="27"/>
      <c r="P267" s="27"/>
      <c r="Q267" s="27"/>
    </row>
    <row r="268">
      <c r="A268" s="27"/>
      <c r="B268" s="35"/>
      <c r="C268" s="36"/>
      <c r="D268" s="36"/>
      <c r="E268" s="37"/>
      <c r="F268" s="38"/>
      <c r="G268" s="34"/>
      <c r="H268" s="37"/>
      <c r="I268" s="27"/>
      <c r="J268" s="27"/>
      <c r="K268" s="27"/>
      <c r="L268" s="27"/>
      <c r="M268" s="27"/>
      <c r="N268" s="27"/>
      <c r="O268" s="27"/>
      <c r="P268" s="27"/>
      <c r="Q268" s="27"/>
    </row>
    <row r="269">
      <c r="A269" s="27"/>
      <c r="B269" s="35"/>
      <c r="C269" s="36"/>
      <c r="D269" s="36"/>
      <c r="E269" s="37"/>
      <c r="F269" s="38"/>
      <c r="G269" s="34"/>
      <c r="H269" s="37"/>
      <c r="I269" s="27"/>
      <c r="J269" s="27"/>
      <c r="K269" s="27"/>
      <c r="L269" s="27"/>
      <c r="M269" s="27"/>
      <c r="N269" s="27"/>
      <c r="O269" s="27"/>
      <c r="P269" s="27"/>
      <c r="Q269" s="27"/>
    </row>
    <row r="270">
      <c r="A270" s="27"/>
      <c r="B270" s="35"/>
      <c r="C270" s="36"/>
      <c r="D270" s="36"/>
      <c r="E270" s="37"/>
      <c r="F270" s="38"/>
      <c r="G270" s="34"/>
      <c r="H270" s="37"/>
      <c r="I270" s="27"/>
      <c r="J270" s="27"/>
      <c r="K270" s="27"/>
      <c r="L270" s="27"/>
      <c r="M270" s="27"/>
      <c r="N270" s="27"/>
      <c r="O270" s="27"/>
      <c r="P270" s="27"/>
      <c r="Q270" s="27"/>
    </row>
    <row r="271">
      <c r="A271" s="27"/>
      <c r="B271" s="35"/>
      <c r="C271" s="36"/>
      <c r="D271" s="36"/>
      <c r="E271" s="37"/>
      <c r="F271" s="38"/>
      <c r="G271" s="34"/>
      <c r="H271" s="37"/>
      <c r="I271" s="27"/>
      <c r="J271" s="27"/>
      <c r="K271" s="27"/>
      <c r="L271" s="27"/>
      <c r="M271" s="27"/>
      <c r="N271" s="27"/>
      <c r="O271" s="27"/>
      <c r="P271" s="27"/>
      <c r="Q271" s="27"/>
    </row>
    <row r="272">
      <c r="A272" s="27"/>
      <c r="B272" s="35"/>
      <c r="C272" s="36"/>
      <c r="D272" s="36"/>
      <c r="E272" s="37"/>
      <c r="F272" s="38"/>
      <c r="G272" s="34"/>
      <c r="H272" s="37"/>
      <c r="I272" s="27"/>
      <c r="J272" s="27"/>
      <c r="K272" s="27"/>
      <c r="L272" s="27"/>
      <c r="M272" s="27"/>
      <c r="N272" s="27"/>
      <c r="O272" s="27"/>
      <c r="P272" s="27"/>
      <c r="Q272" s="27"/>
    </row>
    <row r="273">
      <c r="A273" s="27"/>
      <c r="B273" s="35"/>
      <c r="C273" s="36"/>
      <c r="D273" s="36"/>
      <c r="E273" s="37"/>
      <c r="F273" s="38"/>
      <c r="G273" s="34"/>
      <c r="H273" s="37"/>
      <c r="I273" s="27"/>
      <c r="J273" s="27"/>
      <c r="K273" s="27"/>
      <c r="L273" s="27"/>
      <c r="M273" s="27"/>
      <c r="N273" s="27"/>
      <c r="O273" s="27"/>
      <c r="P273" s="27"/>
      <c r="Q273" s="27"/>
    </row>
    <row r="274">
      <c r="A274" s="27"/>
      <c r="B274" s="35"/>
      <c r="C274" s="36"/>
      <c r="D274" s="36"/>
      <c r="E274" s="37"/>
      <c r="F274" s="38"/>
      <c r="G274" s="34"/>
      <c r="H274" s="37"/>
      <c r="I274" s="27"/>
      <c r="J274" s="27"/>
      <c r="K274" s="27"/>
      <c r="L274" s="27"/>
      <c r="M274" s="27"/>
      <c r="N274" s="27"/>
      <c r="O274" s="27"/>
      <c r="P274" s="27"/>
      <c r="Q274" s="27"/>
    </row>
    <row r="275">
      <c r="A275" s="27"/>
      <c r="B275" s="35"/>
      <c r="C275" s="36"/>
      <c r="D275" s="36"/>
      <c r="E275" s="37"/>
      <c r="F275" s="38"/>
      <c r="G275" s="34"/>
      <c r="H275" s="37"/>
      <c r="I275" s="27"/>
      <c r="J275" s="27"/>
      <c r="K275" s="27"/>
      <c r="L275" s="27"/>
      <c r="M275" s="27"/>
      <c r="N275" s="27"/>
      <c r="O275" s="27"/>
      <c r="P275" s="27"/>
      <c r="Q275" s="27"/>
    </row>
    <row r="276">
      <c r="A276" s="27"/>
      <c r="B276" s="35"/>
      <c r="C276" s="36"/>
      <c r="D276" s="36"/>
      <c r="E276" s="37"/>
      <c r="F276" s="38"/>
      <c r="G276" s="34"/>
      <c r="H276" s="37"/>
      <c r="I276" s="27"/>
      <c r="J276" s="27"/>
      <c r="K276" s="27"/>
      <c r="L276" s="27"/>
      <c r="M276" s="27"/>
      <c r="N276" s="27"/>
      <c r="O276" s="27"/>
      <c r="P276" s="27"/>
      <c r="Q276" s="27"/>
    </row>
    <row r="277">
      <c r="A277" s="27"/>
      <c r="B277" s="35"/>
      <c r="C277" s="36"/>
      <c r="D277" s="36"/>
      <c r="E277" s="37"/>
      <c r="F277" s="38"/>
      <c r="G277" s="34"/>
      <c r="H277" s="37"/>
      <c r="I277" s="27"/>
      <c r="J277" s="27"/>
      <c r="K277" s="27"/>
      <c r="L277" s="27"/>
      <c r="M277" s="27"/>
      <c r="N277" s="27"/>
      <c r="O277" s="27"/>
      <c r="P277" s="27"/>
      <c r="Q277" s="27"/>
    </row>
    <row r="278">
      <c r="A278" s="27"/>
      <c r="B278" s="35"/>
      <c r="C278" s="36"/>
      <c r="D278" s="36"/>
      <c r="E278" s="37"/>
      <c r="F278" s="38"/>
      <c r="G278" s="34"/>
      <c r="H278" s="37"/>
      <c r="I278" s="27"/>
      <c r="J278" s="27"/>
      <c r="K278" s="27"/>
      <c r="L278" s="27"/>
      <c r="M278" s="27"/>
      <c r="N278" s="27"/>
      <c r="O278" s="27"/>
      <c r="P278" s="27"/>
      <c r="Q278" s="27"/>
    </row>
    <row r="279">
      <c r="A279" s="27"/>
      <c r="B279" s="35"/>
      <c r="C279" s="36"/>
      <c r="D279" s="36"/>
      <c r="E279" s="37"/>
      <c r="F279" s="38"/>
      <c r="G279" s="34"/>
      <c r="H279" s="37"/>
      <c r="I279" s="27"/>
      <c r="J279" s="27"/>
      <c r="K279" s="27"/>
      <c r="L279" s="27"/>
      <c r="M279" s="27"/>
      <c r="N279" s="27"/>
      <c r="O279" s="27"/>
      <c r="P279" s="27"/>
      <c r="Q279" s="27"/>
    </row>
    <row r="280">
      <c r="A280" s="27"/>
      <c r="B280" s="35"/>
      <c r="C280" s="36"/>
      <c r="D280" s="36"/>
      <c r="E280" s="37"/>
      <c r="F280" s="38"/>
      <c r="G280" s="34"/>
      <c r="H280" s="37"/>
      <c r="I280" s="27"/>
      <c r="J280" s="27"/>
      <c r="K280" s="27"/>
      <c r="L280" s="27"/>
      <c r="M280" s="27"/>
      <c r="N280" s="27"/>
      <c r="O280" s="27"/>
      <c r="P280" s="27"/>
      <c r="Q280" s="27"/>
    </row>
    <row r="281">
      <c r="A281" s="27"/>
      <c r="B281" s="35"/>
      <c r="C281" s="36"/>
      <c r="D281" s="36"/>
      <c r="E281" s="37"/>
      <c r="F281" s="38"/>
      <c r="G281" s="34"/>
      <c r="H281" s="37"/>
      <c r="I281" s="27"/>
      <c r="J281" s="27"/>
      <c r="K281" s="27"/>
      <c r="L281" s="27"/>
      <c r="M281" s="27"/>
      <c r="N281" s="27"/>
      <c r="O281" s="27"/>
      <c r="P281" s="27"/>
      <c r="Q281" s="27"/>
    </row>
    <row r="282">
      <c r="A282" s="27"/>
      <c r="B282" s="35"/>
      <c r="C282" s="36"/>
      <c r="D282" s="36"/>
      <c r="E282" s="37"/>
      <c r="F282" s="38"/>
      <c r="G282" s="34"/>
      <c r="H282" s="37"/>
      <c r="I282" s="27"/>
      <c r="J282" s="27"/>
      <c r="K282" s="27"/>
      <c r="L282" s="27"/>
      <c r="M282" s="27"/>
      <c r="N282" s="27"/>
      <c r="O282" s="27"/>
      <c r="P282" s="27"/>
      <c r="Q282" s="27"/>
    </row>
    <row r="283">
      <c r="A283" s="27"/>
      <c r="B283" s="35"/>
      <c r="C283" s="36"/>
      <c r="D283" s="36"/>
      <c r="E283" s="37"/>
      <c r="F283" s="38"/>
      <c r="G283" s="34"/>
      <c r="H283" s="37"/>
      <c r="I283" s="27"/>
      <c r="J283" s="27"/>
      <c r="K283" s="27"/>
      <c r="L283" s="27"/>
      <c r="M283" s="27"/>
      <c r="N283" s="27"/>
      <c r="O283" s="27"/>
      <c r="P283" s="27"/>
      <c r="Q283" s="27"/>
    </row>
    <row r="284">
      <c r="A284" s="27"/>
      <c r="B284" s="35"/>
      <c r="C284" s="36"/>
      <c r="D284" s="36"/>
      <c r="E284" s="37"/>
      <c r="F284" s="38"/>
      <c r="G284" s="34"/>
      <c r="H284" s="37"/>
      <c r="I284" s="27"/>
      <c r="J284" s="27"/>
      <c r="K284" s="27"/>
      <c r="L284" s="27"/>
      <c r="M284" s="27"/>
      <c r="N284" s="27"/>
      <c r="O284" s="27"/>
      <c r="P284" s="27"/>
      <c r="Q284" s="27"/>
    </row>
    <row r="285">
      <c r="A285" s="27"/>
      <c r="B285" s="35"/>
      <c r="C285" s="36"/>
      <c r="D285" s="36"/>
      <c r="E285" s="37"/>
      <c r="F285" s="38"/>
      <c r="G285" s="34"/>
      <c r="H285" s="37"/>
      <c r="I285" s="27"/>
      <c r="J285" s="27"/>
      <c r="K285" s="27"/>
      <c r="L285" s="27"/>
      <c r="M285" s="27"/>
      <c r="N285" s="27"/>
      <c r="O285" s="27"/>
      <c r="P285" s="27"/>
      <c r="Q285" s="27"/>
    </row>
    <row r="286">
      <c r="A286" s="27"/>
      <c r="B286" s="35"/>
      <c r="C286" s="36"/>
      <c r="D286" s="36"/>
      <c r="E286" s="37"/>
      <c r="F286" s="38"/>
      <c r="G286" s="34"/>
      <c r="H286" s="37"/>
      <c r="I286" s="27"/>
      <c r="J286" s="27"/>
      <c r="K286" s="27"/>
      <c r="L286" s="27"/>
      <c r="M286" s="27"/>
      <c r="N286" s="27"/>
      <c r="O286" s="27"/>
      <c r="P286" s="27"/>
      <c r="Q286" s="27"/>
    </row>
    <row r="287">
      <c r="A287" s="27"/>
      <c r="B287" s="35"/>
      <c r="C287" s="36"/>
      <c r="D287" s="36"/>
      <c r="E287" s="37"/>
      <c r="F287" s="38"/>
      <c r="G287" s="34"/>
      <c r="H287" s="37"/>
      <c r="I287" s="27"/>
      <c r="J287" s="27"/>
      <c r="K287" s="27"/>
      <c r="L287" s="27"/>
      <c r="M287" s="27"/>
      <c r="N287" s="27"/>
      <c r="O287" s="27"/>
      <c r="P287" s="27"/>
      <c r="Q287" s="27"/>
    </row>
    <row r="288">
      <c r="A288" s="27"/>
      <c r="B288" s="35"/>
      <c r="C288" s="36"/>
      <c r="D288" s="36"/>
      <c r="E288" s="37"/>
      <c r="F288" s="38"/>
      <c r="G288" s="34"/>
      <c r="H288" s="37"/>
      <c r="I288" s="27"/>
      <c r="J288" s="27"/>
      <c r="K288" s="27"/>
      <c r="L288" s="27"/>
      <c r="M288" s="27"/>
      <c r="N288" s="27"/>
      <c r="O288" s="27"/>
      <c r="P288" s="27"/>
      <c r="Q288" s="27"/>
    </row>
    <row r="289">
      <c r="A289" s="27"/>
      <c r="B289" s="35"/>
      <c r="C289" s="36"/>
      <c r="D289" s="36"/>
      <c r="E289" s="37"/>
      <c r="F289" s="38"/>
      <c r="G289" s="34"/>
      <c r="H289" s="37"/>
      <c r="I289" s="27"/>
      <c r="J289" s="27"/>
      <c r="K289" s="27"/>
      <c r="L289" s="27"/>
      <c r="M289" s="27"/>
      <c r="N289" s="27"/>
      <c r="O289" s="27"/>
      <c r="P289" s="27"/>
      <c r="Q289" s="27"/>
    </row>
    <row r="290">
      <c r="A290" s="27"/>
      <c r="B290" s="35"/>
      <c r="C290" s="36"/>
      <c r="D290" s="36"/>
      <c r="E290" s="37"/>
      <c r="F290" s="38"/>
      <c r="G290" s="34"/>
      <c r="H290" s="37"/>
      <c r="I290" s="27"/>
      <c r="J290" s="27"/>
      <c r="K290" s="27"/>
      <c r="L290" s="27"/>
      <c r="M290" s="27"/>
      <c r="N290" s="27"/>
      <c r="O290" s="27"/>
      <c r="P290" s="27"/>
      <c r="Q290" s="27"/>
    </row>
    <row r="291">
      <c r="A291" s="27"/>
      <c r="B291" s="35"/>
      <c r="C291" s="36"/>
      <c r="D291" s="36"/>
      <c r="E291" s="37"/>
      <c r="F291" s="38"/>
      <c r="G291" s="34"/>
      <c r="H291" s="37"/>
      <c r="I291" s="27"/>
      <c r="J291" s="27"/>
      <c r="K291" s="27"/>
      <c r="L291" s="27"/>
      <c r="M291" s="27"/>
      <c r="N291" s="27"/>
      <c r="O291" s="27"/>
      <c r="P291" s="27"/>
      <c r="Q291" s="27"/>
    </row>
    <row r="292">
      <c r="A292" s="27"/>
      <c r="B292" s="35"/>
      <c r="C292" s="36"/>
      <c r="D292" s="36"/>
      <c r="E292" s="37"/>
      <c r="F292" s="38"/>
      <c r="G292" s="34"/>
      <c r="H292" s="37"/>
      <c r="I292" s="27"/>
      <c r="J292" s="27"/>
      <c r="K292" s="27"/>
      <c r="L292" s="27"/>
      <c r="M292" s="27"/>
      <c r="N292" s="27"/>
      <c r="O292" s="27"/>
      <c r="P292" s="27"/>
      <c r="Q292" s="27"/>
    </row>
    <row r="293">
      <c r="A293" s="27"/>
      <c r="B293" s="35"/>
      <c r="C293" s="36"/>
      <c r="D293" s="36"/>
      <c r="E293" s="37"/>
      <c r="F293" s="38"/>
      <c r="G293" s="34"/>
      <c r="H293" s="37"/>
      <c r="I293" s="27"/>
      <c r="J293" s="27"/>
      <c r="K293" s="27"/>
      <c r="L293" s="27"/>
      <c r="M293" s="27"/>
      <c r="N293" s="27"/>
      <c r="O293" s="27"/>
      <c r="P293" s="27"/>
      <c r="Q293" s="27"/>
    </row>
    <row r="294">
      <c r="A294" s="27"/>
      <c r="B294" s="35"/>
      <c r="C294" s="36"/>
      <c r="D294" s="36"/>
      <c r="E294" s="37"/>
      <c r="F294" s="38"/>
      <c r="G294" s="34"/>
      <c r="H294" s="37"/>
      <c r="I294" s="27"/>
      <c r="J294" s="27"/>
      <c r="K294" s="27"/>
      <c r="L294" s="27"/>
      <c r="M294" s="27"/>
      <c r="N294" s="27"/>
      <c r="O294" s="27"/>
      <c r="P294" s="27"/>
      <c r="Q294" s="27"/>
    </row>
    <row r="295">
      <c r="A295" s="27"/>
      <c r="B295" s="35"/>
      <c r="C295" s="36"/>
      <c r="D295" s="36"/>
      <c r="E295" s="37"/>
      <c r="F295" s="38"/>
      <c r="G295" s="34"/>
      <c r="H295" s="37"/>
      <c r="I295" s="27"/>
      <c r="J295" s="27"/>
      <c r="K295" s="27"/>
      <c r="L295" s="27"/>
      <c r="M295" s="27"/>
      <c r="N295" s="27"/>
      <c r="O295" s="27"/>
      <c r="P295" s="27"/>
      <c r="Q295" s="27"/>
    </row>
    <row r="296">
      <c r="A296" s="27"/>
      <c r="B296" s="35"/>
      <c r="C296" s="36"/>
      <c r="D296" s="36"/>
      <c r="E296" s="37"/>
      <c r="F296" s="38"/>
      <c r="G296" s="34"/>
      <c r="H296" s="37"/>
      <c r="I296" s="27"/>
      <c r="J296" s="27"/>
      <c r="K296" s="27"/>
      <c r="L296" s="27"/>
      <c r="M296" s="27"/>
      <c r="N296" s="27"/>
      <c r="O296" s="27"/>
      <c r="P296" s="27"/>
      <c r="Q296" s="27"/>
    </row>
    <row r="297">
      <c r="A297" s="27"/>
      <c r="B297" s="35"/>
      <c r="C297" s="36"/>
      <c r="D297" s="36"/>
      <c r="E297" s="37"/>
      <c r="F297" s="38"/>
      <c r="G297" s="34"/>
      <c r="H297" s="37"/>
      <c r="I297" s="27"/>
      <c r="J297" s="27"/>
      <c r="K297" s="27"/>
      <c r="L297" s="27"/>
      <c r="M297" s="27"/>
      <c r="N297" s="27"/>
      <c r="O297" s="27"/>
      <c r="P297" s="27"/>
      <c r="Q297" s="27"/>
    </row>
    <row r="298">
      <c r="A298" s="27"/>
      <c r="B298" s="35"/>
      <c r="C298" s="36"/>
      <c r="D298" s="36"/>
      <c r="E298" s="37"/>
      <c r="F298" s="38"/>
      <c r="G298" s="34"/>
      <c r="H298" s="37"/>
      <c r="I298" s="27"/>
      <c r="J298" s="27"/>
      <c r="K298" s="27"/>
      <c r="L298" s="27"/>
      <c r="M298" s="27"/>
      <c r="N298" s="27"/>
      <c r="O298" s="27"/>
      <c r="P298" s="27"/>
      <c r="Q298" s="27"/>
    </row>
    <row r="299">
      <c r="A299" s="27"/>
      <c r="B299" s="35"/>
      <c r="C299" s="36"/>
      <c r="D299" s="36"/>
      <c r="E299" s="37"/>
      <c r="F299" s="38"/>
      <c r="G299" s="34"/>
      <c r="H299" s="37"/>
      <c r="I299" s="27"/>
      <c r="J299" s="27"/>
      <c r="K299" s="27"/>
      <c r="L299" s="27"/>
      <c r="M299" s="27"/>
      <c r="N299" s="27"/>
      <c r="O299" s="27"/>
      <c r="P299" s="27"/>
      <c r="Q299" s="27"/>
    </row>
    <row r="300">
      <c r="A300" s="27"/>
      <c r="B300" s="35"/>
      <c r="C300" s="36"/>
      <c r="D300" s="36"/>
      <c r="E300" s="37"/>
      <c r="F300" s="38"/>
      <c r="G300" s="34"/>
      <c r="H300" s="37"/>
      <c r="I300" s="27"/>
      <c r="J300" s="27"/>
      <c r="K300" s="27"/>
      <c r="L300" s="27"/>
      <c r="M300" s="27"/>
      <c r="N300" s="27"/>
      <c r="O300" s="27"/>
      <c r="P300" s="27"/>
      <c r="Q300" s="27"/>
    </row>
    <row r="301">
      <c r="A301" s="27"/>
      <c r="B301" s="35"/>
      <c r="C301" s="36"/>
      <c r="D301" s="36"/>
      <c r="E301" s="37"/>
      <c r="F301" s="38"/>
      <c r="G301" s="34"/>
      <c r="H301" s="37"/>
      <c r="I301" s="27"/>
      <c r="J301" s="27"/>
      <c r="K301" s="27"/>
      <c r="L301" s="27"/>
      <c r="M301" s="27"/>
      <c r="N301" s="27"/>
      <c r="O301" s="27"/>
      <c r="P301" s="27"/>
      <c r="Q301" s="27"/>
    </row>
    <row r="302">
      <c r="A302" s="27"/>
      <c r="B302" s="35"/>
      <c r="C302" s="36"/>
      <c r="D302" s="36"/>
      <c r="E302" s="37"/>
      <c r="F302" s="38"/>
      <c r="G302" s="34"/>
      <c r="H302" s="37"/>
      <c r="I302" s="27"/>
      <c r="J302" s="27"/>
      <c r="K302" s="27"/>
      <c r="L302" s="27"/>
      <c r="M302" s="27"/>
      <c r="N302" s="27"/>
      <c r="O302" s="27"/>
      <c r="P302" s="27"/>
      <c r="Q302" s="27"/>
    </row>
    <row r="303">
      <c r="A303" s="27"/>
      <c r="B303" s="35"/>
      <c r="C303" s="36"/>
      <c r="D303" s="36"/>
      <c r="E303" s="37"/>
      <c r="F303" s="38"/>
      <c r="G303" s="34"/>
      <c r="H303" s="37"/>
      <c r="I303" s="27"/>
      <c r="J303" s="27"/>
      <c r="K303" s="27"/>
      <c r="L303" s="27"/>
      <c r="M303" s="27"/>
      <c r="N303" s="27"/>
      <c r="O303" s="27"/>
      <c r="P303" s="27"/>
      <c r="Q303" s="27"/>
    </row>
    <row r="304">
      <c r="A304" s="27"/>
      <c r="B304" s="35"/>
      <c r="C304" s="36"/>
      <c r="D304" s="36"/>
      <c r="E304" s="37"/>
      <c r="F304" s="38"/>
      <c r="G304" s="34"/>
      <c r="H304" s="37"/>
      <c r="I304" s="27"/>
      <c r="J304" s="27"/>
      <c r="K304" s="27"/>
      <c r="L304" s="27"/>
      <c r="M304" s="27"/>
      <c r="N304" s="27"/>
      <c r="O304" s="27"/>
      <c r="P304" s="27"/>
      <c r="Q304" s="27"/>
    </row>
    <row r="305">
      <c r="A305" s="27"/>
      <c r="B305" s="35"/>
      <c r="C305" s="36"/>
      <c r="D305" s="36"/>
      <c r="E305" s="37"/>
      <c r="F305" s="38"/>
      <c r="G305" s="34"/>
      <c r="H305" s="37"/>
      <c r="I305" s="27"/>
      <c r="J305" s="27"/>
      <c r="K305" s="27"/>
      <c r="L305" s="27"/>
      <c r="M305" s="27"/>
      <c r="N305" s="27"/>
      <c r="O305" s="27"/>
      <c r="P305" s="27"/>
      <c r="Q305" s="27"/>
    </row>
    <row r="306">
      <c r="A306" s="27"/>
      <c r="B306" s="35"/>
      <c r="C306" s="36"/>
      <c r="D306" s="36"/>
      <c r="E306" s="37"/>
      <c r="F306" s="38"/>
      <c r="G306" s="34"/>
      <c r="H306" s="37"/>
      <c r="I306" s="27"/>
      <c r="J306" s="27"/>
      <c r="K306" s="27"/>
      <c r="L306" s="27"/>
      <c r="M306" s="27"/>
      <c r="N306" s="27"/>
      <c r="O306" s="27"/>
      <c r="P306" s="27"/>
      <c r="Q306" s="27"/>
    </row>
    <row r="307">
      <c r="A307" s="27"/>
      <c r="B307" s="35"/>
      <c r="C307" s="36"/>
      <c r="D307" s="36"/>
      <c r="E307" s="37"/>
      <c r="F307" s="38"/>
      <c r="G307" s="34"/>
      <c r="H307" s="37"/>
      <c r="I307" s="27"/>
      <c r="J307" s="27"/>
      <c r="K307" s="27"/>
      <c r="L307" s="27"/>
      <c r="M307" s="27"/>
      <c r="N307" s="27"/>
      <c r="O307" s="27"/>
      <c r="P307" s="27"/>
      <c r="Q307" s="27"/>
    </row>
    <row r="308">
      <c r="A308" s="27"/>
      <c r="B308" s="35"/>
      <c r="C308" s="36"/>
      <c r="D308" s="36"/>
      <c r="E308" s="37"/>
      <c r="F308" s="38"/>
      <c r="G308" s="34"/>
      <c r="H308" s="37"/>
      <c r="I308" s="27"/>
      <c r="J308" s="27"/>
      <c r="K308" s="27"/>
      <c r="L308" s="27"/>
      <c r="M308" s="27"/>
      <c r="N308" s="27"/>
      <c r="O308" s="27"/>
      <c r="P308" s="27"/>
      <c r="Q308" s="27"/>
    </row>
    <row r="309">
      <c r="A309" s="27"/>
      <c r="B309" s="35"/>
      <c r="C309" s="36"/>
      <c r="D309" s="36"/>
      <c r="E309" s="37"/>
      <c r="F309" s="38"/>
      <c r="G309" s="34"/>
      <c r="H309" s="37"/>
      <c r="I309" s="27"/>
      <c r="J309" s="27"/>
      <c r="K309" s="27"/>
      <c r="L309" s="27"/>
      <c r="M309" s="27"/>
      <c r="N309" s="27"/>
      <c r="O309" s="27"/>
      <c r="P309" s="27"/>
      <c r="Q309" s="27"/>
    </row>
    <row r="310">
      <c r="A310" s="27"/>
      <c r="B310" s="35"/>
      <c r="C310" s="36"/>
      <c r="D310" s="36"/>
      <c r="E310" s="37"/>
      <c r="F310" s="38"/>
      <c r="G310" s="34"/>
      <c r="H310" s="37"/>
      <c r="I310" s="27"/>
      <c r="J310" s="27"/>
      <c r="K310" s="27"/>
      <c r="L310" s="27"/>
      <c r="M310" s="27"/>
      <c r="N310" s="27"/>
      <c r="O310" s="27"/>
      <c r="P310" s="27"/>
      <c r="Q310" s="27"/>
    </row>
    <row r="311">
      <c r="A311" s="27"/>
      <c r="B311" s="35"/>
      <c r="C311" s="36"/>
      <c r="D311" s="36"/>
      <c r="E311" s="37"/>
      <c r="F311" s="38"/>
      <c r="G311" s="34"/>
      <c r="H311" s="37"/>
      <c r="I311" s="27"/>
      <c r="J311" s="27"/>
      <c r="K311" s="27"/>
      <c r="L311" s="27"/>
      <c r="M311" s="27"/>
      <c r="N311" s="27"/>
      <c r="O311" s="27"/>
      <c r="P311" s="27"/>
      <c r="Q311" s="27"/>
    </row>
    <row r="312">
      <c r="A312" s="27"/>
      <c r="B312" s="35"/>
      <c r="C312" s="36"/>
      <c r="D312" s="36"/>
      <c r="E312" s="37"/>
      <c r="F312" s="38"/>
      <c r="G312" s="34"/>
      <c r="H312" s="37"/>
      <c r="I312" s="27"/>
      <c r="J312" s="27"/>
      <c r="K312" s="27"/>
      <c r="L312" s="27"/>
      <c r="M312" s="27"/>
      <c r="N312" s="27"/>
      <c r="O312" s="27"/>
      <c r="P312" s="27"/>
      <c r="Q312" s="27"/>
    </row>
    <row r="313">
      <c r="A313" s="27"/>
      <c r="B313" s="35"/>
      <c r="C313" s="36"/>
      <c r="D313" s="36"/>
      <c r="E313" s="37"/>
      <c r="F313" s="38"/>
      <c r="G313" s="34"/>
      <c r="H313" s="37"/>
      <c r="I313" s="27"/>
      <c r="J313" s="27"/>
      <c r="K313" s="27"/>
      <c r="L313" s="27"/>
      <c r="M313" s="27"/>
      <c r="N313" s="27"/>
      <c r="O313" s="27"/>
      <c r="P313" s="27"/>
      <c r="Q313" s="27"/>
    </row>
    <row r="314">
      <c r="A314" s="27"/>
      <c r="B314" s="35"/>
      <c r="C314" s="36"/>
      <c r="D314" s="36"/>
      <c r="E314" s="37"/>
      <c r="F314" s="38"/>
      <c r="G314" s="34"/>
      <c r="H314" s="37"/>
      <c r="I314" s="27"/>
      <c r="J314" s="27"/>
      <c r="K314" s="27"/>
      <c r="L314" s="27"/>
      <c r="M314" s="27"/>
      <c r="N314" s="27"/>
      <c r="O314" s="27"/>
      <c r="P314" s="27"/>
      <c r="Q314" s="27"/>
    </row>
    <row r="315">
      <c r="A315" s="27"/>
      <c r="B315" s="35"/>
      <c r="C315" s="36"/>
      <c r="D315" s="36"/>
      <c r="E315" s="37"/>
      <c r="F315" s="38"/>
      <c r="G315" s="34"/>
      <c r="H315" s="37"/>
      <c r="I315" s="27"/>
      <c r="J315" s="27"/>
      <c r="K315" s="27"/>
      <c r="L315" s="27"/>
      <c r="M315" s="27"/>
      <c r="N315" s="27"/>
      <c r="O315" s="27"/>
      <c r="P315" s="27"/>
      <c r="Q315" s="27"/>
    </row>
    <row r="316">
      <c r="A316" s="27"/>
      <c r="B316" s="35"/>
      <c r="C316" s="36"/>
      <c r="D316" s="36"/>
      <c r="E316" s="37"/>
      <c r="F316" s="38"/>
      <c r="G316" s="34"/>
      <c r="H316" s="37"/>
      <c r="I316" s="27"/>
      <c r="J316" s="27"/>
      <c r="K316" s="27"/>
      <c r="L316" s="27"/>
      <c r="M316" s="27"/>
      <c r="N316" s="27"/>
      <c r="O316" s="27"/>
      <c r="P316" s="27"/>
      <c r="Q316" s="27"/>
    </row>
    <row r="317">
      <c r="A317" s="27"/>
      <c r="B317" s="35"/>
      <c r="C317" s="36"/>
      <c r="D317" s="36"/>
      <c r="E317" s="37"/>
      <c r="F317" s="38"/>
      <c r="G317" s="34"/>
      <c r="H317" s="37"/>
      <c r="I317" s="27"/>
      <c r="J317" s="27"/>
      <c r="K317" s="27"/>
      <c r="L317" s="27"/>
      <c r="M317" s="27"/>
      <c r="N317" s="27"/>
      <c r="O317" s="27"/>
      <c r="P317" s="27"/>
      <c r="Q317" s="27"/>
    </row>
    <row r="318">
      <c r="A318" s="27"/>
      <c r="B318" s="35"/>
      <c r="C318" s="36"/>
      <c r="D318" s="36"/>
      <c r="E318" s="37"/>
      <c r="F318" s="38"/>
      <c r="G318" s="34"/>
      <c r="H318" s="37"/>
      <c r="I318" s="27"/>
      <c r="J318" s="27"/>
      <c r="K318" s="27"/>
      <c r="L318" s="27"/>
      <c r="M318" s="27"/>
      <c r="N318" s="27"/>
      <c r="O318" s="27"/>
      <c r="P318" s="27"/>
      <c r="Q318" s="27"/>
    </row>
    <row r="319">
      <c r="A319" s="27"/>
      <c r="B319" s="35"/>
      <c r="C319" s="36"/>
      <c r="D319" s="36"/>
      <c r="E319" s="37"/>
      <c r="F319" s="38"/>
      <c r="G319" s="34"/>
      <c r="H319" s="37"/>
      <c r="I319" s="27"/>
      <c r="J319" s="27"/>
      <c r="K319" s="27"/>
      <c r="L319" s="27"/>
      <c r="M319" s="27"/>
      <c r="N319" s="27"/>
      <c r="O319" s="27"/>
      <c r="P319" s="27"/>
      <c r="Q319" s="27"/>
    </row>
    <row r="320">
      <c r="A320" s="27"/>
      <c r="B320" s="35"/>
      <c r="C320" s="36"/>
      <c r="D320" s="36"/>
      <c r="E320" s="37"/>
      <c r="F320" s="38"/>
      <c r="G320" s="34"/>
      <c r="H320" s="37"/>
      <c r="I320" s="27"/>
      <c r="J320" s="27"/>
      <c r="K320" s="27"/>
      <c r="L320" s="27"/>
      <c r="M320" s="27"/>
      <c r="N320" s="27"/>
      <c r="O320" s="27"/>
      <c r="P320" s="27"/>
      <c r="Q320" s="27"/>
    </row>
    <row r="321">
      <c r="A321" s="27"/>
      <c r="B321" s="35"/>
      <c r="C321" s="36"/>
      <c r="D321" s="36"/>
      <c r="E321" s="37"/>
      <c r="F321" s="38"/>
      <c r="G321" s="34"/>
      <c r="H321" s="37"/>
      <c r="I321" s="27"/>
      <c r="J321" s="27"/>
      <c r="K321" s="27"/>
      <c r="L321" s="27"/>
      <c r="M321" s="27"/>
      <c r="N321" s="27"/>
      <c r="O321" s="27"/>
      <c r="P321" s="27"/>
      <c r="Q321" s="27"/>
    </row>
    <row r="322">
      <c r="A322" s="27"/>
      <c r="B322" s="35"/>
      <c r="C322" s="36"/>
      <c r="D322" s="36"/>
      <c r="E322" s="37"/>
      <c r="F322" s="38"/>
      <c r="G322" s="34"/>
      <c r="H322" s="37"/>
      <c r="I322" s="27"/>
      <c r="J322" s="27"/>
      <c r="K322" s="27"/>
      <c r="L322" s="27"/>
      <c r="M322" s="27"/>
      <c r="N322" s="27"/>
      <c r="O322" s="27"/>
      <c r="P322" s="27"/>
      <c r="Q322" s="27"/>
    </row>
    <row r="323">
      <c r="A323" s="27"/>
      <c r="B323" s="35"/>
      <c r="C323" s="36"/>
      <c r="D323" s="36"/>
      <c r="E323" s="37"/>
      <c r="F323" s="38"/>
      <c r="G323" s="34"/>
      <c r="H323" s="37"/>
      <c r="I323" s="27"/>
      <c r="J323" s="27"/>
      <c r="K323" s="27"/>
      <c r="L323" s="27"/>
      <c r="M323" s="27"/>
      <c r="N323" s="27"/>
      <c r="O323" s="27"/>
      <c r="P323" s="27"/>
      <c r="Q323" s="27"/>
    </row>
    <row r="324">
      <c r="A324" s="27"/>
      <c r="B324" s="35"/>
      <c r="C324" s="36"/>
      <c r="D324" s="36"/>
      <c r="E324" s="37"/>
      <c r="F324" s="38"/>
      <c r="G324" s="34"/>
      <c r="H324" s="37"/>
      <c r="I324" s="27"/>
      <c r="J324" s="27"/>
      <c r="K324" s="27"/>
      <c r="L324" s="27"/>
      <c r="M324" s="27"/>
      <c r="N324" s="27"/>
      <c r="O324" s="27"/>
      <c r="P324" s="27"/>
      <c r="Q324" s="27"/>
    </row>
    <row r="325">
      <c r="A325" s="27"/>
      <c r="B325" s="35"/>
      <c r="C325" s="36"/>
      <c r="D325" s="36"/>
      <c r="E325" s="37"/>
      <c r="F325" s="38"/>
      <c r="G325" s="34"/>
      <c r="H325" s="37"/>
      <c r="I325" s="27"/>
      <c r="J325" s="27"/>
      <c r="K325" s="27"/>
      <c r="L325" s="27"/>
      <c r="M325" s="27"/>
      <c r="N325" s="27"/>
      <c r="O325" s="27"/>
      <c r="P325" s="27"/>
      <c r="Q325" s="27"/>
    </row>
    <row r="326">
      <c r="A326" s="27"/>
      <c r="B326" s="35"/>
      <c r="C326" s="36"/>
      <c r="D326" s="36"/>
      <c r="E326" s="37"/>
      <c r="F326" s="38"/>
      <c r="G326" s="34"/>
      <c r="H326" s="37"/>
      <c r="I326" s="27"/>
      <c r="J326" s="27"/>
      <c r="K326" s="27"/>
      <c r="L326" s="27"/>
      <c r="M326" s="27"/>
      <c r="N326" s="27"/>
      <c r="O326" s="27"/>
      <c r="P326" s="27"/>
      <c r="Q326" s="27"/>
    </row>
    <row r="327">
      <c r="A327" s="27"/>
      <c r="B327" s="35"/>
      <c r="C327" s="36"/>
      <c r="D327" s="36"/>
      <c r="E327" s="37"/>
      <c r="F327" s="38"/>
      <c r="G327" s="34"/>
      <c r="H327" s="37"/>
      <c r="I327" s="27"/>
      <c r="J327" s="27"/>
      <c r="K327" s="27"/>
      <c r="L327" s="27"/>
      <c r="M327" s="27"/>
      <c r="N327" s="27"/>
      <c r="O327" s="27"/>
      <c r="P327" s="27"/>
      <c r="Q327" s="27"/>
    </row>
    <row r="328">
      <c r="A328" s="27"/>
      <c r="B328" s="35"/>
      <c r="C328" s="36"/>
      <c r="D328" s="36"/>
      <c r="E328" s="37"/>
      <c r="F328" s="38"/>
      <c r="G328" s="34"/>
      <c r="H328" s="37"/>
      <c r="I328" s="27"/>
      <c r="J328" s="27"/>
      <c r="K328" s="27"/>
      <c r="L328" s="27"/>
      <c r="M328" s="27"/>
      <c r="N328" s="27"/>
      <c r="O328" s="27"/>
      <c r="P328" s="27"/>
      <c r="Q328" s="27"/>
    </row>
    <row r="329">
      <c r="A329" s="27"/>
      <c r="B329" s="35"/>
      <c r="C329" s="36"/>
      <c r="D329" s="36"/>
      <c r="E329" s="37"/>
      <c r="F329" s="38"/>
      <c r="G329" s="34"/>
      <c r="H329" s="37"/>
      <c r="I329" s="27"/>
      <c r="J329" s="27"/>
      <c r="K329" s="27"/>
      <c r="L329" s="27"/>
      <c r="M329" s="27"/>
      <c r="N329" s="27"/>
      <c r="O329" s="27"/>
      <c r="P329" s="27"/>
      <c r="Q329" s="27"/>
    </row>
    <row r="330">
      <c r="A330" s="27"/>
      <c r="B330" s="35"/>
      <c r="C330" s="36"/>
      <c r="D330" s="36"/>
      <c r="E330" s="37"/>
      <c r="F330" s="38"/>
      <c r="G330" s="34"/>
      <c r="H330" s="37"/>
      <c r="I330" s="27"/>
      <c r="J330" s="27"/>
      <c r="K330" s="27"/>
      <c r="L330" s="27"/>
      <c r="M330" s="27"/>
      <c r="N330" s="27"/>
      <c r="O330" s="27"/>
      <c r="P330" s="27"/>
      <c r="Q330" s="27"/>
    </row>
    <row r="331">
      <c r="A331" s="27"/>
      <c r="B331" s="35"/>
      <c r="C331" s="36"/>
      <c r="D331" s="36"/>
      <c r="E331" s="37"/>
      <c r="F331" s="38"/>
      <c r="G331" s="34"/>
      <c r="H331" s="37"/>
      <c r="I331" s="27"/>
      <c r="J331" s="27"/>
      <c r="K331" s="27"/>
      <c r="L331" s="27"/>
      <c r="M331" s="27"/>
      <c r="N331" s="27"/>
      <c r="O331" s="27"/>
      <c r="P331" s="27"/>
      <c r="Q331" s="27"/>
    </row>
    <row r="332">
      <c r="A332" s="27"/>
      <c r="B332" s="35"/>
      <c r="C332" s="36"/>
      <c r="D332" s="36"/>
      <c r="E332" s="37"/>
      <c r="F332" s="38"/>
      <c r="G332" s="34"/>
      <c r="H332" s="37"/>
      <c r="I332" s="27"/>
      <c r="J332" s="27"/>
      <c r="K332" s="27"/>
      <c r="L332" s="27"/>
      <c r="M332" s="27"/>
      <c r="N332" s="27"/>
      <c r="O332" s="27"/>
      <c r="P332" s="27"/>
      <c r="Q332" s="27"/>
    </row>
    <row r="333">
      <c r="A333" s="27"/>
      <c r="B333" s="35"/>
      <c r="C333" s="36"/>
      <c r="D333" s="36"/>
      <c r="E333" s="37"/>
      <c r="F333" s="38"/>
      <c r="G333" s="34"/>
      <c r="H333" s="37"/>
      <c r="I333" s="27"/>
      <c r="J333" s="27"/>
      <c r="K333" s="27"/>
      <c r="L333" s="27"/>
      <c r="M333" s="27"/>
      <c r="N333" s="27"/>
      <c r="O333" s="27"/>
      <c r="P333" s="27"/>
      <c r="Q333" s="27"/>
    </row>
    <row r="334">
      <c r="A334" s="27"/>
      <c r="B334" s="35"/>
      <c r="C334" s="36"/>
      <c r="D334" s="36"/>
      <c r="E334" s="37"/>
      <c r="F334" s="38"/>
      <c r="G334" s="34"/>
      <c r="H334" s="37"/>
      <c r="I334" s="27"/>
      <c r="J334" s="27"/>
      <c r="K334" s="27"/>
      <c r="L334" s="27"/>
      <c r="M334" s="27"/>
      <c r="N334" s="27"/>
      <c r="O334" s="27"/>
      <c r="P334" s="27"/>
      <c r="Q334" s="27"/>
    </row>
    <row r="335">
      <c r="A335" s="27"/>
      <c r="B335" s="35"/>
      <c r="C335" s="36"/>
      <c r="D335" s="36"/>
      <c r="E335" s="37"/>
      <c r="F335" s="38"/>
      <c r="G335" s="34"/>
      <c r="H335" s="37"/>
      <c r="I335" s="27"/>
      <c r="J335" s="27"/>
      <c r="K335" s="27"/>
      <c r="L335" s="27"/>
      <c r="M335" s="27"/>
      <c r="N335" s="27"/>
      <c r="O335" s="27"/>
      <c r="P335" s="27"/>
      <c r="Q335" s="27"/>
    </row>
    <row r="336">
      <c r="A336" s="27"/>
      <c r="B336" s="35"/>
      <c r="C336" s="36"/>
      <c r="D336" s="36"/>
      <c r="E336" s="37"/>
      <c r="F336" s="38"/>
      <c r="G336" s="34"/>
      <c r="H336" s="37"/>
      <c r="I336" s="27"/>
      <c r="J336" s="27"/>
      <c r="K336" s="27"/>
      <c r="L336" s="27"/>
      <c r="M336" s="27"/>
      <c r="N336" s="27"/>
      <c r="O336" s="27"/>
      <c r="P336" s="27"/>
      <c r="Q336" s="27"/>
    </row>
    <row r="337">
      <c r="A337" s="27"/>
      <c r="B337" s="35"/>
      <c r="C337" s="36"/>
      <c r="D337" s="36"/>
      <c r="E337" s="37"/>
      <c r="F337" s="38"/>
      <c r="G337" s="34"/>
      <c r="H337" s="37"/>
      <c r="I337" s="27"/>
      <c r="J337" s="27"/>
      <c r="K337" s="27"/>
      <c r="L337" s="27"/>
      <c r="M337" s="27"/>
      <c r="N337" s="27"/>
      <c r="O337" s="27"/>
      <c r="P337" s="27"/>
      <c r="Q337" s="27"/>
    </row>
    <row r="338">
      <c r="A338" s="27"/>
      <c r="B338" s="35"/>
      <c r="C338" s="36"/>
      <c r="D338" s="36"/>
      <c r="E338" s="37"/>
      <c r="F338" s="38"/>
      <c r="G338" s="34"/>
      <c r="H338" s="37"/>
      <c r="I338" s="27"/>
      <c r="J338" s="27"/>
      <c r="K338" s="27"/>
      <c r="L338" s="27"/>
      <c r="M338" s="27"/>
      <c r="N338" s="27"/>
      <c r="O338" s="27"/>
      <c r="P338" s="27"/>
      <c r="Q338" s="27"/>
    </row>
    <row r="339">
      <c r="A339" s="27"/>
      <c r="B339" s="35"/>
      <c r="C339" s="36"/>
      <c r="D339" s="36"/>
      <c r="E339" s="37"/>
      <c r="F339" s="38"/>
      <c r="G339" s="34"/>
      <c r="H339" s="37"/>
      <c r="I339" s="27"/>
      <c r="J339" s="27"/>
      <c r="K339" s="27"/>
      <c r="L339" s="27"/>
      <c r="M339" s="27"/>
      <c r="N339" s="27"/>
      <c r="O339" s="27"/>
      <c r="P339" s="27"/>
      <c r="Q339" s="27"/>
    </row>
    <row r="340">
      <c r="A340" s="27"/>
      <c r="B340" s="35"/>
      <c r="C340" s="36"/>
      <c r="D340" s="36"/>
      <c r="E340" s="37"/>
      <c r="F340" s="38"/>
      <c r="G340" s="34"/>
      <c r="H340" s="37"/>
      <c r="I340" s="27"/>
      <c r="J340" s="27"/>
      <c r="K340" s="27"/>
      <c r="L340" s="27"/>
      <c r="M340" s="27"/>
      <c r="N340" s="27"/>
      <c r="O340" s="27"/>
      <c r="P340" s="27"/>
      <c r="Q340" s="27"/>
    </row>
    <row r="341">
      <c r="A341" s="27"/>
      <c r="B341" s="35"/>
      <c r="C341" s="36"/>
      <c r="D341" s="36"/>
      <c r="E341" s="37"/>
      <c r="F341" s="38"/>
      <c r="G341" s="34"/>
      <c r="H341" s="37"/>
      <c r="I341" s="27"/>
      <c r="J341" s="27"/>
      <c r="K341" s="27"/>
      <c r="L341" s="27"/>
      <c r="M341" s="27"/>
      <c r="N341" s="27"/>
      <c r="O341" s="27"/>
      <c r="P341" s="27"/>
      <c r="Q341" s="27"/>
    </row>
    <row r="342">
      <c r="A342" s="27"/>
      <c r="B342" s="35"/>
      <c r="C342" s="36"/>
      <c r="D342" s="36"/>
      <c r="E342" s="37"/>
      <c r="F342" s="38"/>
      <c r="G342" s="34"/>
      <c r="H342" s="37"/>
      <c r="I342" s="27"/>
      <c r="J342" s="27"/>
      <c r="K342" s="27"/>
      <c r="L342" s="27"/>
      <c r="M342" s="27"/>
      <c r="N342" s="27"/>
      <c r="O342" s="27"/>
      <c r="P342" s="27"/>
      <c r="Q342" s="27"/>
    </row>
    <row r="343">
      <c r="A343" s="27"/>
      <c r="B343" s="35"/>
      <c r="C343" s="36"/>
      <c r="D343" s="36"/>
      <c r="E343" s="37"/>
      <c r="F343" s="38"/>
      <c r="G343" s="34"/>
      <c r="H343" s="37"/>
      <c r="I343" s="27"/>
      <c r="J343" s="27"/>
      <c r="K343" s="27"/>
      <c r="L343" s="27"/>
      <c r="M343" s="27"/>
      <c r="N343" s="27"/>
      <c r="O343" s="27"/>
      <c r="P343" s="27"/>
      <c r="Q343" s="27"/>
    </row>
    <row r="344">
      <c r="A344" s="27"/>
      <c r="B344" s="35"/>
      <c r="C344" s="36"/>
      <c r="D344" s="36"/>
      <c r="E344" s="37"/>
      <c r="F344" s="38"/>
      <c r="G344" s="34"/>
      <c r="H344" s="37"/>
      <c r="I344" s="27"/>
      <c r="J344" s="27"/>
      <c r="K344" s="27"/>
      <c r="L344" s="27"/>
      <c r="M344" s="27"/>
      <c r="N344" s="27"/>
      <c r="O344" s="27"/>
      <c r="P344" s="27"/>
      <c r="Q344" s="27"/>
    </row>
    <row r="345">
      <c r="A345" s="27"/>
      <c r="B345" s="35"/>
      <c r="C345" s="36"/>
      <c r="D345" s="36"/>
      <c r="E345" s="37"/>
      <c r="F345" s="38"/>
      <c r="G345" s="34"/>
      <c r="H345" s="37"/>
      <c r="I345" s="27"/>
      <c r="J345" s="27"/>
      <c r="K345" s="27"/>
      <c r="L345" s="27"/>
      <c r="M345" s="27"/>
      <c r="N345" s="27"/>
      <c r="O345" s="27"/>
      <c r="P345" s="27"/>
      <c r="Q345" s="27"/>
    </row>
    <row r="346">
      <c r="A346" s="27"/>
      <c r="B346" s="35"/>
      <c r="C346" s="36"/>
      <c r="D346" s="36"/>
      <c r="E346" s="37"/>
      <c r="F346" s="38"/>
      <c r="G346" s="34"/>
      <c r="H346" s="37"/>
      <c r="I346" s="27"/>
      <c r="J346" s="27"/>
      <c r="K346" s="27"/>
      <c r="L346" s="27"/>
      <c r="M346" s="27"/>
      <c r="N346" s="27"/>
      <c r="O346" s="27"/>
      <c r="P346" s="27"/>
      <c r="Q346" s="27"/>
    </row>
    <row r="347">
      <c r="A347" s="27"/>
      <c r="B347" s="35"/>
      <c r="C347" s="36"/>
      <c r="D347" s="36"/>
      <c r="E347" s="37"/>
      <c r="F347" s="38"/>
      <c r="G347" s="34"/>
      <c r="H347" s="37"/>
      <c r="I347" s="27"/>
      <c r="J347" s="27"/>
      <c r="K347" s="27"/>
      <c r="L347" s="27"/>
      <c r="M347" s="27"/>
      <c r="N347" s="27"/>
      <c r="O347" s="27"/>
      <c r="P347" s="27"/>
      <c r="Q347" s="27"/>
    </row>
    <row r="348">
      <c r="A348" s="27"/>
      <c r="B348" s="35"/>
      <c r="C348" s="36"/>
      <c r="D348" s="36"/>
      <c r="E348" s="37"/>
      <c r="F348" s="38"/>
      <c r="G348" s="34"/>
      <c r="H348" s="37"/>
      <c r="I348" s="27"/>
      <c r="J348" s="27"/>
      <c r="K348" s="27"/>
      <c r="L348" s="27"/>
      <c r="M348" s="27"/>
      <c r="N348" s="27"/>
      <c r="O348" s="27"/>
      <c r="P348" s="27"/>
      <c r="Q348" s="27"/>
    </row>
    <row r="349">
      <c r="A349" s="27"/>
      <c r="B349" s="35"/>
      <c r="C349" s="36"/>
      <c r="D349" s="36"/>
      <c r="E349" s="37"/>
      <c r="F349" s="38"/>
      <c r="G349" s="34"/>
      <c r="H349" s="37"/>
      <c r="I349" s="27"/>
      <c r="J349" s="27"/>
      <c r="K349" s="27"/>
      <c r="L349" s="27"/>
      <c r="M349" s="27"/>
      <c r="N349" s="27"/>
      <c r="O349" s="27"/>
      <c r="P349" s="27"/>
      <c r="Q349" s="27"/>
    </row>
    <row r="350">
      <c r="A350" s="27"/>
      <c r="B350" s="35"/>
      <c r="C350" s="36"/>
      <c r="D350" s="36"/>
      <c r="E350" s="37"/>
      <c r="F350" s="38"/>
      <c r="G350" s="34"/>
      <c r="H350" s="37"/>
      <c r="I350" s="27"/>
      <c r="J350" s="27"/>
      <c r="K350" s="27"/>
      <c r="L350" s="27"/>
      <c r="M350" s="27"/>
      <c r="N350" s="27"/>
      <c r="O350" s="27"/>
      <c r="P350" s="27"/>
      <c r="Q350" s="27"/>
    </row>
    <row r="351">
      <c r="A351" s="27"/>
      <c r="B351" s="35"/>
      <c r="C351" s="36"/>
      <c r="D351" s="36"/>
      <c r="E351" s="37"/>
      <c r="F351" s="38"/>
      <c r="G351" s="34"/>
      <c r="H351" s="37"/>
      <c r="I351" s="27"/>
      <c r="J351" s="27"/>
      <c r="K351" s="27"/>
      <c r="L351" s="27"/>
      <c r="M351" s="27"/>
      <c r="N351" s="27"/>
      <c r="O351" s="27"/>
      <c r="P351" s="27"/>
      <c r="Q351" s="27"/>
    </row>
    <row r="352">
      <c r="A352" s="27"/>
      <c r="B352" s="35"/>
      <c r="C352" s="36"/>
      <c r="D352" s="36"/>
      <c r="E352" s="37"/>
      <c r="F352" s="38"/>
      <c r="G352" s="34"/>
      <c r="H352" s="37"/>
      <c r="I352" s="27"/>
      <c r="J352" s="27"/>
      <c r="K352" s="27"/>
      <c r="L352" s="27"/>
      <c r="M352" s="27"/>
      <c r="N352" s="27"/>
      <c r="O352" s="27"/>
      <c r="P352" s="27"/>
      <c r="Q352" s="27"/>
    </row>
    <row r="353">
      <c r="A353" s="27"/>
      <c r="B353" s="35"/>
      <c r="C353" s="36"/>
      <c r="D353" s="36"/>
      <c r="E353" s="37"/>
      <c r="F353" s="38"/>
      <c r="G353" s="34"/>
      <c r="H353" s="37"/>
      <c r="I353" s="27"/>
      <c r="J353" s="27"/>
      <c r="K353" s="27"/>
      <c r="L353" s="27"/>
      <c r="M353" s="27"/>
      <c r="N353" s="27"/>
      <c r="O353" s="27"/>
      <c r="P353" s="27"/>
      <c r="Q353" s="27"/>
    </row>
    <row r="354">
      <c r="A354" s="27"/>
      <c r="B354" s="35"/>
      <c r="C354" s="36"/>
      <c r="D354" s="36"/>
      <c r="E354" s="37"/>
      <c r="F354" s="38"/>
      <c r="G354" s="34"/>
      <c r="H354" s="37"/>
      <c r="I354" s="27"/>
      <c r="J354" s="27"/>
      <c r="K354" s="27"/>
      <c r="L354" s="27"/>
      <c r="M354" s="27"/>
      <c r="N354" s="27"/>
      <c r="O354" s="27"/>
      <c r="P354" s="27"/>
      <c r="Q354" s="27"/>
    </row>
    <row r="355">
      <c r="A355" s="27"/>
      <c r="B355" s="35"/>
      <c r="C355" s="36"/>
      <c r="D355" s="36"/>
      <c r="E355" s="37"/>
      <c r="F355" s="38"/>
      <c r="G355" s="34"/>
      <c r="H355" s="37"/>
      <c r="I355" s="27"/>
      <c r="J355" s="27"/>
      <c r="K355" s="27"/>
      <c r="L355" s="27"/>
      <c r="M355" s="27"/>
      <c r="N355" s="27"/>
      <c r="O355" s="27"/>
      <c r="P355" s="27"/>
      <c r="Q355" s="27"/>
    </row>
    <row r="356">
      <c r="A356" s="27"/>
      <c r="B356" s="35"/>
      <c r="C356" s="36"/>
      <c r="D356" s="36"/>
      <c r="E356" s="37"/>
      <c r="F356" s="38"/>
      <c r="G356" s="34"/>
      <c r="H356" s="37"/>
      <c r="I356" s="27"/>
      <c r="J356" s="27"/>
      <c r="K356" s="27"/>
      <c r="L356" s="27"/>
      <c r="M356" s="27"/>
      <c r="N356" s="27"/>
      <c r="O356" s="27"/>
      <c r="P356" s="27"/>
      <c r="Q356" s="27"/>
    </row>
    <row r="357">
      <c r="A357" s="27"/>
      <c r="B357" s="35"/>
      <c r="C357" s="36"/>
      <c r="D357" s="36"/>
      <c r="E357" s="37"/>
      <c r="F357" s="38"/>
      <c r="G357" s="34"/>
      <c r="H357" s="37"/>
      <c r="I357" s="27"/>
      <c r="J357" s="27"/>
      <c r="K357" s="27"/>
      <c r="L357" s="27"/>
      <c r="M357" s="27"/>
      <c r="N357" s="27"/>
      <c r="O357" s="27"/>
      <c r="P357" s="27"/>
      <c r="Q357" s="27"/>
    </row>
    <row r="358">
      <c r="A358" s="27"/>
      <c r="B358" s="35"/>
      <c r="C358" s="36"/>
      <c r="D358" s="36"/>
      <c r="E358" s="37"/>
      <c r="F358" s="38"/>
      <c r="G358" s="34"/>
      <c r="H358" s="37"/>
      <c r="I358" s="27"/>
      <c r="J358" s="27"/>
      <c r="K358" s="27"/>
      <c r="L358" s="27"/>
      <c r="M358" s="27"/>
      <c r="N358" s="27"/>
      <c r="O358" s="27"/>
      <c r="P358" s="27"/>
      <c r="Q358" s="27"/>
    </row>
    <row r="359">
      <c r="A359" s="27"/>
      <c r="B359" s="35"/>
      <c r="C359" s="36"/>
      <c r="D359" s="36"/>
      <c r="E359" s="37"/>
      <c r="F359" s="38"/>
      <c r="G359" s="34"/>
      <c r="H359" s="37"/>
      <c r="I359" s="27"/>
      <c r="J359" s="27"/>
      <c r="K359" s="27"/>
      <c r="L359" s="27"/>
      <c r="M359" s="27"/>
      <c r="N359" s="27"/>
      <c r="O359" s="27"/>
      <c r="P359" s="27"/>
      <c r="Q359" s="27"/>
    </row>
    <row r="360">
      <c r="A360" s="27"/>
      <c r="B360" s="35"/>
      <c r="C360" s="36"/>
      <c r="D360" s="36"/>
      <c r="E360" s="37"/>
      <c r="F360" s="38"/>
      <c r="G360" s="34"/>
      <c r="H360" s="37"/>
      <c r="I360" s="27"/>
      <c r="J360" s="27"/>
      <c r="K360" s="27"/>
      <c r="L360" s="27"/>
      <c r="M360" s="27"/>
      <c r="N360" s="27"/>
      <c r="O360" s="27"/>
      <c r="P360" s="27"/>
      <c r="Q360" s="27"/>
    </row>
    <row r="361">
      <c r="A361" s="27"/>
      <c r="B361" s="35"/>
      <c r="C361" s="36"/>
      <c r="D361" s="36"/>
      <c r="E361" s="37"/>
      <c r="F361" s="38"/>
      <c r="G361" s="34"/>
      <c r="H361" s="37"/>
      <c r="I361" s="27"/>
      <c r="J361" s="27"/>
      <c r="K361" s="27"/>
      <c r="L361" s="27"/>
      <c r="M361" s="27"/>
      <c r="N361" s="27"/>
      <c r="O361" s="27"/>
      <c r="P361" s="27"/>
      <c r="Q361" s="27"/>
    </row>
    <row r="362">
      <c r="A362" s="27"/>
      <c r="B362" s="35"/>
      <c r="C362" s="36"/>
      <c r="D362" s="36"/>
      <c r="E362" s="37"/>
      <c r="F362" s="38"/>
      <c r="G362" s="34"/>
      <c r="H362" s="37"/>
      <c r="I362" s="27"/>
      <c r="J362" s="27"/>
      <c r="K362" s="27"/>
      <c r="L362" s="27"/>
      <c r="M362" s="27"/>
      <c r="N362" s="27"/>
      <c r="O362" s="27"/>
      <c r="P362" s="27"/>
      <c r="Q362" s="27"/>
    </row>
    <row r="363">
      <c r="A363" s="27"/>
      <c r="B363" s="35"/>
      <c r="C363" s="36"/>
      <c r="D363" s="36"/>
      <c r="E363" s="37"/>
      <c r="F363" s="38"/>
      <c r="G363" s="34"/>
      <c r="H363" s="37"/>
      <c r="I363" s="27"/>
      <c r="J363" s="27"/>
      <c r="K363" s="27"/>
      <c r="L363" s="27"/>
      <c r="M363" s="27"/>
      <c r="N363" s="27"/>
      <c r="O363" s="27"/>
      <c r="P363" s="27"/>
      <c r="Q363" s="27"/>
    </row>
    <row r="364">
      <c r="A364" s="27"/>
      <c r="B364" s="35"/>
      <c r="C364" s="36"/>
      <c r="D364" s="36"/>
      <c r="E364" s="37"/>
      <c r="F364" s="38"/>
      <c r="G364" s="34"/>
      <c r="H364" s="37"/>
      <c r="I364" s="27"/>
      <c r="J364" s="27"/>
      <c r="K364" s="27"/>
      <c r="L364" s="27"/>
      <c r="M364" s="27"/>
      <c r="N364" s="27"/>
      <c r="O364" s="27"/>
      <c r="P364" s="27"/>
      <c r="Q364" s="27"/>
    </row>
    <row r="365">
      <c r="A365" s="27"/>
      <c r="B365" s="35"/>
      <c r="C365" s="36"/>
      <c r="D365" s="36"/>
      <c r="E365" s="37"/>
      <c r="F365" s="38"/>
      <c r="G365" s="34"/>
      <c r="H365" s="37"/>
      <c r="I365" s="27"/>
      <c r="J365" s="27"/>
      <c r="K365" s="27"/>
      <c r="L365" s="27"/>
      <c r="M365" s="27"/>
      <c r="N365" s="27"/>
      <c r="O365" s="27"/>
      <c r="P365" s="27"/>
      <c r="Q365" s="27"/>
    </row>
    <row r="366">
      <c r="A366" s="27"/>
      <c r="B366" s="35"/>
      <c r="C366" s="36"/>
      <c r="D366" s="36"/>
      <c r="E366" s="37"/>
      <c r="F366" s="38"/>
      <c r="G366" s="34"/>
      <c r="H366" s="37"/>
      <c r="I366" s="27"/>
      <c r="J366" s="27"/>
      <c r="K366" s="27"/>
      <c r="L366" s="27"/>
      <c r="M366" s="27"/>
      <c r="N366" s="27"/>
      <c r="O366" s="27"/>
      <c r="P366" s="27"/>
      <c r="Q366" s="27"/>
    </row>
    <row r="367">
      <c r="A367" s="27"/>
      <c r="B367" s="35"/>
      <c r="C367" s="36"/>
      <c r="D367" s="36"/>
      <c r="E367" s="37"/>
      <c r="F367" s="38"/>
      <c r="G367" s="34"/>
      <c r="H367" s="37"/>
      <c r="I367" s="27"/>
      <c r="J367" s="27"/>
      <c r="K367" s="27"/>
      <c r="L367" s="27"/>
      <c r="M367" s="27"/>
      <c r="N367" s="27"/>
      <c r="O367" s="27"/>
      <c r="P367" s="27"/>
      <c r="Q367" s="27"/>
    </row>
    <row r="368">
      <c r="A368" s="27"/>
      <c r="B368" s="35"/>
      <c r="C368" s="36"/>
      <c r="D368" s="36"/>
      <c r="E368" s="37"/>
      <c r="F368" s="38"/>
      <c r="G368" s="34"/>
      <c r="H368" s="37"/>
      <c r="I368" s="27"/>
      <c r="J368" s="27"/>
      <c r="K368" s="27"/>
      <c r="L368" s="27"/>
      <c r="M368" s="27"/>
      <c r="N368" s="27"/>
      <c r="O368" s="27"/>
      <c r="P368" s="27"/>
      <c r="Q368" s="27"/>
    </row>
    <row r="369">
      <c r="A369" s="27"/>
      <c r="B369" s="35"/>
      <c r="C369" s="36"/>
      <c r="D369" s="36"/>
      <c r="E369" s="37"/>
      <c r="F369" s="38"/>
      <c r="G369" s="34"/>
      <c r="H369" s="37"/>
      <c r="I369" s="27"/>
      <c r="J369" s="27"/>
      <c r="K369" s="27"/>
      <c r="L369" s="27"/>
      <c r="M369" s="27"/>
      <c r="N369" s="27"/>
      <c r="O369" s="27"/>
      <c r="P369" s="27"/>
      <c r="Q369" s="27"/>
    </row>
    <row r="370">
      <c r="A370" s="27"/>
      <c r="B370" s="35"/>
      <c r="C370" s="36"/>
      <c r="D370" s="36"/>
      <c r="E370" s="37"/>
      <c r="F370" s="38"/>
      <c r="G370" s="34"/>
      <c r="H370" s="37"/>
      <c r="I370" s="27"/>
      <c r="J370" s="27"/>
      <c r="K370" s="27"/>
      <c r="L370" s="27"/>
      <c r="M370" s="27"/>
      <c r="N370" s="27"/>
      <c r="O370" s="27"/>
      <c r="P370" s="27"/>
      <c r="Q370" s="27"/>
    </row>
    <row r="371">
      <c r="A371" s="27"/>
      <c r="B371" s="35"/>
      <c r="C371" s="36"/>
      <c r="D371" s="36"/>
      <c r="E371" s="37"/>
      <c r="F371" s="38"/>
      <c r="G371" s="34"/>
      <c r="H371" s="37"/>
      <c r="I371" s="27"/>
      <c r="J371" s="27"/>
      <c r="K371" s="27"/>
      <c r="L371" s="27"/>
      <c r="M371" s="27"/>
      <c r="N371" s="27"/>
      <c r="O371" s="27"/>
      <c r="P371" s="27"/>
      <c r="Q371" s="27"/>
    </row>
    <row r="372">
      <c r="A372" s="27"/>
      <c r="B372" s="35"/>
      <c r="C372" s="36"/>
      <c r="D372" s="36"/>
      <c r="E372" s="37"/>
      <c r="F372" s="38"/>
      <c r="G372" s="34"/>
      <c r="H372" s="37"/>
      <c r="I372" s="27"/>
      <c r="J372" s="27"/>
      <c r="K372" s="27"/>
      <c r="L372" s="27"/>
      <c r="M372" s="27"/>
      <c r="N372" s="27"/>
      <c r="O372" s="27"/>
      <c r="P372" s="27"/>
      <c r="Q372" s="27"/>
    </row>
    <row r="373">
      <c r="A373" s="27"/>
      <c r="B373" s="35"/>
      <c r="C373" s="36"/>
      <c r="D373" s="36"/>
      <c r="E373" s="37"/>
      <c r="F373" s="38"/>
      <c r="G373" s="34"/>
      <c r="H373" s="37"/>
      <c r="I373" s="27"/>
      <c r="J373" s="27"/>
      <c r="K373" s="27"/>
      <c r="L373" s="27"/>
      <c r="M373" s="27"/>
      <c r="N373" s="27"/>
      <c r="O373" s="27"/>
      <c r="P373" s="27"/>
      <c r="Q373" s="27"/>
    </row>
    <row r="374">
      <c r="A374" s="27"/>
      <c r="B374" s="35"/>
      <c r="C374" s="36"/>
      <c r="D374" s="36"/>
      <c r="E374" s="37"/>
      <c r="F374" s="38"/>
      <c r="G374" s="34"/>
      <c r="H374" s="37"/>
      <c r="I374" s="27"/>
      <c r="J374" s="27"/>
      <c r="K374" s="27"/>
      <c r="L374" s="27"/>
      <c r="M374" s="27"/>
      <c r="N374" s="27"/>
      <c r="O374" s="27"/>
      <c r="P374" s="27"/>
      <c r="Q374" s="27"/>
    </row>
    <row r="375">
      <c r="A375" s="27"/>
      <c r="B375" s="35"/>
      <c r="C375" s="36"/>
      <c r="D375" s="36"/>
      <c r="E375" s="37"/>
      <c r="F375" s="38"/>
      <c r="G375" s="34"/>
      <c r="H375" s="37"/>
      <c r="I375" s="27"/>
      <c r="J375" s="27"/>
      <c r="K375" s="27"/>
      <c r="L375" s="27"/>
      <c r="M375" s="27"/>
      <c r="N375" s="27"/>
      <c r="O375" s="27"/>
      <c r="P375" s="27"/>
      <c r="Q375" s="27"/>
    </row>
    <row r="376">
      <c r="A376" s="27"/>
      <c r="B376" s="35"/>
      <c r="C376" s="36"/>
      <c r="D376" s="36"/>
      <c r="E376" s="37"/>
      <c r="F376" s="38"/>
      <c r="G376" s="34"/>
      <c r="H376" s="37"/>
      <c r="I376" s="27"/>
      <c r="J376" s="27"/>
      <c r="K376" s="27"/>
      <c r="L376" s="27"/>
      <c r="M376" s="27"/>
      <c r="N376" s="27"/>
      <c r="O376" s="27"/>
      <c r="P376" s="27"/>
      <c r="Q376" s="27"/>
    </row>
    <row r="377">
      <c r="A377" s="27"/>
      <c r="B377" s="35"/>
      <c r="C377" s="36"/>
      <c r="D377" s="36"/>
      <c r="E377" s="37"/>
      <c r="F377" s="38"/>
      <c r="G377" s="34"/>
      <c r="H377" s="37"/>
      <c r="I377" s="27"/>
      <c r="J377" s="27"/>
      <c r="K377" s="27"/>
      <c r="L377" s="27"/>
      <c r="M377" s="27"/>
      <c r="N377" s="27"/>
      <c r="O377" s="27"/>
      <c r="P377" s="27"/>
      <c r="Q377" s="27"/>
    </row>
    <row r="378">
      <c r="A378" s="27"/>
      <c r="B378" s="35"/>
      <c r="C378" s="36"/>
      <c r="D378" s="36"/>
      <c r="E378" s="37"/>
      <c r="F378" s="38"/>
      <c r="G378" s="34"/>
      <c r="H378" s="37"/>
      <c r="I378" s="27"/>
      <c r="J378" s="27"/>
      <c r="K378" s="27"/>
      <c r="L378" s="27"/>
      <c r="M378" s="27"/>
      <c r="N378" s="27"/>
      <c r="O378" s="27"/>
      <c r="P378" s="27"/>
      <c r="Q378" s="27"/>
    </row>
    <row r="379">
      <c r="A379" s="27"/>
      <c r="B379" s="35"/>
      <c r="C379" s="36"/>
      <c r="D379" s="36"/>
      <c r="E379" s="37"/>
      <c r="F379" s="38"/>
      <c r="G379" s="34"/>
      <c r="H379" s="37"/>
      <c r="I379" s="27"/>
      <c r="J379" s="27"/>
      <c r="K379" s="27"/>
      <c r="L379" s="27"/>
      <c r="M379" s="27"/>
      <c r="N379" s="27"/>
      <c r="O379" s="27"/>
      <c r="P379" s="27"/>
      <c r="Q379" s="27"/>
    </row>
    <row r="380">
      <c r="A380" s="27"/>
      <c r="B380" s="35"/>
      <c r="C380" s="36"/>
      <c r="D380" s="36"/>
      <c r="E380" s="37"/>
      <c r="F380" s="38"/>
      <c r="G380" s="34"/>
      <c r="H380" s="37"/>
      <c r="I380" s="27"/>
      <c r="J380" s="27"/>
      <c r="K380" s="27"/>
      <c r="L380" s="27"/>
      <c r="M380" s="27"/>
      <c r="N380" s="27"/>
      <c r="O380" s="27"/>
      <c r="P380" s="27"/>
      <c r="Q380" s="27"/>
    </row>
    <row r="381">
      <c r="A381" s="27"/>
      <c r="B381" s="35"/>
      <c r="C381" s="36"/>
      <c r="D381" s="36"/>
      <c r="E381" s="37"/>
      <c r="F381" s="38"/>
      <c r="G381" s="34"/>
      <c r="H381" s="37"/>
      <c r="I381" s="27"/>
      <c r="J381" s="27"/>
      <c r="K381" s="27"/>
      <c r="L381" s="27"/>
      <c r="M381" s="27"/>
      <c r="N381" s="27"/>
      <c r="O381" s="27"/>
      <c r="P381" s="27"/>
      <c r="Q381" s="27"/>
    </row>
    <row r="382">
      <c r="A382" s="27"/>
      <c r="B382" s="35"/>
      <c r="C382" s="36"/>
      <c r="D382" s="36"/>
      <c r="E382" s="37"/>
      <c r="F382" s="38"/>
      <c r="G382" s="34"/>
      <c r="H382" s="37"/>
      <c r="I382" s="27"/>
      <c r="J382" s="27"/>
      <c r="K382" s="27"/>
      <c r="L382" s="27"/>
      <c r="M382" s="27"/>
      <c r="N382" s="27"/>
      <c r="O382" s="27"/>
      <c r="P382" s="27"/>
      <c r="Q382" s="27"/>
    </row>
    <row r="383">
      <c r="A383" s="27"/>
      <c r="B383" s="35"/>
      <c r="C383" s="36"/>
      <c r="D383" s="36"/>
      <c r="E383" s="37"/>
      <c r="F383" s="38"/>
      <c r="G383" s="34"/>
      <c r="H383" s="37"/>
      <c r="I383" s="27"/>
      <c r="J383" s="27"/>
      <c r="K383" s="27"/>
      <c r="L383" s="27"/>
      <c r="M383" s="27"/>
      <c r="N383" s="27"/>
      <c r="O383" s="27"/>
      <c r="P383" s="27"/>
      <c r="Q383" s="27"/>
    </row>
    <row r="384">
      <c r="A384" s="27"/>
      <c r="B384" s="35"/>
      <c r="C384" s="36"/>
      <c r="D384" s="36"/>
      <c r="E384" s="37"/>
      <c r="F384" s="38"/>
      <c r="G384" s="34"/>
      <c r="H384" s="37"/>
      <c r="I384" s="27"/>
      <c r="J384" s="27"/>
      <c r="K384" s="27"/>
      <c r="L384" s="27"/>
      <c r="M384" s="27"/>
      <c r="N384" s="27"/>
      <c r="O384" s="27"/>
      <c r="P384" s="27"/>
      <c r="Q384" s="27"/>
    </row>
    <row r="385">
      <c r="A385" s="27"/>
      <c r="B385" s="35"/>
      <c r="C385" s="36"/>
      <c r="D385" s="36"/>
      <c r="E385" s="37"/>
      <c r="F385" s="38"/>
      <c r="G385" s="34"/>
      <c r="H385" s="37"/>
      <c r="I385" s="27"/>
      <c r="J385" s="27"/>
      <c r="K385" s="27"/>
      <c r="L385" s="27"/>
      <c r="M385" s="27"/>
      <c r="N385" s="27"/>
      <c r="O385" s="27"/>
      <c r="P385" s="27"/>
      <c r="Q385" s="27"/>
    </row>
    <row r="386">
      <c r="A386" s="27"/>
      <c r="B386" s="35"/>
      <c r="C386" s="36"/>
      <c r="D386" s="36"/>
      <c r="E386" s="37"/>
      <c r="F386" s="38"/>
      <c r="G386" s="34"/>
      <c r="H386" s="37"/>
      <c r="I386" s="27"/>
      <c r="J386" s="27"/>
      <c r="K386" s="27"/>
      <c r="L386" s="27"/>
      <c r="M386" s="27"/>
      <c r="N386" s="27"/>
      <c r="O386" s="27"/>
      <c r="P386" s="27"/>
      <c r="Q386" s="27"/>
    </row>
    <row r="387">
      <c r="A387" s="27"/>
      <c r="B387" s="35"/>
      <c r="C387" s="36"/>
      <c r="D387" s="36"/>
      <c r="E387" s="37"/>
      <c r="F387" s="38"/>
      <c r="G387" s="34"/>
      <c r="H387" s="37"/>
      <c r="I387" s="27"/>
      <c r="J387" s="27"/>
      <c r="K387" s="27"/>
      <c r="L387" s="27"/>
      <c r="M387" s="27"/>
      <c r="N387" s="27"/>
      <c r="O387" s="27"/>
      <c r="P387" s="27"/>
      <c r="Q387" s="27"/>
    </row>
    <row r="388">
      <c r="A388" s="27"/>
      <c r="B388" s="35"/>
      <c r="C388" s="36"/>
      <c r="D388" s="36"/>
      <c r="E388" s="37"/>
      <c r="F388" s="38"/>
      <c r="G388" s="34"/>
      <c r="H388" s="37"/>
      <c r="I388" s="27"/>
      <c r="J388" s="27"/>
      <c r="K388" s="27"/>
      <c r="L388" s="27"/>
      <c r="M388" s="27"/>
      <c r="N388" s="27"/>
      <c r="O388" s="27"/>
      <c r="P388" s="27"/>
      <c r="Q388" s="27"/>
    </row>
    <row r="389">
      <c r="A389" s="27"/>
      <c r="B389" s="35"/>
      <c r="C389" s="36"/>
      <c r="D389" s="36"/>
      <c r="E389" s="37"/>
      <c r="F389" s="38"/>
      <c r="G389" s="34"/>
      <c r="H389" s="37"/>
      <c r="I389" s="27"/>
      <c r="J389" s="27"/>
      <c r="K389" s="27"/>
      <c r="L389" s="27"/>
      <c r="M389" s="27"/>
      <c r="N389" s="27"/>
      <c r="O389" s="27"/>
      <c r="P389" s="27"/>
      <c r="Q389" s="27"/>
    </row>
    <row r="390">
      <c r="A390" s="27"/>
      <c r="B390" s="35"/>
      <c r="C390" s="36"/>
      <c r="D390" s="36"/>
      <c r="E390" s="37"/>
      <c r="F390" s="38"/>
      <c r="G390" s="34"/>
      <c r="H390" s="37"/>
      <c r="I390" s="27"/>
      <c r="J390" s="27"/>
      <c r="K390" s="27"/>
      <c r="L390" s="27"/>
      <c r="M390" s="27"/>
      <c r="N390" s="27"/>
      <c r="O390" s="27"/>
      <c r="P390" s="27"/>
      <c r="Q390" s="27"/>
    </row>
    <row r="391">
      <c r="A391" s="27"/>
      <c r="B391" s="35"/>
      <c r="C391" s="36"/>
      <c r="D391" s="36"/>
      <c r="E391" s="37"/>
      <c r="F391" s="38"/>
      <c r="G391" s="34"/>
      <c r="H391" s="37"/>
      <c r="I391" s="27"/>
      <c r="J391" s="27"/>
      <c r="K391" s="27"/>
      <c r="L391" s="27"/>
      <c r="M391" s="27"/>
      <c r="N391" s="27"/>
      <c r="O391" s="27"/>
      <c r="P391" s="27"/>
      <c r="Q391" s="27"/>
    </row>
    <row r="392">
      <c r="A392" s="27"/>
      <c r="B392" s="35"/>
      <c r="C392" s="36"/>
      <c r="D392" s="36"/>
      <c r="E392" s="37"/>
      <c r="F392" s="38"/>
      <c r="G392" s="34"/>
      <c r="H392" s="37"/>
      <c r="I392" s="27"/>
      <c r="J392" s="27"/>
      <c r="K392" s="27"/>
      <c r="L392" s="27"/>
      <c r="M392" s="27"/>
      <c r="N392" s="27"/>
      <c r="O392" s="27"/>
      <c r="P392" s="27"/>
      <c r="Q392" s="27"/>
    </row>
    <row r="393">
      <c r="A393" s="27"/>
      <c r="B393" s="35"/>
      <c r="C393" s="36"/>
      <c r="D393" s="36"/>
      <c r="E393" s="37"/>
      <c r="F393" s="38"/>
      <c r="G393" s="34"/>
      <c r="H393" s="37"/>
      <c r="I393" s="27"/>
      <c r="J393" s="27"/>
      <c r="K393" s="27"/>
      <c r="L393" s="27"/>
      <c r="M393" s="27"/>
      <c r="N393" s="27"/>
      <c r="O393" s="27"/>
      <c r="P393" s="27"/>
      <c r="Q393" s="27"/>
    </row>
    <row r="394">
      <c r="A394" s="27"/>
      <c r="B394" s="35"/>
      <c r="C394" s="36"/>
      <c r="D394" s="36"/>
      <c r="E394" s="37"/>
      <c r="F394" s="38"/>
      <c r="G394" s="34"/>
      <c r="H394" s="37"/>
      <c r="I394" s="27"/>
      <c r="J394" s="27"/>
      <c r="K394" s="27"/>
      <c r="L394" s="27"/>
      <c r="M394" s="27"/>
      <c r="N394" s="27"/>
      <c r="O394" s="27"/>
      <c r="P394" s="27"/>
      <c r="Q394" s="27"/>
    </row>
    <row r="395">
      <c r="A395" s="27"/>
      <c r="B395" s="35"/>
      <c r="C395" s="36"/>
      <c r="D395" s="36"/>
      <c r="E395" s="37"/>
      <c r="F395" s="38"/>
      <c r="G395" s="34"/>
      <c r="H395" s="37"/>
      <c r="I395" s="27"/>
      <c r="J395" s="27"/>
      <c r="K395" s="27"/>
      <c r="L395" s="27"/>
      <c r="M395" s="27"/>
      <c r="N395" s="27"/>
      <c r="O395" s="27"/>
      <c r="P395" s="27"/>
      <c r="Q395" s="27"/>
    </row>
    <row r="396">
      <c r="A396" s="27"/>
      <c r="B396" s="35"/>
      <c r="C396" s="36"/>
      <c r="D396" s="36"/>
      <c r="E396" s="37"/>
      <c r="F396" s="38"/>
      <c r="G396" s="34"/>
      <c r="H396" s="37"/>
      <c r="I396" s="27"/>
      <c r="J396" s="27"/>
      <c r="K396" s="27"/>
      <c r="L396" s="27"/>
      <c r="M396" s="27"/>
      <c r="N396" s="27"/>
      <c r="O396" s="27"/>
      <c r="P396" s="27"/>
      <c r="Q396" s="27"/>
    </row>
    <row r="397">
      <c r="A397" s="27"/>
      <c r="B397" s="35"/>
      <c r="C397" s="36"/>
      <c r="D397" s="36"/>
      <c r="E397" s="37"/>
      <c r="F397" s="38"/>
      <c r="G397" s="34"/>
      <c r="H397" s="37"/>
      <c r="I397" s="27"/>
      <c r="J397" s="27"/>
      <c r="K397" s="27"/>
      <c r="L397" s="27"/>
      <c r="M397" s="27"/>
      <c r="N397" s="27"/>
      <c r="O397" s="27"/>
      <c r="P397" s="27"/>
      <c r="Q397" s="27"/>
    </row>
    <row r="398">
      <c r="A398" s="27"/>
      <c r="B398" s="35"/>
      <c r="C398" s="36"/>
      <c r="D398" s="36"/>
      <c r="E398" s="37"/>
      <c r="F398" s="38"/>
      <c r="G398" s="34"/>
      <c r="H398" s="37"/>
      <c r="I398" s="27"/>
      <c r="J398" s="27"/>
      <c r="K398" s="27"/>
      <c r="L398" s="27"/>
      <c r="M398" s="27"/>
      <c r="N398" s="27"/>
      <c r="O398" s="27"/>
      <c r="P398" s="27"/>
      <c r="Q398" s="27"/>
    </row>
    <row r="399">
      <c r="A399" s="27"/>
      <c r="B399" s="35"/>
      <c r="C399" s="36"/>
      <c r="D399" s="36"/>
      <c r="E399" s="37"/>
      <c r="F399" s="38"/>
      <c r="G399" s="34"/>
      <c r="H399" s="37"/>
      <c r="I399" s="27"/>
      <c r="J399" s="27"/>
      <c r="K399" s="27"/>
      <c r="L399" s="27"/>
      <c r="M399" s="27"/>
      <c r="N399" s="27"/>
      <c r="O399" s="27"/>
      <c r="P399" s="27"/>
      <c r="Q399" s="27"/>
    </row>
    <row r="400">
      <c r="A400" s="27"/>
      <c r="B400" s="35"/>
      <c r="C400" s="36"/>
      <c r="D400" s="36"/>
      <c r="E400" s="37"/>
      <c r="F400" s="38"/>
      <c r="G400" s="34"/>
      <c r="H400" s="37"/>
      <c r="I400" s="27"/>
      <c r="J400" s="27"/>
      <c r="K400" s="27"/>
      <c r="L400" s="27"/>
      <c r="M400" s="27"/>
      <c r="N400" s="27"/>
      <c r="O400" s="27"/>
      <c r="P400" s="27"/>
      <c r="Q400" s="27"/>
    </row>
    <row r="401">
      <c r="A401" s="27"/>
      <c r="B401" s="35"/>
      <c r="C401" s="36"/>
      <c r="D401" s="36"/>
      <c r="E401" s="37"/>
      <c r="F401" s="38"/>
      <c r="G401" s="34"/>
      <c r="H401" s="37"/>
      <c r="I401" s="27"/>
      <c r="J401" s="27"/>
      <c r="K401" s="27"/>
      <c r="L401" s="27"/>
      <c r="M401" s="27"/>
      <c r="N401" s="27"/>
      <c r="O401" s="27"/>
      <c r="P401" s="27"/>
      <c r="Q401" s="27"/>
    </row>
    <row r="402">
      <c r="A402" s="27"/>
      <c r="B402" s="35"/>
      <c r="C402" s="36"/>
      <c r="D402" s="36"/>
      <c r="E402" s="37"/>
      <c r="F402" s="38"/>
      <c r="G402" s="34"/>
      <c r="H402" s="37"/>
      <c r="I402" s="27"/>
      <c r="J402" s="27"/>
      <c r="K402" s="27"/>
      <c r="L402" s="27"/>
      <c r="M402" s="27"/>
      <c r="N402" s="27"/>
      <c r="O402" s="27"/>
      <c r="P402" s="27"/>
      <c r="Q402" s="27"/>
    </row>
    <row r="403">
      <c r="A403" s="27"/>
      <c r="B403" s="35"/>
      <c r="C403" s="36"/>
      <c r="D403" s="36"/>
      <c r="E403" s="37"/>
      <c r="F403" s="38"/>
      <c r="G403" s="34"/>
      <c r="H403" s="37"/>
      <c r="I403" s="27"/>
      <c r="J403" s="27"/>
      <c r="K403" s="27"/>
      <c r="L403" s="27"/>
      <c r="M403" s="27"/>
      <c r="N403" s="27"/>
      <c r="O403" s="27"/>
      <c r="P403" s="27"/>
      <c r="Q403" s="27"/>
    </row>
    <row r="404">
      <c r="A404" s="27"/>
      <c r="B404" s="35"/>
      <c r="C404" s="36"/>
      <c r="D404" s="36"/>
      <c r="E404" s="37"/>
      <c r="F404" s="38"/>
      <c r="G404" s="34"/>
      <c r="H404" s="37"/>
      <c r="I404" s="27"/>
      <c r="J404" s="27"/>
      <c r="K404" s="27"/>
      <c r="L404" s="27"/>
      <c r="M404" s="27"/>
      <c r="N404" s="27"/>
      <c r="O404" s="27"/>
      <c r="P404" s="27"/>
      <c r="Q404" s="27"/>
    </row>
    <row r="405">
      <c r="A405" s="27"/>
      <c r="B405" s="35"/>
      <c r="C405" s="36"/>
      <c r="D405" s="36"/>
      <c r="E405" s="37"/>
      <c r="F405" s="38"/>
      <c r="G405" s="34"/>
      <c r="H405" s="37"/>
      <c r="I405" s="27"/>
      <c r="J405" s="27"/>
      <c r="K405" s="27"/>
      <c r="L405" s="27"/>
      <c r="M405" s="27"/>
      <c r="N405" s="27"/>
      <c r="O405" s="27"/>
      <c r="P405" s="27"/>
      <c r="Q405" s="27"/>
    </row>
    <row r="406">
      <c r="A406" s="27"/>
      <c r="B406" s="35"/>
      <c r="C406" s="36"/>
      <c r="D406" s="36"/>
      <c r="E406" s="37"/>
      <c r="F406" s="38"/>
      <c r="G406" s="34"/>
      <c r="H406" s="37"/>
      <c r="I406" s="27"/>
      <c r="J406" s="27"/>
      <c r="K406" s="27"/>
      <c r="L406" s="27"/>
      <c r="M406" s="27"/>
      <c r="N406" s="27"/>
      <c r="O406" s="27"/>
      <c r="P406" s="27"/>
      <c r="Q406" s="27"/>
    </row>
    <row r="407">
      <c r="A407" s="27"/>
      <c r="B407" s="35"/>
      <c r="C407" s="36"/>
      <c r="D407" s="36"/>
      <c r="E407" s="37"/>
      <c r="F407" s="38"/>
      <c r="G407" s="34"/>
      <c r="H407" s="37"/>
      <c r="I407" s="27"/>
      <c r="J407" s="27"/>
      <c r="K407" s="27"/>
      <c r="L407" s="27"/>
      <c r="M407" s="27"/>
      <c r="N407" s="27"/>
      <c r="O407" s="27"/>
      <c r="P407" s="27"/>
      <c r="Q407" s="27"/>
    </row>
    <row r="408">
      <c r="A408" s="27"/>
      <c r="B408" s="35"/>
      <c r="C408" s="36"/>
      <c r="D408" s="36"/>
      <c r="E408" s="37"/>
      <c r="F408" s="38"/>
      <c r="G408" s="34"/>
      <c r="H408" s="37"/>
      <c r="I408" s="27"/>
      <c r="J408" s="27"/>
      <c r="K408" s="27"/>
      <c r="L408" s="27"/>
      <c r="M408" s="27"/>
      <c r="N408" s="27"/>
      <c r="O408" s="27"/>
      <c r="P408" s="27"/>
      <c r="Q408" s="27"/>
    </row>
    <row r="409">
      <c r="A409" s="27"/>
      <c r="B409" s="35"/>
      <c r="C409" s="36"/>
      <c r="D409" s="36"/>
      <c r="E409" s="37"/>
      <c r="F409" s="38"/>
      <c r="G409" s="34"/>
      <c r="H409" s="37"/>
      <c r="I409" s="27"/>
      <c r="J409" s="27"/>
      <c r="K409" s="27"/>
      <c r="L409" s="27"/>
      <c r="M409" s="27"/>
      <c r="N409" s="27"/>
      <c r="O409" s="27"/>
      <c r="P409" s="27"/>
      <c r="Q409" s="27"/>
    </row>
    <row r="410">
      <c r="A410" s="27"/>
      <c r="B410" s="35"/>
      <c r="C410" s="36"/>
      <c r="D410" s="36"/>
      <c r="E410" s="37"/>
      <c r="F410" s="38"/>
      <c r="G410" s="34"/>
      <c r="H410" s="37"/>
      <c r="I410" s="27"/>
      <c r="J410" s="27"/>
      <c r="K410" s="27"/>
      <c r="L410" s="27"/>
      <c r="M410" s="27"/>
      <c r="N410" s="27"/>
      <c r="O410" s="27"/>
      <c r="P410" s="27"/>
      <c r="Q410" s="27"/>
    </row>
    <row r="411">
      <c r="A411" s="27"/>
      <c r="B411" s="35"/>
      <c r="C411" s="36"/>
      <c r="D411" s="36"/>
      <c r="E411" s="37"/>
      <c r="F411" s="38"/>
      <c r="G411" s="34"/>
      <c r="H411" s="37"/>
      <c r="I411" s="27"/>
      <c r="J411" s="27"/>
      <c r="K411" s="27"/>
      <c r="L411" s="27"/>
      <c r="M411" s="27"/>
      <c r="N411" s="27"/>
      <c r="O411" s="27"/>
      <c r="P411" s="27"/>
      <c r="Q411" s="27"/>
    </row>
    <row r="412">
      <c r="A412" s="27"/>
      <c r="B412" s="35"/>
      <c r="C412" s="36"/>
      <c r="D412" s="36"/>
      <c r="E412" s="37"/>
      <c r="F412" s="38"/>
      <c r="G412" s="34"/>
      <c r="H412" s="37"/>
      <c r="I412" s="27"/>
      <c r="J412" s="27"/>
      <c r="K412" s="27"/>
      <c r="L412" s="27"/>
      <c r="M412" s="27"/>
      <c r="N412" s="27"/>
      <c r="O412" s="27"/>
      <c r="P412" s="27"/>
      <c r="Q412" s="27"/>
    </row>
    <row r="413">
      <c r="A413" s="27"/>
      <c r="B413" s="35"/>
      <c r="C413" s="36"/>
      <c r="D413" s="36"/>
      <c r="E413" s="37"/>
      <c r="F413" s="38"/>
      <c r="G413" s="34"/>
      <c r="H413" s="37"/>
      <c r="I413" s="27"/>
      <c r="J413" s="27"/>
      <c r="K413" s="27"/>
      <c r="L413" s="27"/>
      <c r="M413" s="27"/>
      <c r="N413" s="27"/>
      <c r="O413" s="27"/>
      <c r="P413" s="27"/>
      <c r="Q413" s="27"/>
    </row>
    <row r="414">
      <c r="A414" s="27"/>
      <c r="B414" s="35"/>
      <c r="C414" s="36"/>
      <c r="D414" s="36"/>
      <c r="E414" s="37"/>
      <c r="F414" s="38"/>
      <c r="G414" s="34"/>
      <c r="H414" s="37"/>
      <c r="I414" s="27"/>
      <c r="J414" s="27"/>
      <c r="K414" s="27"/>
      <c r="L414" s="27"/>
      <c r="M414" s="27"/>
      <c r="N414" s="27"/>
      <c r="O414" s="27"/>
      <c r="P414" s="27"/>
      <c r="Q414" s="27"/>
    </row>
    <row r="415">
      <c r="A415" s="27"/>
      <c r="B415" s="35"/>
      <c r="C415" s="36"/>
      <c r="D415" s="36"/>
      <c r="E415" s="37"/>
      <c r="F415" s="38"/>
      <c r="G415" s="34"/>
      <c r="H415" s="37"/>
      <c r="I415" s="27"/>
      <c r="J415" s="27"/>
      <c r="K415" s="27"/>
      <c r="L415" s="27"/>
      <c r="M415" s="27"/>
      <c r="N415" s="27"/>
      <c r="O415" s="27"/>
      <c r="P415" s="27"/>
      <c r="Q415" s="27"/>
    </row>
    <row r="416">
      <c r="A416" s="27"/>
      <c r="B416" s="35"/>
      <c r="C416" s="36"/>
      <c r="D416" s="36"/>
      <c r="E416" s="37"/>
      <c r="F416" s="38"/>
      <c r="G416" s="34"/>
      <c r="H416" s="37"/>
      <c r="I416" s="27"/>
      <c r="J416" s="27"/>
      <c r="K416" s="27"/>
      <c r="L416" s="27"/>
      <c r="M416" s="27"/>
      <c r="N416" s="27"/>
      <c r="O416" s="27"/>
      <c r="P416" s="27"/>
      <c r="Q416" s="27"/>
    </row>
    <row r="417">
      <c r="A417" s="27"/>
      <c r="B417" s="35"/>
      <c r="C417" s="36"/>
      <c r="D417" s="36"/>
      <c r="E417" s="37"/>
      <c r="F417" s="38"/>
      <c r="G417" s="34"/>
      <c r="H417" s="37"/>
      <c r="I417" s="27"/>
      <c r="J417" s="27"/>
      <c r="K417" s="27"/>
      <c r="L417" s="27"/>
      <c r="M417" s="27"/>
      <c r="N417" s="27"/>
      <c r="O417" s="27"/>
      <c r="P417" s="27"/>
      <c r="Q417" s="27"/>
    </row>
    <row r="418">
      <c r="A418" s="27"/>
      <c r="B418" s="35"/>
      <c r="C418" s="36"/>
      <c r="D418" s="36"/>
      <c r="E418" s="37"/>
      <c r="F418" s="38"/>
      <c r="G418" s="34"/>
      <c r="H418" s="37"/>
      <c r="I418" s="27"/>
      <c r="J418" s="27"/>
      <c r="K418" s="27"/>
      <c r="L418" s="27"/>
      <c r="M418" s="27"/>
      <c r="N418" s="27"/>
      <c r="O418" s="27"/>
      <c r="P418" s="27"/>
      <c r="Q418" s="27"/>
    </row>
    <row r="419">
      <c r="A419" s="27"/>
      <c r="B419" s="35"/>
      <c r="C419" s="36"/>
      <c r="D419" s="36"/>
      <c r="E419" s="37"/>
      <c r="F419" s="38"/>
      <c r="G419" s="34"/>
      <c r="H419" s="37"/>
      <c r="I419" s="27"/>
      <c r="J419" s="27"/>
      <c r="K419" s="27"/>
      <c r="L419" s="27"/>
      <c r="M419" s="27"/>
      <c r="N419" s="27"/>
      <c r="O419" s="27"/>
      <c r="P419" s="27"/>
      <c r="Q419" s="27"/>
    </row>
    <row r="420">
      <c r="A420" s="27"/>
      <c r="B420" s="35"/>
      <c r="C420" s="36"/>
      <c r="D420" s="36"/>
      <c r="E420" s="37"/>
      <c r="F420" s="38"/>
      <c r="G420" s="34"/>
      <c r="H420" s="37"/>
      <c r="I420" s="27"/>
      <c r="J420" s="27"/>
      <c r="K420" s="27"/>
      <c r="L420" s="27"/>
      <c r="M420" s="27"/>
      <c r="N420" s="27"/>
      <c r="O420" s="27"/>
      <c r="P420" s="27"/>
      <c r="Q420" s="27"/>
    </row>
    <row r="421">
      <c r="A421" s="27"/>
      <c r="B421" s="35"/>
      <c r="C421" s="36"/>
      <c r="D421" s="36"/>
      <c r="E421" s="37"/>
      <c r="F421" s="38"/>
      <c r="G421" s="34"/>
      <c r="H421" s="37"/>
      <c r="I421" s="27"/>
      <c r="J421" s="27"/>
      <c r="K421" s="27"/>
      <c r="L421" s="27"/>
      <c r="M421" s="27"/>
      <c r="N421" s="27"/>
      <c r="O421" s="27"/>
      <c r="P421" s="27"/>
      <c r="Q421" s="27"/>
    </row>
    <row r="422">
      <c r="A422" s="27"/>
      <c r="B422" s="35"/>
      <c r="C422" s="36"/>
      <c r="D422" s="36"/>
      <c r="E422" s="37"/>
      <c r="F422" s="38"/>
      <c r="G422" s="34"/>
      <c r="H422" s="37"/>
      <c r="I422" s="27"/>
      <c r="J422" s="27"/>
      <c r="K422" s="27"/>
      <c r="L422" s="27"/>
      <c r="M422" s="27"/>
      <c r="N422" s="27"/>
      <c r="O422" s="27"/>
      <c r="P422" s="27"/>
      <c r="Q422" s="27"/>
    </row>
    <row r="423">
      <c r="A423" s="27"/>
      <c r="B423" s="35"/>
      <c r="C423" s="36"/>
      <c r="D423" s="36"/>
      <c r="E423" s="37"/>
      <c r="F423" s="38"/>
      <c r="G423" s="34"/>
      <c r="H423" s="37"/>
      <c r="I423" s="27"/>
      <c r="J423" s="27"/>
      <c r="K423" s="27"/>
      <c r="L423" s="27"/>
      <c r="M423" s="27"/>
      <c r="N423" s="27"/>
      <c r="O423" s="27"/>
      <c r="P423" s="27"/>
      <c r="Q423" s="27"/>
    </row>
    <row r="424">
      <c r="A424" s="27"/>
      <c r="B424" s="35"/>
      <c r="C424" s="36"/>
      <c r="D424" s="36"/>
      <c r="E424" s="37"/>
      <c r="F424" s="38"/>
      <c r="G424" s="34"/>
      <c r="H424" s="37"/>
      <c r="I424" s="27"/>
      <c r="J424" s="27"/>
      <c r="K424" s="27"/>
      <c r="L424" s="27"/>
      <c r="M424" s="27"/>
      <c r="N424" s="27"/>
      <c r="O424" s="27"/>
      <c r="P424" s="27"/>
      <c r="Q424" s="27"/>
    </row>
    <row r="425">
      <c r="A425" s="27"/>
      <c r="B425" s="35"/>
      <c r="C425" s="36"/>
      <c r="D425" s="36"/>
      <c r="E425" s="37"/>
      <c r="F425" s="38"/>
      <c r="G425" s="34"/>
      <c r="H425" s="37"/>
      <c r="I425" s="27"/>
      <c r="J425" s="27"/>
      <c r="K425" s="27"/>
      <c r="L425" s="27"/>
      <c r="M425" s="27"/>
      <c r="N425" s="27"/>
      <c r="O425" s="27"/>
      <c r="P425" s="27"/>
      <c r="Q425" s="27"/>
    </row>
    <row r="426">
      <c r="A426" s="27"/>
      <c r="B426" s="35"/>
      <c r="C426" s="36"/>
      <c r="D426" s="36"/>
      <c r="E426" s="37"/>
      <c r="F426" s="38"/>
      <c r="G426" s="34"/>
      <c r="H426" s="37"/>
      <c r="I426" s="27"/>
      <c r="J426" s="27"/>
      <c r="K426" s="27"/>
      <c r="L426" s="27"/>
      <c r="M426" s="27"/>
      <c r="N426" s="27"/>
      <c r="O426" s="27"/>
      <c r="P426" s="27"/>
      <c r="Q426" s="27"/>
    </row>
    <row r="427">
      <c r="A427" s="27"/>
      <c r="B427" s="35"/>
      <c r="C427" s="36"/>
      <c r="D427" s="36"/>
      <c r="E427" s="37"/>
      <c r="F427" s="38"/>
      <c r="G427" s="34"/>
      <c r="H427" s="37"/>
      <c r="I427" s="27"/>
      <c r="J427" s="27"/>
      <c r="K427" s="27"/>
      <c r="L427" s="27"/>
      <c r="M427" s="27"/>
      <c r="N427" s="27"/>
      <c r="O427" s="27"/>
      <c r="P427" s="27"/>
      <c r="Q427" s="27"/>
    </row>
    <row r="428">
      <c r="A428" s="27"/>
      <c r="B428" s="35"/>
      <c r="C428" s="36"/>
      <c r="D428" s="36"/>
      <c r="E428" s="37"/>
      <c r="F428" s="38"/>
      <c r="G428" s="34"/>
      <c r="H428" s="37"/>
      <c r="I428" s="27"/>
      <c r="J428" s="27"/>
      <c r="K428" s="27"/>
      <c r="L428" s="27"/>
      <c r="M428" s="27"/>
      <c r="N428" s="27"/>
      <c r="O428" s="27"/>
      <c r="P428" s="27"/>
      <c r="Q428" s="27"/>
    </row>
    <row r="429">
      <c r="A429" s="27"/>
      <c r="B429" s="35"/>
      <c r="C429" s="36"/>
      <c r="D429" s="36"/>
      <c r="E429" s="37"/>
      <c r="F429" s="38"/>
      <c r="G429" s="34"/>
      <c r="H429" s="37"/>
      <c r="I429" s="27"/>
      <c r="J429" s="27"/>
      <c r="K429" s="27"/>
      <c r="L429" s="27"/>
      <c r="M429" s="27"/>
      <c r="N429" s="27"/>
      <c r="O429" s="27"/>
      <c r="P429" s="27"/>
      <c r="Q429" s="27"/>
    </row>
    <row r="430">
      <c r="A430" s="27"/>
      <c r="B430" s="35"/>
      <c r="C430" s="36"/>
      <c r="D430" s="36"/>
      <c r="E430" s="37"/>
      <c r="F430" s="38"/>
      <c r="G430" s="34"/>
      <c r="H430" s="37"/>
      <c r="I430" s="27"/>
      <c r="J430" s="27"/>
      <c r="K430" s="27"/>
      <c r="L430" s="27"/>
      <c r="M430" s="27"/>
      <c r="N430" s="27"/>
      <c r="O430" s="27"/>
      <c r="P430" s="27"/>
      <c r="Q430" s="27"/>
    </row>
    <row r="431">
      <c r="A431" s="27"/>
      <c r="B431" s="35"/>
      <c r="C431" s="36"/>
      <c r="D431" s="36"/>
      <c r="E431" s="37"/>
      <c r="F431" s="38"/>
      <c r="G431" s="34"/>
      <c r="H431" s="37"/>
      <c r="I431" s="27"/>
      <c r="J431" s="27"/>
      <c r="K431" s="27"/>
      <c r="L431" s="27"/>
      <c r="M431" s="27"/>
      <c r="N431" s="27"/>
      <c r="O431" s="27"/>
      <c r="P431" s="27"/>
      <c r="Q431" s="27"/>
    </row>
    <row r="432">
      <c r="A432" s="27"/>
      <c r="B432" s="35"/>
      <c r="C432" s="36"/>
      <c r="D432" s="36"/>
      <c r="E432" s="37"/>
      <c r="F432" s="38"/>
      <c r="G432" s="34"/>
      <c r="H432" s="37"/>
      <c r="I432" s="27"/>
      <c r="J432" s="27"/>
      <c r="K432" s="27"/>
      <c r="L432" s="27"/>
      <c r="M432" s="27"/>
      <c r="N432" s="27"/>
      <c r="O432" s="27"/>
      <c r="P432" s="27"/>
      <c r="Q432" s="27"/>
    </row>
    <row r="433">
      <c r="A433" s="27"/>
      <c r="B433" s="35"/>
      <c r="C433" s="36"/>
      <c r="D433" s="36"/>
      <c r="E433" s="37"/>
      <c r="F433" s="38"/>
      <c r="G433" s="34"/>
      <c r="H433" s="37"/>
      <c r="I433" s="27"/>
      <c r="J433" s="27"/>
      <c r="K433" s="27"/>
      <c r="L433" s="27"/>
      <c r="M433" s="27"/>
      <c r="N433" s="27"/>
      <c r="O433" s="27"/>
      <c r="P433" s="27"/>
      <c r="Q433" s="27"/>
    </row>
    <row r="434">
      <c r="A434" s="27"/>
      <c r="B434" s="35"/>
      <c r="C434" s="36"/>
      <c r="D434" s="36"/>
      <c r="E434" s="37"/>
      <c r="F434" s="38"/>
      <c r="G434" s="34"/>
      <c r="H434" s="37"/>
      <c r="I434" s="27"/>
      <c r="J434" s="27"/>
      <c r="K434" s="27"/>
      <c r="L434" s="27"/>
      <c r="M434" s="27"/>
      <c r="N434" s="27"/>
      <c r="O434" s="27"/>
      <c r="P434" s="27"/>
      <c r="Q434" s="27"/>
    </row>
    <row r="435">
      <c r="A435" s="27"/>
      <c r="B435" s="35"/>
      <c r="C435" s="36"/>
      <c r="D435" s="36"/>
      <c r="E435" s="37"/>
      <c r="F435" s="38"/>
      <c r="G435" s="34"/>
      <c r="H435" s="37"/>
      <c r="I435" s="27"/>
      <c r="J435" s="27"/>
      <c r="K435" s="27"/>
      <c r="L435" s="27"/>
      <c r="M435" s="27"/>
      <c r="N435" s="27"/>
      <c r="O435" s="27"/>
      <c r="P435" s="27"/>
      <c r="Q435" s="27"/>
    </row>
    <row r="436">
      <c r="A436" s="27"/>
      <c r="B436" s="35"/>
      <c r="C436" s="36"/>
      <c r="D436" s="36"/>
      <c r="E436" s="37"/>
      <c r="F436" s="38"/>
      <c r="G436" s="34"/>
      <c r="H436" s="37"/>
      <c r="I436" s="27"/>
      <c r="J436" s="27"/>
      <c r="K436" s="27"/>
      <c r="L436" s="27"/>
      <c r="M436" s="27"/>
      <c r="N436" s="27"/>
      <c r="O436" s="27"/>
      <c r="P436" s="27"/>
      <c r="Q436" s="27"/>
    </row>
    <row r="437">
      <c r="A437" s="27"/>
      <c r="B437" s="35"/>
      <c r="C437" s="36"/>
      <c r="D437" s="36"/>
      <c r="E437" s="37"/>
      <c r="F437" s="38"/>
      <c r="G437" s="34"/>
      <c r="H437" s="37"/>
      <c r="I437" s="27"/>
      <c r="J437" s="27"/>
      <c r="K437" s="27"/>
      <c r="L437" s="27"/>
      <c r="M437" s="27"/>
      <c r="N437" s="27"/>
      <c r="O437" s="27"/>
      <c r="P437" s="27"/>
      <c r="Q437" s="27"/>
    </row>
    <row r="438">
      <c r="A438" s="27"/>
      <c r="B438" s="35"/>
      <c r="C438" s="36"/>
      <c r="D438" s="36"/>
      <c r="E438" s="37"/>
      <c r="F438" s="38"/>
      <c r="G438" s="34"/>
      <c r="H438" s="37"/>
      <c r="I438" s="27"/>
      <c r="J438" s="27"/>
      <c r="K438" s="27"/>
      <c r="L438" s="27"/>
      <c r="M438" s="27"/>
      <c r="N438" s="27"/>
      <c r="O438" s="27"/>
      <c r="P438" s="27"/>
      <c r="Q438" s="27"/>
    </row>
    <row r="439">
      <c r="A439" s="27"/>
      <c r="B439" s="35"/>
      <c r="C439" s="36"/>
      <c r="D439" s="36"/>
      <c r="E439" s="37"/>
      <c r="F439" s="38"/>
      <c r="G439" s="34"/>
      <c r="H439" s="37"/>
      <c r="I439" s="27"/>
      <c r="J439" s="27"/>
      <c r="K439" s="27"/>
      <c r="L439" s="27"/>
      <c r="M439" s="27"/>
      <c r="N439" s="27"/>
      <c r="O439" s="27"/>
      <c r="P439" s="27"/>
      <c r="Q439" s="27"/>
    </row>
    <row r="440">
      <c r="A440" s="27"/>
      <c r="B440" s="35"/>
      <c r="C440" s="36"/>
      <c r="D440" s="36"/>
      <c r="E440" s="37"/>
      <c r="F440" s="38"/>
      <c r="G440" s="34"/>
      <c r="H440" s="37"/>
      <c r="I440" s="27"/>
      <c r="J440" s="27"/>
      <c r="K440" s="27"/>
      <c r="L440" s="27"/>
      <c r="M440" s="27"/>
      <c r="N440" s="27"/>
      <c r="O440" s="27"/>
      <c r="P440" s="27"/>
      <c r="Q440" s="27"/>
    </row>
    <row r="441">
      <c r="A441" s="27"/>
      <c r="B441" s="35"/>
      <c r="C441" s="36"/>
      <c r="D441" s="36"/>
      <c r="E441" s="37"/>
      <c r="F441" s="38"/>
      <c r="G441" s="34"/>
      <c r="H441" s="37"/>
      <c r="I441" s="27"/>
      <c r="J441" s="27"/>
      <c r="K441" s="27"/>
      <c r="L441" s="27"/>
      <c r="M441" s="27"/>
      <c r="N441" s="27"/>
      <c r="O441" s="27"/>
      <c r="P441" s="27"/>
      <c r="Q441" s="27"/>
    </row>
    <row r="442">
      <c r="A442" s="27"/>
      <c r="B442" s="35"/>
      <c r="C442" s="36"/>
      <c r="D442" s="36"/>
      <c r="E442" s="37"/>
      <c r="F442" s="38"/>
      <c r="G442" s="34"/>
      <c r="H442" s="37"/>
      <c r="I442" s="27"/>
      <c r="J442" s="27"/>
      <c r="K442" s="27"/>
      <c r="L442" s="27"/>
      <c r="M442" s="27"/>
      <c r="N442" s="27"/>
      <c r="O442" s="27"/>
      <c r="P442" s="27"/>
      <c r="Q442" s="27"/>
    </row>
    <row r="443">
      <c r="A443" s="27"/>
      <c r="B443" s="35"/>
      <c r="C443" s="36"/>
      <c r="D443" s="36"/>
      <c r="E443" s="37"/>
      <c r="F443" s="38"/>
      <c r="G443" s="34"/>
      <c r="H443" s="37"/>
      <c r="I443" s="27"/>
      <c r="J443" s="27"/>
      <c r="K443" s="27"/>
      <c r="L443" s="27"/>
      <c r="M443" s="27"/>
      <c r="N443" s="27"/>
      <c r="O443" s="27"/>
      <c r="P443" s="27"/>
      <c r="Q443" s="27"/>
    </row>
    <row r="444">
      <c r="A444" s="27"/>
      <c r="B444" s="35"/>
      <c r="C444" s="36"/>
      <c r="D444" s="36"/>
      <c r="E444" s="37"/>
      <c r="F444" s="38"/>
      <c r="G444" s="34"/>
      <c r="H444" s="37"/>
      <c r="I444" s="27"/>
      <c r="J444" s="27"/>
      <c r="K444" s="27"/>
      <c r="L444" s="27"/>
      <c r="M444" s="27"/>
      <c r="N444" s="27"/>
      <c r="O444" s="27"/>
      <c r="P444" s="27"/>
      <c r="Q444" s="27"/>
    </row>
    <row r="445">
      <c r="A445" s="27"/>
      <c r="B445" s="35"/>
      <c r="C445" s="36"/>
      <c r="D445" s="36"/>
      <c r="E445" s="37"/>
      <c r="F445" s="38"/>
      <c r="G445" s="34"/>
      <c r="H445" s="37"/>
      <c r="I445" s="27"/>
      <c r="J445" s="27"/>
      <c r="K445" s="27"/>
      <c r="L445" s="27"/>
      <c r="M445" s="27"/>
      <c r="N445" s="27"/>
      <c r="O445" s="27"/>
      <c r="P445" s="27"/>
      <c r="Q445" s="27"/>
    </row>
    <row r="446">
      <c r="A446" s="27"/>
      <c r="B446" s="35"/>
      <c r="C446" s="36"/>
      <c r="D446" s="36"/>
      <c r="E446" s="37"/>
      <c r="F446" s="38"/>
      <c r="G446" s="34"/>
      <c r="H446" s="37"/>
      <c r="I446" s="27"/>
      <c r="J446" s="27"/>
      <c r="K446" s="27"/>
      <c r="L446" s="27"/>
      <c r="M446" s="27"/>
      <c r="N446" s="27"/>
      <c r="O446" s="27"/>
      <c r="P446" s="27"/>
      <c r="Q446" s="27"/>
    </row>
    <row r="447">
      <c r="A447" s="27"/>
      <c r="B447" s="35"/>
      <c r="C447" s="36"/>
      <c r="D447" s="36"/>
      <c r="E447" s="37"/>
      <c r="F447" s="38"/>
      <c r="G447" s="34"/>
      <c r="H447" s="37"/>
      <c r="I447" s="27"/>
      <c r="J447" s="27"/>
      <c r="K447" s="27"/>
      <c r="L447" s="27"/>
      <c r="M447" s="27"/>
      <c r="N447" s="27"/>
      <c r="O447" s="27"/>
      <c r="P447" s="27"/>
      <c r="Q447" s="27"/>
    </row>
    <row r="448">
      <c r="A448" s="27"/>
      <c r="B448" s="35"/>
      <c r="C448" s="36"/>
      <c r="D448" s="36"/>
      <c r="E448" s="37"/>
      <c r="F448" s="38"/>
      <c r="G448" s="34"/>
      <c r="H448" s="37"/>
      <c r="I448" s="27"/>
      <c r="J448" s="27"/>
      <c r="K448" s="27"/>
      <c r="L448" s="27"/>
      <c r="M448" s="27"/>
      <c r="N448" s="27"/>
      <c r="O448" s="27"/>
      <c r="P448" s="27"/>
      <c r="Q448" s="27"/>
    </row>
    <row r="449">
      <c r="A449" s="27"/>
      <c r="B449" s="35"/>
      <c r="C449" s="36"/>
      <c r="D449" s="36"/>
      <c r="E449" s="37"/>
      <c r="F449" s="38"/>
      <c r="G449" s="34"/>
      <c r="H449" s="37"/>
      <c r="I449" s="27"/>
      <c r="J449" s="27"/>
      <c r="K449" s="27"/>
      <c r="L449" s="27"/>
      <c r="M449" s="27"/>
      <c r="N449" s="27"/>
      <c r="O449" s="27"/>
      <c r="P449" s="27"/>
      <c r="Q449" s="27"/>
    </row>
    <row r="450">
      <c r="A450" s="27"/>
      <c r="B450" s="35"/>
      <c r="C450" s="36"/>
      <c r="D450" s="36"/>
      <c r="E450" s="37"/>
      <c r="F450" s="38"/>
      <c r="G450" s="34"/>
      <c r="H450" s="37"/>
      <c r="I450" s="27"/>
      <c r="J450" s="27"/>
      <c r="K450" s="27"/>
      <c r="L450" s="27"/>
      <c r="M450" s="27"/>
      <c r="N450" s="27"/>
      <c r="O450" s="27"/>
      <c r="P450" s="27"/>
      <c r="Q450" s="27"/>
    </row>
    <row r="451">
      <c r="A451" s="27"/>
      <c r="B451" s="35"/>
      <c r="C451" s="36"/>
      <c r="D451" s="36"/>
      <c r="E451" s="37"/>
      <c r="F451" s="38"/>
      <c r="G451" s="34"/>
      <c r="H451" s="37"/>
      <c r="I451" s="27"/>
      <c r="J451" s="27"/>
      <c r="K451" s="27"/>
      <c r="L451" s="27"/>
      <c r="M451" s="27"/>
      <c r="N451" s="27"/>
      <c r="O451" s="27"/>
      <c r="P451" s="27"/>
      <c r="Q451" s="27"/>
    </row>
    <row r="452">
      <c r="A452" s="27"/>
      <c r="B452" s="35"/>
      <c r="C452" s="36"/>
      <c r="D452" s="36"/>
      <c r="E452" s="37"/>
      <c r="F452" s="38"/>
      <c r="G452" s="34"/>
      <c r="H452" s="37"/>
      <c r="I452" s="27"/>
      <c r="J452" s="27"/>
      <c r="K452" s="27"/>
      <c r="L452" s="27"/>
      <c r="M452" s="27"/>
      <c r="N452" s="27"/>
      <c r="O452" s="27"/>
      <c r="P452" s="27"/>
      <c r="Q452" s="27"/>
    </row>
    <row r="453">
      <c r="A453" s="27"/>
      <c r="B453" s="35"/>
      <c r="C453" s="36"/>
      <c r="D453" s="36"/>
      <c r="E453" s="37"/>
      <c r="F453" s="38"/>
      <c r="G453" s="34"/>
      <c r="H453" s="37"/>
      <c r="I453" s="27"/>
      <c r="J453" s="27"/>
      <c r="K453" s="27"/>
      <c r="L453" s="27"/>
      <c r="M453" s="27"/>
      <c r="N453" s="27"/>
      <c r="O453" s="27"/>
      <c r="P453" s="27"/>
      <c r="Q453" s="27"/>
    </row>
    <row r="454">
      <c r="A454" s="27"/>
      <c r="B454" s="35"/>
      <c r="C454" s="36"/>
      <c r="D454" s="36"/>
      <c r="E454" s="37"/>
      <c r="F454" s="38"/>
      <c r="G454" s="34"/>
      <c r="H454" s="37"/>
      <c r="I454" s="27"/>
      <c r="J454" s="27"/>
      <c r="K454" s="27"/>
      <c r="L454" s="27"/>
      <c r="M454" s="27"/>
      <c r="N454" s="27"/>
      <c r="O454" s="27"/>
      <c r="P454" s="27"/>
      <c r="Q454" s="27"/>
    </row>
    <row r="455">
      <c r="A455" s="27"/>
      <c r="B455" s="35"/>
      <c r="C455" s="36"/>
      <c r="D455" s="36"/>
      <c r="E455" s="37"/>
      <c r="F455" s="38"/>
      <c r="G455" s="34"/>
      <c r="H455" s="37"/>
      <c r="I455" s="27"/>
      <c r="J455" s="27"/>
      <c r="K455" s="27"/>
      <c r="L455" s="27"/>
      <c r="M455" s="27"/>
      <c r="N455" s="27"/>
      <c r="O455" s="27"/>
      <c r="P455" s="27"/>
      <c r="Q455" s="27"/>
    </row>
    <row r="456">
      <c r="A456" s="27"/>
      <c r="B456" s="35"/>
      <c r="C456" s="36"/>
      <c r="D456" s="36"/>
      <c r="E456" s="37"/>
      <c r="F456" s="38"/>
      <c r="G456" s="34"/>
      <c r="H456" s="37"/>
      <c r="I456" s="27"/>
      <c r="J456" s="27"/>
      <c r="K456" s="27"/>
      <c r="L456" s="27"/>
      <c r="M456" s="27"/>
      <c r="N456" s="27"/>
      <c r="O456" s="27"/>
      <c r="P456" s="27"/>
      <c r="Q456" s="27"/>
    </row>
    <row r="457">
      <c r="A457" s="27"/>
      <c r="B457" s="35"/>
      <c r="C457" s="36"/>
      <c r="D457" s="36"/>
      <c r="E457" s="37"/>
      <c r="F457" s="38"/>
      <c r="G457" s="34"/>
      <c r="H457" s="37"/>
      <c r="I457" s="27"/>
      <c r="J457" s="27"/>
      <c r="K457" s="27"/>
      <c r="L457" s="27"/>
      <c r="M457" s="27"/>
      <c r="N457" s="27"/>
      <c r="O457" s="27"/>
      <c r="P457" s="27"/>
      <c r="Q457" s="27"/>
    </row>
    <row r="458">
      <c r="A458" s="27"/>
      <c r="B458" s="35"/>
      <c r="C458" s="36"/>
      <c r="D458" s="36"/>
      <c r="E458" s="37"/>
      <c r="F458" s="38"/>
      <c r="G458" s="34"/>
      <c r="H458" s="37"/>
      <c r="I458" s="27"/>
      <c r="J458" s="27"/>
      <c r="K458" s="27"/>
      <c r="L458" s="27"/>
      <c r="M458" s="27"/>
      <c r="N458" s="27"/>
      <c r="O458" s="27"/>
      <c r="P458" s="27"/>
      <c r="Q458" s="27"/>
    </row>
    <row r="459">
      <c r="A459" s="27"/>
      <c r="B459" s="35"/>
      <c r="C459" s="36"/>
      <c r="D459" s="36"/>
      <c r="E459" s="37"/>
      <c r="F459" s="38"/>
      <c r="G459" s="34"/>
      <c r="H459" s="37"/>
      <c r="I459" s="27"/>
      <c r="J459" s="27"/>
      <c r="K459" s="27"/>
      <c r="L459" s="27"/>
      <c r="M459" s="27"/>
      <c r="N459" s="27"/>
      <c r="O459" s="27"/>
      <c r="P459" s="27"/>
      <c r="Q459" s="27"/>
    </row>
    <row r="460">
      <c r="A460" s="27"/>
      <c r="B460" s="35"/>
      <c r="C460" s="36"/>
      <c r="D460" s="36"/>
      <c r="E460" s="37"/>
      <c r="F460" s="38"/>
      <c r="G460" s="34"/>
      <c r="H460" s="37"/>
      <c r="I460" s="27"/>
      <c r="J460" s="27"/>
      <c r="K460" s="27"/>
      <c r="L460" s="27"/>
      <c r="M460" s="27"/>
      <c r="N460" s="27"/>
      <c r="O460" s="27"/>
      <c r="P460" s="27"/>
      <c r="Q460" s="27"/>
    </row>
    <row r="461">
      <c r="A461" s="27"/>
      <c r="B461" s="35"/>
      <c r="C461" s="36"/>
      <c r="D461" s="36"/>
      <c r="E461" s="37"/>
      <c r="F461" s="38"/>
      <c r="G461" s="34"/>
      <c r="H461" s="37"/>
      <c r="I461" s="27"/>
      <c r="J461" s="27"/>
      <c r="K461" s="27"/>
      <c r="L461" s="27"/>
      <c r="M461" s="27"/>
      <c r="N461" s="27"/>
      <c r="O461" s="27"/>
      <c r="P461" s="27"/>
      <c r="Q461" s="27"/>
    </row>
    <row r="462">
      <c r="A462" s="27"/>
      <c r="B462" s="35"/>
      <c r="C462" s="36"/>
      <c r="D462" s="36"/>
      <c r="E462" s="37"/>
      <c r="F462" s="38"/>
      <c r="G462" s="34"/>
      <c r="H462" s="37"/>
      <c r="I462" s="27"/>
      <c r="J462" s="27"/>
      <c r="K462" s="27"/>
      <c r="L462" s="27"/>
      <c r="M462" s="27"/>
      <c r="N462" s="27"/>
      <c r="O462" s="27"/>
      <c r="P462" s="27"/>
      <c r="Q462" s="27"/>
    </row>
    <row r="463">
      <c r="A463" s="27"/>
      <c r="B463" s="35"/>
      <c r="C463" s="36"/>
      <c r="D463" s="36"/>
      <c r="E463" s="37"/>
      <c r="F463" s="38"/>
      <c r="G463" s="34"/>
      <c r="H463" s="37"/>
      <c r="I463" s="27"/>
      <c r="J463" s="27"/>
      <c r="K463" s="27"/>
      <c r="L463" s="27"/>
      <c r="M463" s="27"/>
      <c r="N463" s="27"/>
      <c r="O463" s="27"/>
      <c r="P463" s="27"/>
      <c r="Q463" s="27"/>
    </row>
    <row r="464">
      <c r="A464" s="27"/>
      <c r="B464" s="35"/>
      <c r="C464" s="36"/>
      <c r="D464" s="36"/>
      <c r="E464" s="37"/>
      <c r="F464" s="38"/>
      <c r="G464" s="34"/>
      <c r="H464" s="37"/>
      <c r="I464" s="27"/>
      <c r="J464" s="27"/>
      <c r="K464" s="27"/>
      <c r="L464" s="27"/>
      <c r="M464" s="27"/>
      <c r="N464" s="27"/>
      <c r="O464" s="27"/>
      <c r="P464" s="27"/>
      <c r="Q464" s="27"/>
    </row>
    <row r="465">
      <c r="A465" s="27"/>
      <c r="B465" s="35"/>
      <c r="C465" s="36"/>
      <c r="D465" s="36"/>
      <c r="E465" s="37"/>
      <c r="F465" s="38"/>
      <c r="G465" s="34"/>
      <c r="H465" s="37"/>
      <c r="I465" s="27"/>
      <c r="J465" s="27"/>
      <c r="K465" s="27"/>
      <c r="L465" s="27"/>
      <c r="M465" s="27"/>
      <c r="N465" s="27"/>
      <c r="O465" s="27"/>
      <c r="P465" s="27"/>
      <c r="Q465" s="27"/>
    </row>
    <row r="466">
      <c r="A466" s="27"/>
      <c r="B466" s="35"/>
      <c r="C466" s="36"/>
      <c r="D466" s="36"/>
      <c r="E466" s="37"/>
      <c r="F466" s="38"/>
      <c r="G466" s="34"/>
      <c r="H466" s="37"/>
      <c r="I466" s="27"/>
      <c r="J466" s="27"/>
      <c r="K466" s="27"/>
      <c r="L466" s="27"/>
      <c r="M466" s="27"/>
      <c r="N466" s="27"/>
      <c r="O466" s="27"/>
      <c r="P466" s="27"/>
      <c r="Q466" s="27"/>
    </row>
    <row r="467">
      <c r="A467" s="27"/>
      <c r="B467" s="35"/>
      <c r="C467" s="36"/>
      <c r="D467" s="36"/>
      <c r="E467" s="37"/>
      <c r="F467" s="38"/>
      <c r="G467" s="34"/>
      <c r="H467" s="37"/>
      <c r="I467" s="27"/>
      <c r="J467" s="27"/>
      <c r="K467" s="27"/>
      <c r="L467" s="27"/>
      <c r="M467" s="27"/>
      <c r="N467" s="27"/>
      <c r="O467" s="27"/>
      <c r="P467" s="27"/>
      <c r="Q467" s="27"/>
    </row>
    <row r="468">
      <c r="A468" s="27"/>
      <c r="B468" s="35"/>
      <c r="C468" s="36"/>
      <c r="D468" s="36"/>
      <c r="E468" s="37"/>
      <c r="F468" s="38"/>
      <c r="G468" s="34"/>
      <c r="H468" s="37"/>
      <c r="I468" s="27"/>
      <c r="J468" s="27"/>
      <c r="K468" s="27"/>
      <c r="L468" s="27"/>
      <c r="M468" s="27"/>
      <c r="N468" s="27"/>
      <c r="O468" s="27"/>
      <c r="P468" s="27"/>
      <c r="Q468" s="27"/>
    </row>
    <row r="469">
      <c r="A469" s="27"/>
      <c r="B469" s="35"/>
      <c r="C469" s="36"/>
      <c r="D469" s="36"/>
      <c r="E469" s="37"/>
      <c r="F469" s="38"/>
      <c r="G469" s="34"/>
      <c r="H469" s="37"/>
      <c r="I469" s="27"/>
      <c r="J469" s="27"/>
      <c r="K469" s="27"/>
      <c r="L469" s="27"/>
      <c r="M469" s="27"/>
      <c r="N469" s="27"/>
      <c r="O469" s="27"/>
      <c r="P469" s="27"/>
      <c r="Q469" s="27"/>
    </row>
    <row r="470">
      <c r="A470" s="27"/>
      <c r="B470" s="35"/>
      <c r="C470" s="36"/>
      <c r="D470" s="36"/>
      <c r="E470" s="37"/>
      <c r="F470" s="38"/>
      <c r="G470" s="34"/>
      <c r="H470" s="37"/>
      <c r="I470" s="27"/>
      <c r="J470" s="27"/>
      <c r="K470" s="27"/>
      <c r="L470" s="27"/>
      <c r="M470" s="27"/>
      <c r="N470" s="27"/>
      <c r="O470" s="27"/>
      <c r="P470" s="27"/>
      <c r="Q470" s="27"/>
    </row>
    <row r="471">
      <c r="A471" s="27"/>
      <c r="B471" s="35"/>
      <c r="C471" s="36"/>
      <c r="D471" s="36"/>
      <c r="E471" s="37"/>
      <c r="F471" s="38"/>
      <c r="G471" s="34"/>
      <c r="H471" s="37"/>
      <c r="I471" s="27"/>
      <c r="J471" s="27"/>
      <c r="K471" s="27"/>
      <c r="L471" s="27"/>
      <c r="M471" s="27"/>
      <c r="N471" s="27"/>
      <c r="O471" s="27"/>
      <c r="P471" s="27"/>
      <c r="Q471" s="27"/>
    </row>
    <row r="472">
      <c r="A472" s="27"/>
      <c r="B472" s="35"/>
      <c r="C472" s="36"/>
      <c r="D472" s="36"/>
      <c r="E472" s="37"/>
      <c r="F472" s="38"/>
      <c r="G472" s="34"/>
      <c r="H472" s="37"/>
      <c r="I472" s="27"/>
      <c r="J472" s="27"/>
      <c r="K472" s="27"/>
      <c r="L472" s="27"/>
      <c r="M472" s="27"/>
      <c r="N472" s="27"/>
      <c r="O472" s="27"/>
      <c r="P472" s="27"/>
      <c r="Q472" s="27"/>
    </row>
    <row r="473">
      <c r="A473" s="27"/>
      <c r="B473" s="35"/>
      <c r="C473" s="36"/>
      <c r="D473" s="36"/>
      <c r="E473" s="37"/>
      <c r="F473" s="38"/>
      <c r="G473" s="34"/>
      <c r="H473" s="37"/>
      <c r="I473" s="27"/>
      <c r="J473" s="27"/>
      <c r="K473" s="27"/>
      <c r="L473" s="27"/>
      <c r="M473" s="27"/>
      <c r="N473" s="27"/>
      <c r="O473" s="27"/>
      <c r="P473" s="27"/>
      <c r="Q473" s="27"/>
    </row>
    <row r="474">
      <c r="A474" s="27"/>
      <c r="B474" s="35"/>
      <c r="C474" s="36"/>
      <c r="D474" s="36"/>
      <c r="E474" s="37"/>
      <c r="F474" s="38"/>
      <c r="G474" s="34"/>
      <c r="H474" s="37"/>
      <c r="I474" s="27"/>
      <c r="J474" s="27"/>
      <c r="K474" s="27"/>
      <c r="L474" s="27"/>
      <c r="M474" s="27"/>
      <c r="N474" s="27"/>
      <c r="O474" s="27"/>
      <c r="P474" s="27"/>
      <c r="Q474" s="27"/>
    </row>
    <row r="475">
      <c r="A475" s="27"/>
      <c r="B475" s="35"/>
      <c r="C475" s="36"/>
      <c r="D475" s="36"/>
      <c r="E475" s="37"/>
      <c r="F475" s="38"/>
      <c r="G475" s="34"/>
      <c r="H475" s="37"/>
      <c r="I475" s="27"/>
      <c r="J475" s="27"/>
      <c r="K475" s="27"/>
      <c r="L475" s="27"/>
      <c r="M475" s="27"/>
      <c r="N475" s="27"/>
      <c r="O475" s="27"/>
      <c r="P475" s="27"/>
      <c r="Q475" s="27"/>
    </row>
    <row r="476">
      <c r="A476" s="27"/>
      <c r="B476" s="35"/>
      <c r="C476" s="36"/>
      <c r="D476" s="36"/>
      <c r="E476" s="37"/>
      <c r="F476" s="38"/>
      <c r="G476" s="34"/>
      <c r="H476" s="37"/>
      <c r="I476" s="27"/>
      <c r="J476" s="27"/>
      <c r="K476" s="27"/>
      <c r="L476" s="27"/>
      <c r="M476" s="27"/>
      <c r="N476" s="27"/>
      <c r="O476" s="27"/>
      <c r="P476" s="27"/>
      <c r="Q476" s="27"/>
    </row>
    <row r="477">
      <c r="A477" s="27"/>
      <c r="B477" s="35"/>
      <c r="C477" s="36"/>
      <c r="D477" s="36"/>
      <c r="E477" s="37"/>
      <c r="F477" s="38"/>
      <c r="G477" s="34"/>
      <c r="H477" s="37"/>
      <c r="I477" s="27"/>
      <c r="J477" s="27"/>
      <c r="K477" s="27"/>
      <c r="L477" s="27"/>
      <c r="M477" s="27"/>
      <c r="N477" s="27"/>
      <c r="O477" s="27"/>
      <c r="P477" s="27"/>
      <c r="Q477" s="27"/>
    </row>
    <row r="478">
      <c r="A478" s="27"/>
      <c r="B478" s="35"/>
      <c r="C478" s="36"/>
      <c r="D478" s="36"/>
      <c r="E478" s="37"/>
      <c r="F478" s="38"/>
      <c r="G478" s="34"/>
      <c r="H478" s="37"/>
      <c r="I478" s="27"/>
      <c r="J478" s="27"/>
      <c r="K478" s="27"/>
      <c r="L478" s="27"/>
      <c r="M478" s="27"/>
      <c r="N478" s="27"/>
      <c r="O478" s="27"/>
      <c r="P478" s="27"/>
      <c r="Q478" s="27"/>
    </row>
    <row r="479">
      <c r="A479" s="27"/>
      <c r="B479" s="35"/>
      <c r="C479" s="36"/>
      <c r="D479" s="36"/>
      <c r="E479" s="37"/>
      <c r="F479" s="38"/>
      <c r="G479" s="34"/>
      <c r="H479" s="37"/>
      <c r="I479" s="27"/>
      <c r="J479" s="27"/>
      <c r="K479" s="27"/>
      <c r="L479" s="27"/>
      <c r="M479" s="27"/>
      <c r="N479" s="27"/>
      <c r="O479" s="27"/>
      <c r="P479" s="27"/>
      <c r="Q479" s="27"/>
    </row>
    <row r="480">
      <c r="A480" s="27"/>
      <c r="B480" s="35"/>
      <c r="C480" s="36"/>
      <c r="D480" s="36"/>
      <c r="E480" s="37"/>
      <c r="F480" s="38"/>
      <c r="G480" s="34"/>
      <c r="H480" s="37"/>
      <c r="I480" s="27"/>
      <c r="J480" s="27"/>
      <c r="K480" s="27"/>
      <c r="L480" s="27"/>
      <c r="M480" s="27"/>
      <c r="N480" s="27"/>
      <c r="O480" s="27"/>
      <c r="P480" s="27"/>
      <c r="Q480" s="27"/>
    </row>
    <row r="481">
      <c r="A481" s="27"/>
      <c r="B481" s="35"/>
      <c r="C481" s="36"/>
      <c r="D481" s="36"/>
      <c r="E481" s="37"/>
      <c r="F481" s="38"/>
      <c r="G481" s="34"/>
      <c r="H481" s="37"/>
      <c r="I481" s="27"/>
      <c r="J481" s="27"/>
      <c r="K481" s="27"/>
      <c r="L481" s="27"/>
      <c r="M481" s="27"/>
      <c r="N481" s="27"/>
      <c r="O481" s="27"/>
      <c r="P481" s="27"/>
      <c r="Q481" s="27"/>
    </row>
    <row r="482">
      <c r="A482" s="27"/>
      <c r="B482" s="35"/>
      <c r="C482" s="36"/>
      <c r="D482" s="36"/>
      <c r="E482" s="37"/>
      <c r="F482" s="38"/>
      <c r="G482" s="34"/>
      <c r="H482" s="37"/>
      <c r="I482" s="27"/>
      <c r="J482" s="27"/>
      <c r="K482" s="27"/>
      <c r="L482" s="27"/>
      <c r="M482" s="27"/>
      <c r="N482" s="27"/>
      <c r="O482" s="27"/>
      <c r="P482" s="27"/>
      <c r="Q482" s="27"/>
    </row>
    <row r="483">
      <c r="A483" s="27"/>
      <c r="B483" s="35"/>
      <c r="C483" s="36"/>
      <c r="D483" s="36"/>
      <c r="E483" s="37"/>
      <c r="F483" s="38"/>
      <c r="G483" s="34"/>
      <c r="H483" s="37"/>
      <c r="I483" s="27"/>
      <c r="J483" s="27"/>
      <c r="K483" s="27"/>
      <c r="L483" s="27"/>
      <c r="M483" s="27"/>
      <c r="N483" s="27"/>
      <c r="O483" s="27"/>
      <c r="P483" s="27"/>
      <c r="Q483" s="27"/>
    </row>
    <row r="484">
      <c r="A484" s="27"/>
      <c r="B484" s="35"/>
      <c r="C484" s="36"/>
      <c r="D484" s="36"/>
      <c r="E484" s="37"/>
      <c r="F484" s="38"/>
      <c r="G484" s="34"/>
      <c r="H484" s="37"/>
      <c r="I484" s="27"/>
      <c r="J484" s="27"/>
      <c r="K484" s="27"/>
      <c r="L484" s="27"/>
      <c r="M484" s="27"/>
      <c r="N484" s="27"/>
      <c r="O484" s="27"/>
      <c r="P484" s="27"/>
      <c r="Q484" s="27"/>
    </row>
    <row r="485">
      <c r="A485" s="27"/>
      <c r="B485" s="35"/>
      <c r="C485" s="36"/>
      <c r="D485" s="36"/>
      <c r="E485" s="37"/>
      <c r="F485" s="38"/>
      <c r="G485" s="34"/>
      <c r="H485" s="37"/>
      <c r="I485" s="27"/>
      <c r="J485" s="27"/>
      <c r="K485" s="27"/>
      <c r="L485" s="27"/>
      <c r="M485" s="27"/>
      <c r="N485" s="27"/>
      <c r="O485" s="27"/>
      <c r="P485" s="27"/>
      <c r="Q485" s="27"/>
    </row>
    <row r="486">
      <c r="A486" s="27"/>
      <c r="B486" s="35"/>
      <c r="C486" s="36"/>
      <c r="D486" s="36"/>
      <c r="E486" s="37"/>
      <c r="F486" s="38"/>
      <c r="G486" s="34"/>
      <c r="H486" s="37"/>
      <c r="I486" s="27"/>
      <c r="J486" s="27"/>
      <c r="K486" s="27"/>
      <c r="L486" s="27"/>
      <c r="M486" s="27"/>
      <c r="N486" s="27"/>
      <c r="O486" s="27"/>
      <c r="P486" s="27"/>
      <c r="Q486" s="27"/>
    </row>
    <row r="487">
      <c r="A487" s="27"/>
      <c r="B487" s="35"/>
      <c r="C487" s="36"/>
      <c r="D487" s="36"/>
      <c r="E487" s="37"/>
      <c r="F487" s="38"/>
      <c r="G487" s="34"/>
      <c r="H487" s="37"/>
      <c r="I487" s="27"/>
      <c r="J487" s="27"/>
      <c r="K487" s="27"/>
      <c r="L487" s="27"/>
      <c r="M487" s="27"/>
      <c r="N487" s="27"/>
      <c r="O487" s="27"/>
      <c r="P487" s="27"/>
      <c r="Q487" s="27"/>
    </row>
    <row r="488">
      <c r="A488" s="27"/>
      <c r="B488" s="35"/>
      <c r="C488" s="36"/>
      <c r="D488" s="36"/>
      <c r="E488" s="37"/>
      <c r="F488" s="38"/>
      <c r="G488" s="34"/>
      <c r="H488" s="37"/>
      <c r="I488" s="27"/>
      <c r="J488" s="27"/>
      <c r="K488" s="27"/>
      <c r="L488" s="27"/>
      <c r="M488" s="27"/>
      <c r="N488" s="27"/>
      <c r="O488" s="27"/>
      <c r="P488" s="27"/>
      <c r="Q488" s="27"/>
    </row>
    <row r="489">
      <c r="A489" s="27"/>
      <c r="B489" s="35"/>
      <c r="C489" s="36"/>
      <c r="D489" s="36"/>
      <c r="E489" s="37"/>
      <c r="F489" s="38"/>
      <c r="G489" s="34"/>
      <c r="H489" s="37"/>
      <c r="I489" s="27"/>
      <c r="J489" s="27"/>
      <c r="K489" s="27"/>
      <c r="L489" s="27"/>
      <c r="M489" s="27"/>
      <c r="N489" s="27"/>
      <c r="O489" s="27"/>
      <c r="P489" s="27"/>
      <c r="Q489" s="27"/>
    </row>
    <row r="490">
      <c r="A490" s="27"/>
      <c r="B490" s="35"/>
      <c r="C490" s="36"/>
      <c r="D490" s="36"/>
      <c r="E490" s="37"/>
      <c r="F490" s="38"/>
      <c r="G490" s="34"/>
      <c r="H490" s="37"/>
      <c r="I490" s="27"/>
      <c r="J490" s="27"/>
      <c r="K490" s="27"/>
      <c r="L490" s="27"/>
      <c r="M490" s="27"/>
      <c r="N490" s="27"/>
      <c r="O490" s="27"/>
      <c r="P490" s="27"/>
      <c r="Q490" s="27"/>
    </row>
    <row r="491">
      <c r="A491" s="27"/>
      <c r="B491" s="35"/>
      <c r="C491" s="36"/>
      <c r="D491" s="36"/>
      <c r="E491" s="37"/>
      <c r="F491" s="38"/>
      <c r="G491" s="34"/>
      <c r="H491" s="37"/>
      <c r="I491" s="27"/>
      <c r="J491" s="27"/>
      <c r="K491" s="27"/>
      <c r="L491" s="27"/>
      <c r="M491" s="27"/>
      <c r="N491" s="27"/>
      <c r="O491" s="27"/>
      <c r="P491" s="27"/>
      <c r="Q491" s="27"/>
    </row>
    <row r="492">
      <c r="A492" s="27"/>
      <c r="B492" s="35"/>
      <c r="C492" s="36"/>
      <c r="D492" s="36"/>
      <c r="E492" s="37"/>
      <c r="F492" s="38"/>
      <c r="G492" s="34"/>
      <c r="H492" s="37"/>
      <c r="I492" s="27"/>
      <c r="J492" s="27"/>
      <c r="K492" s="27"/>
      <c r="L492" s="27"/>
      <c r="M492" s="27"/>
      <c r="N492" s="27"/>
      <c r="O492" s="27"/>
      <c r="P492" s="27"/>
      <c r="Q492" s="27"/>
    </row>
    <row r="493">
      <c r="A493" s="27"/>
      <c r="B493" s="35"/>
      <c r="C493" s="36"/>
      <c r="D493" s="36"/>
      <c r="E493" s="37"/>
      <c r="F493" s="38"/>
      <c r="G493" s="34"/>
      <c r="H493" s="37"/>
      <c r="I493" s="27"/>
      <c r="J493" s="27"/>
      <c r="K493" s="27"/>
      <c r="L493" s="27"/>
      <c r="M493" s="27"/>
      <c r="N493" s="27"/>
      <c r="O493" s="27"/>
      <c r="P493" s="27"/>
      <c r="Q493" s="27"/>
    </row>
    <row r="494">
      <c r="A494" s="27"/>
      <c r="B494" s="35"/>
      <c r="C494" s="36"/>
      <c r="D494" s="36"/>
      <c r="E494" s="37"/>
      <c r="F494" s="38"/>
      <c r="G494" s="34"/>
      <c r="H494" s="37"/>
      <c r="I494" s="27"/>
      <c r="J494" s="27"/>
      <c r="K494" s="27"/>
      <c r="L494" s="27"/>
      <c r="M494" s="27"/>
      <c r="N494" s="27"/>
      <c r="O494" s="27"/>
      <c r="P494" s="27"/>
      <c r="Q494" s="27"/>
    </row>
    <row r="495">
      <c r="A495" s="27"/>
      <c r="B495" s="35"/>
      <c r="C495" s="36"/>
      <c r="D495" s="36"/>
      <c r="E495" s="37"/>
      <c r="F495" s="38"/>
      <c r="G495" s="34"/>
      <c r="H495" s="37"/>
      <c r="I495" s="27"/>
      <c r="J495" s="27"/>
      <c r="K495" s="27"/>
      <c r="L495" s="27"/>
      <c r="M495" s="27"/>
      <c r="N495" s="27"/>
      <c r="O495" s="27"/>
      <c r="P495" s="27"/>
      <c r="Q495" s="27"/>
    </row>
    <row r="496">
      <c r="A496" s="27"/>
      <c r="B496" s="35"/>
      <c r="C496" s="36"/>
      <c r="D496" s="36"/>
      <c r="E496" s="37"/>
      <c r="F496" s="38"/>
      <c r="G496" s="34"/>
      <c r="H496" s="37"/>
      <c r="I496" s="27"/>
      <c r="J496" s="27"/>
      <c r="K496" s="27"/>
      <c r="L496" s="27"/>
      <c r="M496" s="27"/>
      <c r="N496" s="27"/>
      <c r="O496" s="27"/>
      <c r="P496" s="27"/>
      <c r="Q496" s="27"/>
    </row>
    <row r="497">
      <c r="A497" s="27"/>
      <c r="B497" s="35"/>
      <c r="C497" s="36"/>
      <c r="D497" s="36"/>
      <c r="E497" s="37"/>
      <c r="F497" s="38"/>
      <c r="G497" s="34"/>
      <c r="H497" s="37"/>
      <c r="I497" s="27"/>
      <c r="J497" s="27"/>
      <c r="K497" s="27"/>
      <c r="L497" s="27"/>
      <c r="M497" s="27"/>
      <c r="N497" s="27"/>
      <c r="O497" s="27"/>
      <c r="P497" s="27"/>
      <c r="Q497" s="27"/>
    </row>
    <row r="498">
      <c r="A498" s="27"/>
      <c r="B498" s="35"/>
      <c r="C498" s="36"/>
      <c r="D498" s="36"/>
      <c r="E498" s="37"/>
      <c r="F498" s="38"/>
      <c r="G498" s="34"/>
      <c r="H498" s="37"/>
      <c r="I498" s="27"/>
      <c r="J498" s="27"/>
      <c r="K498" s="27"/>
      <c r="L498" s="27"/>
      <c r="M498" s="27"/>
      <c r="N498" s="27"/>
      <c r="O498" s="27"/>
      <c r="P498" s="27"/>
      <c r="Q498" s="27"/>
    </row>
    <row r="499">
      <c r="A499" s="27"/>
      <c r="B499" s="35"/>
      <c r="C499" s="36"/>
      <c r="D499" s="36"/>
      <c r="E499" s="37"/>
      <c r="F499" s="38"/>
      <c r="G499" s="34"/>
      <c r="H499" s="37"/>
      <c r="I499" s="27"/>
      <c r="J499" s="27"/>
      <c r="K499" s="27"/>
      <c r="L499" s="27"/>
      <c r="M499" s="27"/>
      <c r="N499" s="27"/>
      <c r="O499" s="27"/>
      <c r="P499" s="27"/>
      <c r="Q499" s="27"/>
    </row>
    <row r="500">
      <c r="A500" s="27"/>
      <c r="B500" s="35"/>
      <c r="C500" s="36"/>
      <c r="D500" s="36"/>
      <c r="E500" s="37"/>
      <c r="F500" s="38"/>
      <c r="G500" s="34"/>
      <c r="H500" s="37"/>
      <c r="I500" s="27"/>
      <c r="J500" s="27"/>
      <c r="K500" s="27"/>
      <c r="L500" s="27"/>
      <c r="M500" s="27"/>
      <c r="N500" s="27"/>
      <c r="O500" s="27"/>
      <c r="P500" s="27"/>
      <c r="Q500" s="27"/>
    </row>
    <row r="501">
      <c r="A501" s="27"/>
      <c r="B501" s="35"/>
      <c r="C501" s="36"/>
      <c r="D501" s="36"/>
      <c r="E501" s="37"/>
      <c r="F501" s="38"/>
      <c r="G501" s="34"/>
      <c r="H501" s="37"/>
      <c r="I501" s="27"/>
      <c r="J501" s="27"/>
      <c r="K501" s="27"/>
      <c r="L501" s="27"/>
      <c r="M501" s="27"/>
      <c r="N501" s="27"/>
      <c r="O501" s="27"/>
      <c r="P501" s="27"/>
      <c r="Q501" s="27"/>
    </row>
    <row r="502">
      <c r="A502" s="27"/>
      <c r="B502" s="35"/>
      <c r="C502" s="36"/>
      <c r="D502" s="36"/>
      <c r="E502" s="37"/>
      <c r="F502" s="38"/>
      <c r="G502" s="34"/>
      <c r="H502" s="37"/>
      <c r="I502" s="27"/>
      <c r="J502" s="27"/>
      <c r="K502" s="27"/>
      <c r="L502" s="27"/>
      <c r="M502" s="27"/>
      <c r="N502" s="27"/>
      <c r="O502" s="27"/>
      <c r="P502" s="27"/>
      <c r="Q502" s="27"/>
    </row>
    <row r="503">
      <c r="A503" s="27"/>
      <c r="B503" s="35"/>
      <c r="C503" s="36"/>
      <c r="D503" s="36"/>
      <c r="E503" s="37"/>
      <c r="F503" s="38"/>
      <c r="G503" s="34"/>
      <c r="H503" s="37"/>
      <c r="I503" s="27"/>
      <c r="J503" s="27"/>
      <c r="K503" s="27"/>
      <c r="L503" s="27"/>
      <c r="M503" s="27"/>
      <c r="N503" s="27"/>
      <c r="O503" s="27"/>
      <c r="P503" s="27"/>
      <c r="Q503" s="27"/>
    </row>
    <row r="504">
      <c r="A504" s="27"/>
      <c r="B504" s="35"/>
      <c r="C504" s="36"/>
      <c r="D504" s="36"/>
      <c r="E504" s="37"/>
      <c r="F504" s="38"/>
      <c r="G504" s="34"/>
      <c r="H504" s="37"/>
      <c r="I504" s="27"/>
      <c r="J504" s="27"/>
      <c r="K504" s="27"/>
      <c r="L504" s="27"/>
      <c r="M504" s="27"/>
      <c r="N504" s="27"/>
      <c r="O504" s="27"/>
      <c r="P504" s="27"/>
      <c r="Q504" s="27"/>
    </row>
    <row r="505">
      <c r="A505" s="27"/>
      <c r="B505" s="35"/>
      <c r="C505" s="36"/>
      <c r="D505" s="36"/>
      <c r="E505" s="37"/>
      <c r="F505" s="38"/>
      <c r="G505" s="34"/>
      <c r="H505" s="37"/>
      <c r="I505" s="27"/>
      <c r="J505" s="27"/>
      <c r="K505" s="27"/>
      <c r="L505" s="27"/>
      <c r="M505" s="27"/>
      <c r="N505" s="27"/>
      <c r="O505" s="27"/>
      <c r="P505" s="27"/>
      <c r="Q505" s="27"/>
    </row>
    <row r="506">
      <c r="A506" s="27"/>
      <c r="B506" s="35"/>
      <c r="C506" s="36"/>
      <c r="D506" s="36"/>
      <c r="E506" s="37"/>
      <c r="F506" s="38"/>
      <c r="G506" s="34"/>
      <c r="H506" s="37"/>
      <c r="I506" s="27"/>
      <c r="J506" s="27"/>
      <c r="K506" s="27"/>
      <c r="L506" s="27"/>
      <c r="M506" s="27"/>
      <c r="N506" s="27"/>
      <c r="O506" s="27"/>
      <c r="P506" s="27"/>
      <c r="Q506" s="27"/>
    </row>
    <row r="507">
      <c r="A507" s="27"/>
      <c r="B507" s="35"/>
      <c r="C507" s="36"/>
      <c r="D507" s="36"/>
      <c r="E507" s="37"/>
      <c r="F507" s="38"/>
      <c r="G507" s="34"/>
      <c r="H507" s="37"/>
      <c r="I507" s="27"/>
      <c r="J507" s="27"/>
      <c r="K507" s="27"/>
      <c r="L507" s="27"/>
      <c r="M507" s="27"/>
      <c r="N507" s="27"/>
      <c r="O507" s="27"/>
      <c r="P507" s="27"/>
      <c r="Q507" s="27"/>
    </row>
    <row r="508">
      <c r="A508" s="27"/>
      <c r="B508" s="35"/>
      <c r="C508" s="36"/>
      <c r="D508" s="36"/>
      <c r="E508" s="37"/>
      <c r="F508" s="38"/>
      <c r="G508" s="34"/>
      <c r="H508" s="37"/>
      <c r="I508" s="27"/>
      <c r="J508" s="27"/>
      <c r="K508" s="27"/>
      <c r="L508" s="27"/>
      <c r="M508" s="27"/>
      <c r="N508" s="27"/>
      <c r="O508" s="27"/>
      <c r="P508" s="27"/>
      <c r="Q508" s="27"/>
    </row>
    <row r="509">
      <c r="A509" s="27"/>
      <c r="B509" s="35"/>
      <c r="C509" s="36"/>
      <c r="D509" s="36"/>
      <c r="E509" s="37"/>
      <c r="F509" s="38"/>
      <c r="G509" s="34"/>
      <c r="H509" s="37"/>
      <c r="I509" s="27"/>
      <c r="J509" s="27"/>
      <c r="K509" s="27"/>
      <c r="L509" s="27"/>
      <c r="M509" s="27"/>
      <c r="N509" s="27"/>
      <c r="O509" s="27"/>
      <c r="P509" s="27"/>
      <c r="Q509" s="27"/>
    </row>
    <row r="510">
      <c r="A510" s="27"/>
      <c r="B510" s="35"/>
      <c r="C510" s="36"/>
      <c r="D510" s="36"/>
      <c r="E510" s="37"/>
      <c r="F510" s="38"/>
      <c r="G510" s="34"/>
      <c r="H510" s="37"/>
      <c r="I510" s="27"/>
      <c r="J510" s="27"/>
      <c r="K510" s="27"/>
      <c r="L510" s="27"/>
      <c r="M510" s="27"/>
      <c r="N510" s="27"/>
      <c r="O510" s="27"/>
      <c r="P510" s="27"/>
      <c r="Q510" s="27"/>
    </row>
    <row r="511">
      <c r="A511" s="27"/>
      <c r="B511" s="35"/>
      <c r="C511" s="36"/>
      <c r="D511" s="36"/>
      <c r="E511" s="37"/>
      <c r="F511" s="38"/>
      <c r="G511" s="34"/>
      <c r="H511" s="37"/>
      <c r="I511" s="27"/>
      <c r="J511" s="27"/>
      <c r="K511" s="27"/>
      <c r="L511" s="27"/>
      <c r="M511" s="27"/>
      <c r="N511" s="27"/>
      <c r="O511" s="27"/>
      <c r="P511" s="27"/>
      <c r="Q511" s="27"/>
    </row>
    <row r="512">
      <c r="A512" s="27"/>
      <c r="B512" s="35"/>
      <c r="C512" s="36"/>
      <c r="D512" s="36"/>
      <c r="E512" s="37"/>
      <c r="F512" s="38"/>
      <c r="G512" s="34"/>
      <c r="H512" s="37"/>
      <c r="I512" s="27"/>
      <c r="J512" s="27"/>
      <c r="K512" s="27"/>
      <c r="L512" s="27"/>
      <c r="M512" s="27"/>
      <c r="N512" s="27"/>
      <c r="O512" s="27"/>
      <c r="P512" s="27"/>
      <c r="Q512" s="27"/>
    </row>
    <row r="513">
      <c r="A513" s="27"/>
      <c r="B513" s="35"/>
      <c r="C513" s="36"/>
      <c r="D513" s="36"/>
      <c r="E513" s="37"/>
      <c r="F513" s="38"/>
      <c r="G513" s="34"/>
      <c r="H513" s="37"/>
      <c r="I513" s="27"/>
      <c r="J513" s="27"/>
      <c r="K513" s="27"/>
      <c r="L513" s="27"/>
      <c r="M513" s="27"/>
      <c r="N513" s="27"/>
      <c r="O513" s="27"/>
      <c r="P513" s="27"/>
      <c r="Q513" s="27"/>
    </row>
    <row r="514">
      <c r="A514" s="27"/>
      <c r="B514" s="35"/>
      <c r="C514" s="36"/>
      <c r="D514" s="36"/>
      <c r="E514" s="37"/>
      <c r="F514" s="38"/>
      <c r="G514" s="34"/>
      <c r="H514" s="37"/>
      <c r="I514" s="27"/>
      <c r="J514" s="27"/>
      <c r="K514" s="27"/>
      <c r="L514" s="27"/>
      <c r="M514" s="27"/>
      <c r="N514" s="27"/>
      <c r="O514" s="27"/>
      <c r="P514" s="27"/>
      <c r="Q514" s="27"/>
    </row>
    <row r="515">
      <c r="A515" s="27"/>
      <c r="B515" s="35"/>
      <c r="C515" s="36"/>
      <c r="D515" s="36"/>
      <c r="E515" s="37"/>
      <c r="F515" s="38"/>
      <c r="G515" s="34"/>
      <c r="H515" s="37"/>
      <c r="I515" s="27"/>
      <c r="J515" s="27"/>
      <c r="K515" s="27"/>
      <c r="L515" s="27"/>
      <c r="M515" s="27"/>
      <c r="N515" s="27"/>
      <c r="O515" s="27"/>
      <c r="P515" s="27"/>
      <c r="Q515" s="27"/>
    </row>
    <row r="516">
      <c r="A516" s="27"/>
      <c r="B516" s="35"/>
      <c r="C516" s="36"/>
      <c r="D516" s="36"/>
      <c r="E516" s="37"/>
      <c r="F516" s="38"/>
      <c r="G516" s="34"/>
      <c r="H516" s="37"/>
      <c r="I516" s="27"/>
      <c r="J516" s="27"/>
      <c r="K516" s="27"/>
      <c r="L516" s="27"/>
      <c r="M516" s="27"/>
      <c r="N516" s="27"/>
      <c r="O516" s="27"/>
      <c r="P516" s="27"/>
      <c r="Q516" s="27"/>
    </row>
    <row r="517">
      <c r="A517" s="27"/>
      <c r="B517" s="35"/>
      <c r="C517" s="36"/>
      <c r="D517" s="36"/>
      <c r="E517" s="37"/>
      <c r="F517" s="38"/>
      <c r="G517" s="34"/>
      <c r="H517" s="37"/>
      <c r="I517" s="27"/>
      <c r="J517" s="27"/>
      <c r="K517" s="27"/>
      <c r="L517" s="27"/>
      <c r="M517" s="27"/>
      <c r="N517" s="27"/>
      <c r="O517" s="27"/>
      <c r="P517" s="27"/>
      <c r="Q517" s="27"/>
    </row>
    <row r="518">
      <c r="A518" s="27"/>
      <c r="B518" s="35"/>
      <c r="C518" s="36"/>
      <c r="D518" s="36"/>
      <c r="E518" s="37"/>
      <c r="F518" s="38"/>
      <c r="G518" s="34"/>
      <c r="H518" s="37"/>
      <c r="I518" s="27"/>
      <c r="J518" s="27"/>
      <c r="K518" s="27"/>
      <c r="L518" s="27"/>
      <c r="M518" s="27"/>
      <c r="N518" s="27"/>
      <c r="O518" s="27"/>
      <c r="P518" s="27"/>
      <c r="Q518" s="27"/>
    </row>
    <row r="519">
      <c r="A519" s="27"/>
      <c r="B519" s="35"/>
      <c r="C519" s="36"/>
      <c r="D519" s="36"/>
      <c r="E519" s="37"/>
      <c r="F519" s="38"/>
      <c r="G519" s="34"/>
      <c r="H519" s="37"/>
      <c r="I519" s="27"/>
      <c r="J519" s="27"/>
      <c r="K519" s="27"/>
      <c r="L519" s="27"/>
      <c r="M519" s="27"/>
      <c r="N519" s="27"/>
      <c r="O519" s="27"/>
      <c r="P519" s="27"/>
      <c r="Q519" s="27"/>
    </row>
    <row r="520">
      <c r="A520" s="27"/>
      <c r="B520" s="35"/>
      <c r="C520" s="36"/>
      <c r="D520" s="36"/>
      <c r="E520" s="37"/>
      <c r="F520" s="38"/>
      <c r="G520" s="34"/>
      <c r="H520" s="37"/>
      <c r="I520" s="27"/>
      <c r="J520" s="27"/>
      <c r="K520" s="27"/>
      <c r="L520" s="27"/>
      <c r="M520" s="27"/>
      <c r="N520" s="27"/>
      <c r="O520" s="27"/>
      <c r="P520" s="27"/>
      <c r="Q520" s="27"/>
    </row>
    <row r="521">
      <c r="A521" s="27"/>
      <c r="B521" s="35"/>
      <c r="C521" s="36"/>
      <c r="D521" s="36"/>
      <c r="E521" s="37"/>
      <c r="F521" s="38"/>
      <c r="G521" s="34"/>
      <c r="H521" s="37"/>
      <c r="I521" s="27"/>
      <c r="J521" s="27"/>
      <c r="K521" s="27"/>
      <c r="L521" s="27"/>
      <c r="M521" s="27"/>
      <c r="N521" s="27"/>
      <c r="O521" s="27"/>
      <c r="P521" s="27"/>
      <c r="Q521" s="27"/>
    </row>
    <row r="522">
      <c r="A522" s="27"/>
      <c r="B522" s="35"/>
      <c r="C522" s="36"/>
      <c r="D522" s="36"/>
      <c r="E522" s="37"/>
      <c r="F522" s="38"/>
      <c r="G522" s="34"/>
      <c r="H522" s="37"/>
      <c r="I522" s="27"/>
      <c r="J522" s="27"/>
      <c r="K522" s="27"/>
      <c r="L522" s="27"/>
      <c r="M522" s="27"/>
      <c r="N522" s="27"/>
      <c r="O522" s="27"/>
      <c r="P522" s="27"/>
      <c r="Q522" s="27"/>
    </row>
    <row r="523">
      <c r="A523" s="27"/>
      <c r="B523" s="35"/>
      <c r="C523" s="36"/>
      <c r="D523" s="36"/>
      <c r="E523" s="37"/>
      <c r="F523" s="38"/>
      <c r="G523" s="34"/>
      <c r="H523" s="37"/>
      <c r="I523" s="27"/>
      <c r="J523" s="27"/>
      <c r="K523" s="27"/>
      <c r="L523" s="27"/>
      <c r="M523" s="27"/>
      <c r="N523" s="27"/>
      <c r="O523" s="27"/>
      <c r="P523" s="27"/>
      <c r="Q523" s="27"/>
    </row>
    <row r="524">
      <c r="A524" s="27"/>
      <c r="B524" s="35"/>
      <c r="C524" s="36"/>
      <c r="D524" s="36"/>
      <c r="E524" s="37"/>
      <c r="F524" s="38"/>
      <c r="G524" s="34"/>
      <c r="H524" s="37"/>
      <c r="I524" s="27"/>
      <c r="J524" s="27"/>
      <c r="K524" s="27"/>
      <c r="L524" s="27"/>
      <c r="M524" s="27"/>
      <c r="N524" s="27"/>
      <c r="O524" s="27"/>
      <c r="P524" s="27"/>
      <c r="Q524" s="27"/>
    </row>
    <row r="525">
      <c r="A525" s="27"/>
      <c r="B525" s="35"/>
      <c r="C525" s="36"/>
      <c r="D525" s="36"/>
      <c r="E525" s="37"/>
      <c r="F525" s="38"/>
      <c r="G525" s="34"/>
      <c r="H525" s="37"/>
      <c r="I525" s="27"/>
      <c r="J525" s="27"/>
      <c r="K525" s="27"/>
      <c r="L525" s="27"/>
      <c r="M525" s="27"/>
      <c r="N525" s="27"/>
      <c r="O525" s="27"/>
      <c r="P525" s="27"/>
      <c r="Q525" s="27"/>
    </row>
    <row r="526">
      <c r="A526" s="27"/>
      <c r="B526" s="35"/>
      <c r="C526" s="36"/>
      <c r="D526" s="36"/>
      <c r="E526" s="37"/>
      <c r="F526" s="38"/>
      <c r="G526" s="34"/>
      <c r="H526" s="37"/>
      <c r="I526" s="27"/>
      <c r="J526" s="27"/>
      <c r="K526" s="27"/>
      <c r="L526" s="27"/>
      <c r="M526" s="27"/>
      <c r="N526" s="27"/>
      <c r="O526" s="27"/>
      <c r="P526" s="27"/>
      <c r="Q526" s="27"/>
    </row>
    <row r="527">
      <c r="A527" s="27"/>
      <c r="B527" s="35"/>
      <c r="C527" s="36"/>
      <c r="D527" s="36"/>
      <c r="E527" s="37"/>
      <c r="F527" s="38"/>
      <c r="G527" s="34"/>
      <c r="H527" s="37"/>
      <c r="I527" s="27"/>
      <c r="J527" s="27"/>
      <c r="K527" s="27"/>
      <c r="L527" s="27"/>
      <c r="M527" s="27"/>
      <c r="N527" s="27"/>
      <c r="O527" s="27"/>
      <c r="P527" s="27"/>
      <c r="Q527" s="27"/>
    </row>
    <row r="528">
      <c r="A528" s="27"/>
      <c r="B528" s="35"/>
      <c r="C528" s="36"/>
      <c r="D528" s="36"/>
      <c r="E528" s="37"/>
      <c r="F528" s="38"/>
      <c r="G528" s="34"/>
      <c r="H528" s="37"/>
      <c r="I528" s="27"/>
      <c r="J528" s="27"/>
      <c r="K528" s="27"/>
      <c r="L528" s="27"/>
      <c r="M528" s="27"/>
      <c r="N528" s="27"/>
      <c r="O528" s="27"/>
      <c r="P528" s="27"/>
      <c r="Q528" s="27"/>
    </row>
    <row r="529">
      <c r="A529" s="27"/>
      <c r="B529" s="35"/>
      <c r="C529" s="36"/>
      <c r="D529" s="36"/>
      <c r="E529" s="37"/>
      <c r="F529" s="38"/>
      <c r="G529" s="34"/>
      <c r="H529" s="37"/>
      <c r="I529" s="27"/>
      <c r="J529" s="27"/>
      <c r="K529" s="27"/>
      <c r="L529" s="27"/>
      <c r="M529" s="27"/>
      <c r="N529" s="27"/>
      <c r="O529" s="27"/>
      <c r="P529" s="27"/>
      <c r="Q529" s="27"/>
    </row>
    <row r="530">
      <c r="A530" s="27"/>
      <c r="B530" s="35"/>
      <c r="C530" s="36"/>
      <c r="D530" s="36"/>
      <c r="E530" s="37"/>
      <c r="F530" s="38"/>
      <c r="G530" s="34"/>
      <c r="H530" s="37"/>
      <c r="I530" s="27"/>
      <c r="J530" s="27"/>
      <c r="K530" s="27"/>
      <c r="L530" s="27"/>
      <c r="M530" s="27"/>
      <c r="N530" s="27"/>
      <c r="O530" s="27"/>
      <c r="P530" s="27"/>
      <c r="Q530" s="27"/>
    </row>
    <row r="531">
      <c r="A531" s="27"/>
      <c r="B531" s="35"/>
      <c r="C531" s="36"/>
      <c r="D531" s="36"/>
      <c r="E531" s="37"/>
      <c r="F531" s="38"/>
      <c r="G531" s="34"/>
      <c r="H531" s="37"/>
      <c r="I531" s="27"/>
      <c r="J531" s="27"/>
      <c r="K531" s="27"/>
      <c r="L531" s="27"/>
      <c r="M531" s="27"/>
      <c r="N531" s="27"/>
      <c r="O531" s="27"/>
      <c r="P531" s="27"/>
      <c r="Q531" s="27"/>
    </row>
    <row r="532">
      <c r="A532" s="27"/>
      <c r="B532" s="35"/>
      <c r="C532" s="36"/>
      <c r="D532" s="36"/>
      <c r="E532" s="37"/>
      <c r="F532" s="38"/>
      <c r="G532" s="34"/>
      <c r="H532" s="37"/>
      <c r="I532" s="27"/>
      <c r="J532" s="27"/>
      <c r="K532" s="27"/>
      <c r="L532" s="27"/>
      <c r="M532" s="27"/>
      <c r="N532" s="27"/>
      <c r="O532" s="27"/>
      <c r="P532" s="27"/>
      <c r="Q532" s="27"/>
    </row>
    <row r="533">
      <c r="A533" s="27"/>
      <c r="B533" s="35"/>
      <c r="C533" s="36"/>
      <c r="D533" s="36"/>
      <c r="E533" s="37"/>
      <c r="F533" s="38"/>
      <c r="G533" s="34"/>
      <c r="H533" s="37"/>
      <c r="I533" s="27"/>
      <c r="J533" s="27"/>
      <c r="K533" s="27"/>
      <c r="L533" s="27"/>
      <c r="M533" s="27"/>
      <c r="N533" s="27"/>
      <c r="O533" s="27"/>
      <c r="P533" s="27"/>
      <c r="Q533" s="27"/>
    </row>
    <row r="534">
      <c r="A534" s="27"/>
      <c r="B534" s="35"/>
      <c r="C534" s="36"/>
      <c r="D534" s="36"/>
      <c r="E534" s="37"/>
      <c r="F534" s="38"/>
      <c r="G534" s="34"/>
      <c r="H534" s="37"/>
      <c r="I534" s="27"/>
      <c r="J534" s="27"/>
      <c r="K534" s="27"/>
      <c r="L534" s="27"/>
      <c r="M534" s="27"/>
      <c r="N534" s="27"/>
      <c r="O534" s="27"/>
      <c r="P534" s="27"/>
      <c r="Q534" s="27"/>
    </row>
    <row r="535">
      <c r="A535" s="27"/>
      <c r="B535" s="35"/>
      <c r="C535" s="36"/>
      <c r="D535" s="36"/>
      <c r="E535" s="37"/>
      <c r="F535" s="38"/>
      <c r="G535" s="34"/>
      <c r="H535" s="37"/>
      <c r="I535" s="27"/>
      <c r="J535" s="27"/>
      <c r="K535" s="27"/>
      <c r="L535" s="27"/>
      <c r="M535" s="27"/>
      <c r="N535" s="27"/>
      <c r="O535" s="27"/>
      <c r="P535" s="27"/>
      <c r="Q535" s="27"/>
    </row>
    <row r="536">
      <c r="A536" s="27"/>
      <c r="B536" s="35"/>
      <c r="C536" s="36"/>
      <c r="D536" s="36"/>
      <c r="E536" s="37"/>
      <c r="F536" s="38"/>
      <c r="G536" s="34"/>
      <c r="H536" s="37"/>
      <c r="I536" s="27"/>
      <c r="J536" s="27"/>
      <c r="K536" s="27"/>
      <c r="L536" s="27"/>
      <c r="M536" s="27"/>
      <c r="N536" s="27"/>
      <c r="O536" s="27"/>
      <c r="P536" s="27"/>
      <c r="Q536" s="27"/>
    </row>
    <row r="537">
      <c r="A537" s="27"/>
      <c r="B537" s="35"/>
      <c r="C537" s="36"/>
      <c r="D537" s="36"/>
      <c r="E537" s="37"/>
      <c r="F537" s="38"/>
      <c r="G537" s="34"/>
      <c r="H537" s="37"/>
      <c r="I537" s="27"/>
      <c r="J537" s="27"/>
      <c r="K537" s="27"/>
      <c r="L537" s="27"/>
      <c r="M537" s="27"/>
      <c r="N537" s="27"/>
      <c r="O537" s="27"/>
      <c r="P537" s="27"/>
      <c r="Q537" s="27"/>
    </row>
    <row r="538">
      <c r="A538" s="27"/>
      <c r="B538" s="35"/>
      <c r="C538" s="36"/>
      <c r="D538" s="36"/>
      <c r="E538" s="37"/>
      <c r="F538" s="38"/>
      <c r="G538" s="34"/>
      <c r="H538" s="37"/>
      <c r="I538" s="27"/>
      <c r="J538" s="27"/>
      <c r="K538" s="27"/>
      <c r="L538" s="27"/>
      <c r="M538" s="27"/>
      <c r="N538" s="27"/>
      <c r="O538" s="27"/>
      <c r="P538" s="27"/>
      <c r="Q538" s="27"/>
    </row>
    <row r="539">
      <c r="A539" s="27"/>
      <c r="B539" s="35"/>
      <c r="C539" s="36"/>
      <c r="D539" s="36"/>
      <c r="E539" s="37"/>
      <c r="F539" s="38"/>
      <c r="G539" s="34"/>
      <c r="H539" s="37"/>
      <c r="I539" s="27"/>
      <c r="J539" s="27"/>
      <c r="K539" s="27"/>
      <c r="L539" s="27"/>
      <c r="M539" s="27"/>
      <c r="N539" s="27"/>
      <c r="O539" s="27"/>
      <c r="P539" s="27"/>
      <c r="Q539" s="27"/>
    </row>
    <row r="540">
      <c r="A540" s="27"/>
      <c r="B540" s="35"/>
      <c r="C540" s="36"/>
      <c r="D540" s="36"/>
      <c r="E540" s="37"/>
      <c r="F540" s="38"/>
      <c r="G540" s="34"/>
      <c r="H540" s="37"/>
      <c r="I540" s="27"/>
      <c r="J540" s="27"/>
      <c r="K540" s="27"/>
      <c r="L540" s="27"/>
      <c r="M540" s="27"/>
      <c r="N540" s="27"/>
      <c r="O540" s="27"/>
      <c r="P540" s="27"/>
      <c r="Q540" s="27"/>
    </row>
    <row r="541">
      <c r="A541" s="27"/>
      <c r="B541" s="35"/>
      <c r="C541" s="36"/>
      <c r="D541" s="36"/>
      <c r="E541" s="37"/>
      <c r="F541" s="38"/>
      <c r="G541" s="34"/>
      <c r="H541" s="37"/>
      <c r="I541" s="27"/>
      <c r="J541" s="27"/>
      <c r="K541" s="27"/>
      <c r="L541" s="27"/>
      <c r="M541" s="27"/>
      <c r="N541" s="27"/>
      <c r="O541" s="27"/>
      <c r="P541" s="27"/>
      <c r="Q541" s="27"/>
    </row>
    <row r="542">
      <c r="A542" s="27"/>
      <c r="B542" s="35"/>
      <c r="C542" s="36"/>
      <c r="D542" s="36"/>
      <c r="E542" s="37"/>
      <c r="F542" s="38"/>
      <c r="G542" s="34"/>
      <c r="H542" s="37"/>
      <c r="I542" s="27"/>
      <c r="J542" s="27"/>
      <c r="K542" s="27"/>
      <c r="L542" s="27"/>
      <c r="M542" s="27"/>
      <c r="N542" s="27"/>
      <c r="O542" s="27"/>
      <c r="P542" s="27"/>
      <c r="Q542" s="27"/>
    </row>
    <row r="543">
      <c r="A543" s="27"/>
      <c r="B543" s="35"/>
      <c r="C543" s="36"/>
      <c r="D543" s="36"/>
      <c r="E543" s="37"/>
      <c r="F543" s="38"/>
      <c r="G543" s="34"/>
      <c r="H543" s="37"/>
      <c r="I543" s="27"/>
      <c r="J543" s="27"/>
      <c r="K543" s="27"/>
      <c r="L543" s="27"/>
      <c r="M543" s="27"/>
      <c r="N543" s="27"/>
      <c r="O543" s="27"/>
      <c r="P543" s="27"/>
      <c r="Q543" s="27"/>
    </row>
    <row r="544">
      <c r="A544" s="27"/>
      <c r="B544" s="35"/>
      <c r="C544" s="36"/>
      <c r="D544" s="36"/>
      <c r="E544" s="37"/>
      <c r="F544" s="38"/>
      <c r="G544" s="34"/>
      <c r="H544" s="37"/>
      <c r="I544" s="27"/>
      <c r="J544" s="27"/>
      <c r="K544" s="27"/>
      <c r="L544" s="27"/>
      <c r="M544" s="27"/>
      <c r="N544" s="27"/>
      <c r="O544" s="27"/>
      <c r="P544" s="27"/>
      <c r="Q544" s="27"/>
    </row>
    <row r="545">
      <c r="A545" s="27"/>
      <c r="B545" s="35"/>
      <c r="C545" s="36"/>
      <c r="D545" s="36"/>
      <c r="E545" s="37"/>
      <c r="F545" s="38"/>
      <c r="G545" s="34"/>
      <c r="H545" s="37"/>
      <c r="I545" s="27"/>
      <c r="J545" s="27"/>
      <c r="K545" s="27"/>
      <c r="L545" s="27"/>
      <c r="M545" s="27"/>
      <c r="N545" s="27"/>
      <c r="O545" s="27"/>
      <c r="P545" s="27"/>
      <c r="Q545" s="27"/>
    </row>
    <row r="546">
      <c r="A546" s="27"/>
      <c r="B546" s="35"/>
      <c r="C546" s="36"/>
      <c r="D546" s="36"/>
      <c r="E546" s="37"/>
      <c r="F546" s="38"/>
      <c r="G546" s="34"/>
      <c r="H546" s="37"/>
      <c r="I546" s="27"/>
      <c r="J546" s="27"/>
      <c r="K546" s="27"/>
      <c r="L546" s="27"/>
      <c r="M546" s="27"/>
      <c r="N546" s="27"/>
      <c r="O546" s="27"/>
      <c r="P546" s="27"/>
      <c r="Q546" s="27"/>
    </row>
    <row r="547">
      <c r="A547" s="27"/>
      <c r="B547" s="35"/>
      <c r="C547" s="36"/>
      <c r="D547" s="36"/>
      <c r="E547" s="37"/>
      <c r="F547" s="38"/>
      <c r="G547" s="34"/>
      <c r="H547" s="37"/>
      <c r="I547" s="27"/>
      <c r="J547" s="27"/>
      <c r="K547" s="27"/>
      <c r="L547" s="27"/>
      <c r="M547" s="27"/>
      <c r="N547" s="27"/>
      <c r="O547" s="27"/>
      <c r="P547" s="27"/>
      <c r="Q547" s="27"/>
    </row>
    <row r="548">
      <c r="A548" s="27"/>
      <c r="B548" s="35"/>
      <c r="C548" s="36"/>
      <c r="D548" s="36"/>
      <c r="E548" s="37"/>
      <c r="F548" s="38"/>
      <c r="G548" s="34"/>
      <c r="H548" s="37"/>
      <c r="I548" s="27"/>
      <c r="J548" s="27"/>
      <c r="K548" s="27"/>
      <c r="L548" s="27"/>
      <c r="M548" s="27"/>
      <c r="N548" s="27"/>
      <c r="O548" s="27"/>
      <c r="P548" s="27"/>
      <c r="Q548" s="27"/>
    </row>
    <row r="549">
      <c r="A549" s="27"/>
      <c r="B549" s="35"/>
      <c r="C549" s="36"/>
      <c r="D549" s="36"/>
      <c r="E549" s="37"/>
      <c r="F549" s="38"/>
      <c r="G549" s="34"/>
      <c r="H549" s="37"/>
      <c r="I549" s="27"/>
      <c r="J549" s="27"/>
      <c r="K549" s="27"/>
      <c r="L549" s="27"/>
      <c r="M549" s="27"/>
      <c r="N549" s="27"/>
      <c r="O549" s="27"/>
      <c r="P549" s="27"/>
      <c r="Q549" s="27"/>
    </row>
    <row r="550">
      <c r="A550" s="27"/>
      <c r="B550" s="35"/>
      <c r="C550" s="36"/>
      <c r="D550" s="36"/>
      <c r="E550" s="37"/>
      <c r="F550" s="38"/>
      <c r="G550" s="34"/>
      <c r="H550" s="37"/>
      <c r="I550" s="27"/>
      <c r="J550" s="27"/>
      <c r="K550" s="27"/>
      <c r="L550" s="27"/>
      <c r="M550" s="27"/>
      <c r="N550" s="27"/>
      <c r="O550" s="27"/>
      <c r="P550" s="27"/>
      <c r="Q550" s="27"/>
    </row>
    <row r="551">
      <c r="A551" s="27"/>
      <c r="B551" s="35"/>
      <c r="C551" s="36"/>
      <c r="D551" s="36"/>
      <c r="E551" s="37"/>
      <c r="F551" s="38"/>
      <c r="G551" s="34"/>
      <c r="H551" s="37"/>
      <c r="I551" s="27"/>
      <c r="J551" s="27"/>
      <c r="K551" s="27"/>
      <c r="L551" s="27"/>
      <c r="M551" s="27"/>
      <c r="N551" s="27"/>
      <c r="O551" s="27"/>
      <c r="P551" s="27"/>
      <c r="Q551" s="27"/>
    </row>
    <row r="552">
      <c r="A552" s="27"/>
      <c r="B552" s="35"/>
      <c r="C552" s="36"/>
      <c r="D552" s="36"/>
      <c r="E552" s="37"/>
      <c r="F552" s="38"/>
      <c r="G552" s="34"/>
      <c r="H552" s="37"/>
      <c r="I552" s="27"/>
      <c r="J552" s="27"/>
      <c r="K552" s="27"/>
      <c r="L552" s="27"/>
      <c r="M552" s="27"/>
      <c r="N552" s="27"/>
      <c r="O552" s="27"/>
      <c r="P552" s="27"/>
      <c r="Q552" s="27"/>
    </row>
    <row r="553">
      <c r="A553" s="27"/>
      <c r="B553" s="35"/>
      <c r="C553" s="36"/>
      <c r="D553" s="36"/>
      <c r="E553" s="37"/>
      <c r="F553" s="38"/>
      <c r="G553" s="34"/>
      <c r="H553" s="37"/>
      <c r="I553" s="27"/>
      <c r="J553" s="27"/>
      <c r="K553" s="27"/>
      <c r="L553" s="27"/>
      <c r="M553" s="27"/>
      <c r="N553" s="27"/>
      <c r="O553" s="27"/>
      <c r="P553" s="27"/>
      <c r="Q553" s="27"/>
    </row>
    <row r="554">
      <c r="A554" s="39"/>
      <c r="B554" s="31"/>
      <c r="C554" s="25"/>
      <c r="D554" s="25"/>
      <c r="E554" s="37"/>
      <c r="F554" s="38"/>
      <c r="G554" s="34"/>
      <c r="H554" s="37"/>
      <c r="I554" s="27"/>
      <c r="J554" s="27"/>
      <c r="K554" s="27"/>
      <c r="L554" s="27"/>
      <c r="M554" s="27"/>
      <c r="N554" s="27"/>
      <c r="O554" s="27"/>
      <c r="P554" s="27"/>
      <c r="Q554" s="27"/>
    </row>
    <row r="555">
      <c r="A555" s="27"/>
      <c r="B555" s="35"/>
      <c r="C555" s="36"/>
      <c r="D555" s="36"/>
      <c r="E555" s="37"/>
      <c r="F555" s="38"/>
      <c r="G555" s="34"/>
      <c r="H555" s="37"/>
      <c r="I555" s="27"/>
      <c r="J555" s="27"/>
      <c r="K555" s="27"/>
      <c r="L555" s="27"/>
      <c r="M555" s="27"/>
      <c r="N555" s="27"/>
      <c r="O555" s="27"/>
      <c r="P555" s="27"/>
      <c r="Q555" s="27"/>
    </row>
    <row r="556">
      <c r="A556" s="27"/>
      <c r="B556" s="35"/>
      <c r="C556" s="36"/>
      <c r="D556" s="36"/>
      <c r="E556" s="37"/>
      <c r="F556" s="38"/>
      <c r="G556" s="34"/>
      <c r="H556" s="37"/>
      <c r="I556" s="27"/>
      <c r="J556" s="27"/>
      <c r="K556" s="27"/>
      <c r="L556" s="27"/>
      <c r="M556" s="27"/>
      <c r="N556" s="27"/>
      <c r="O556" s="27"/>
      <c r="P556" s="27"/>
      <c r="Q556" s="27"/>
    </row>
    <row r="557">
      <c r="A557" s="27"/>
      <c r="B557" s="35"/>
      <c r="C557" s="36"/>
      <c r="D557" s="36"/>
      <c r="E557" s="37"/>
      <c r="F557" s="38"/>
      <c r="G557" s="34"/>
      <c r="H557" s="37"/>
      <c r="I557" s="27"/>
      <c r="J557" s="27"/>
      <c r="K557" s="27"/>
      <c r="L557" s="27"/>
      <c r="M557" s="27"/>
      <c r="N557" s="27"/>
      <c r="O557" s="27"/>
      <c r="P557" s="27"/>
      <c r="Q557" s="27"/>
    </row>
    <row r="558">
      <c r="A558" s="27"/>
      <c r="B558" s="35"/>
      <c r="C558" s="36"/>
      <c r="D558" s="36"/>
      <c r="E558" s="37"/>
      <c r="F558" s="38"/>
      <c r="G558" s="34"/>
      <c r="H558" s="37"/>
      <c r="I558" s="27"/>
      <c r="J558" s="27"/>
      <c r="K558" s="27"/>
      <c r="L558" s="27"/>
      <c r="M558" s="27"/>
      <c r="N558" s="27"/>
      <c r="O558" s="27"/>
      <c r="P558" s="27"/>
      <c r="Q558" s="27"/>
    </row>
    <row r="559">
      <c r="A559" s="27"/>
      <c r="B559" s="35"/>
      <c r="C559" s="36"/>
      <c r="D559" s="36"/>
      <c r="E559" s="37"/>
      <c r="F559" s="38"/>
      <c r="G559" s="34"/>
      <c r="H559" s="37"/>
      <c r="I559" s="27"/>
      <c r="J559" s="27"/>
      <c r="K559" s="27"/>
      <c r="L559" s="27"/>
      <c r="M559" s="27"/>
      <c r="N559" s="27"/>
      <c r="O559" s="27"/>
      <c r="P559" s="27"/>
      <c r="Q559" s="27"/>
    </row>
    <row r="560">
      <c r="A560" s="27"/>
      <c r="B560" s="35"/>
      <c r="C560" s="36"/>
      <c r="D560" s="36"/>
      <c r="E560" s="37"/>
      <c r="F560" s="38"/>
      <c r="G560" s="34"/>
      <c r="H560" s="37"/>
      <c r="I560" s="27"/>
      <c r="J560" s="27"/>
      <c r="K560" s="27"/>
      <c r="L560" s="27"/>
      <c r="M560" s="27"/>
      <c r="N560" s="27"/>
      <c r="O560" s="27"/>
      <c r="P560" s="27"/>
      <c r="Q560" s="27"/>
    </row>
    <row r="561">
      <c r="A561" s="27"/>
      <c r="B561" s="35"/>
      <c r="C561" s="36"/>
      <c r="D561" s="36"/>
      <c r="E561" s="37"/>
      <c r="F561" s="38"/>
      <c r="G561" s="34"/>
      <c r="H561" s="37"/>
      <c r="I561" s="27"/>
      <c r="J561" s="27"/>
      <c r="K561" s="27"/>
      <c r="L561" s="27"/>
      <c r="M561" s="27"/>
      <c r="N561" s="27"/>
      <c r="O561" s="27"/>
      <c r="P561" s="27"/>
      <c r="Q561" s="27"/>
    </row>
    <row r="562">
      <c r="A562" s="27"/>
      <c r="B562" s="35"/>
      <c r="C562" s="36"/>
      <c r="D562" s="36"/>
      <c r="E562" s="37"/>
      <c r="F562" s="38"/>
      <c r="G562" s="34"/>
      <c r="H562" s="37"/>
      <c r="I562" s="27"/>
      <c r="J562" s="27"/>
      <c r="K562" s="27"/>
      <c r="L562" s="27"/>
      <c r="M562" s="27"/>
      <c r="N562" s="27"/>
      <c r="O562" s="27"/>
      <c r="P562" s="27"/>
      <c r="Q562" s="27"/>
    </row>
    <row r="563">
      <c r="A563" s="27"/>
      <c r="B563" s="35"/>
      <c r="C563" s="36"/>
      <c r="D563" s="36"/>
      <c r="E563" s="37"/>
      <c r="F563" s="38"/>
      <c r="G563" s="34"/>
      <c r="H563" s="37"/>
      <c r="I563" s="27"/>
      <c r="J563" s="27"/>
      <c r="K563" s="27"/>
      <c r="L563" s="27"/>
      <c r="M563" s="27"/>
      <c r="N563" s="27"/>
      <c r="O563" s="27"/>
      <c r="P563" s="27"/>
      <c r="Q563" s="27"/>
    </row>
    <row r="564">
      <c r="A564" s="27"/>
      <c r="B564" s="35"/>
      <c r="C564" s="36"/>
      <c r="D564" s="36"/>
      <c r="E564" s="37"/>
      <c r="F564" s="38"/>
      <c r="G564" s="34"/>
      <c r="H564" s="37"/>
      <c r="I564" s="27"/>
      <c r="J564" s="27"/>
      <c r="K564" s="27"/>
      <c r="L564" s="27"/>
      <c r="M564" s="27"/>
      <c r="N564" s="27"/>
      <c r="O564" s="27"/>
      <c r="P564" s="27"/>
      <c r="Q564" s="27"/>
    </row>
    <row r="565">
      <c r="A565" s="27"/>
      <c r="B565" s="35"/>
      <c r="C565" s="36"/>
      <c r="D565" s="36"/>
      <c r="E565" s="37"/>
      <c r="F565" s="38"/>
      <c r="G565" s="34"/>
      <c r="H565" s="37"/>
      <c r="I565" s="27"/>
      <c r="J565" s="27"/>
      <c r="K565" s="27"/>
      <c r="L565" s="27"/>
      <c r="M565" s="27"/>
      <c r="N565" s="27"/>
      <c r="O565" s="27"/>
      <c r="P565" s="27"/>
      <c r="Q565" s="27"/>
    </row>
    <row r="566">
      <c r="A566" s="27"/>
      <c r="B566" s="35"/>
      <c r="C566" s="36"/>
      <c r="D566" s="36"/>
      <c r="E566" s="37"/>
      <c r="F566" s="38"/>
      <c r="G566" s="34"/>
      <c r="H566" s="37"/>
      <c r="I566" s="27"/>
      <c r="J566" s="27"/>
      <c r="K566" s="27"/>
      <c r="L566" s="27"/>
      <c r="M566" s="27"/>
      <c r="N566" s="27"/>
      <c r="O566" s="27"/>
      <c r="P566" s="27"/>
      <c r="Q566" s="27"/>
    </row>
    <row r="567">
      <c r="A567" s="27"/>
      <c r="B567" s="35"/>
      <c r="C567" s="36"/>
      <c r="D567" s="36"/>
      <c r="E567" s="37"/>
      <c r="F567" s="38"/>
      <c r="G567" s="34"/>
      <c r="H567" s="37"/>
      <c r="I567" s="27"/>
      <c r="J567" s="27"/>
      <c r="K567" s="27"/>
      <c r="L567" s="27"/>
      <c r="M567" s="27"/>
      <c r="N567" s="27"/>
      <c r="O567" s="27"/>
      <c r="P567" s="27"/>
      <c r="Q567" s="27"/>
    </row>
    <row r="568">
      <c r="A568" s="27"/>
      <c r="B568" s="35"/>
      <c r="C568" s="36"/>
      <c r="D568" s="36"/>
      <c r="E568" s="37"/>
      <c r="F568" s="38"/>
      <c r="G568" s="34"/>
      <c r="H568" s="37"/>
      <c r="I568" s="27"/>
      <c r="J568" s="27"/>
      <c r="K568" s="27"/>
      <c r="L568" s="27"/>
      <c r="M568" s="27"/>
      <c r="N568" s="27"/>
      <c r="O568" s="27"/>
      <c r="P568" s="27"/>
      <c r="Q568" s="27"/>
    </row>
    <row r="569">
      <c r="A569" s="27"/>
      <c r="B569" s="35"/>
      <c r="C569" s="36"/>
      <c r="D569" s="36"/>
      <c r="E569" s="37"/>
      <c r="F569" s="38"/>
      <c r="G569" s="34"/>
      <c r="H569" s="37"/>
      <c r="I569" s="27"/>
      <c r="J569" s="27"/>
      <c r="K569" s="27"/>
      <c r="L569" s="27"/>
      <c r="M569" s="27"/>
      <c r="N569" s="27"/>
      <c r="O569" s="27"/>
      <c r="P569" s="27"/>
      <c r="Q569" s="27"/>
    </row>
    <row r="570">
      <c r="A570" s="27"/>
      <c r="B570" s="35"/>
      <c r="C570" s="36"/>
      <c r="D570" s="36"/>
      <c r="E570" s="37"/>
      <c r="F570" s="38"/>
      <c r="G570" s="34"/>
      <c r="H570" s="37"/>
      <c r="I570" s="27"/>
      <c r="J570" s="27"/>
      <c r="K570" s="27"/>
      <c r="L570" s="27"/>
      <c r="M570" s="27"/>
      <c r="N570" s="27"/>
      <c r="O570" s="27"/>
      <c r="P570" s="27"/>
      <c r="Q570" s="27"/>
    </row>
    <row r="571">
      <c r="A571" s="27"/>
      <c r="B571" s="35"/>
      <c r="C571" s="36"/>
      <c r="D571" s="36"/>
      <c r="E571" s="37"/>
      <c r="F571" s="38"/>
      <c r="G571" s="34"/>
      <c r="H571" s="37"/>
      <c r="I571" s="27"/>
      <c r="J571" s="27"/>
      <c r="K571" s="27"/>
      <c r="L571" s="27"/>
      <c r="M571" s="27"/>
      <c r="N571" s="27"/>
      <c r="O571" s="27"/>
      <c r="P571" s="27"/>
      <c r="Q571" s="27"/>
    </row>
    <row r="572">
      <c r="A572" s="27"/>
      <c r="B572" s="35"/>
      <c r="C572" s="36"/>
      <c r="D572" s="36"/>
      <c r="E572" s="37"/>
      <c r="F572" s="38"/>
      <c r="G572" s="34"/>
      <c r="H572" s="37"/>
      <c r="I572" s="27"/>
      <c r="J572" s="27"/>
      <c r="K572" s="27"/>
      <c r="L572" s="27"/>
      <c r="M572" s="27"/>
      <c r="N572" s="27"/>
      <c r="O572" s="27"/>
      <c r="P572" s="27"/>
      <c r="Q572" s="27"/>
    </row>
    <row r="573">
      <c r="A573" s="27"/>
      <c r="B573" s="35"/>
      <c r="C573" s="36"/>
      <c r="D573" s="36"/>
      <c r="E573" s="37"/>
      <c r="F573" s="38"/>
      <c r="G573" s="34"/>
      <c r="H573" s="37"/>
      <c r="I573" s="27"/>
      <c r="J573" s="27"/>
      <c r="K573" s="27"/>
      <c r="L573" s="27"/>
      <c r="M573" s="27"/>
      <c r="N573" s="27"/>
      <c r="O573" s="27"/>
      <c r="P573" s="27"/>
      <c r="Q573" s="27"/>
    </row>
    <row r="574">
      <c r="A574" s="27"/>
      <c r="B574" s="35"/>
      <c r="C574" s="36"/>
      <c r="D574" s="36"/>
      <c r="E574" s="37"/>
      <c r="F574" s="38"/>
      <c r="G574" s="34"/>
      <c r="H574" s="37"/>
      <c r="I574" s="27"/>
      <c r="J574" s="27"/>
      <c r="K574" s="27"/>
      <c r="L574" s="27"/>
      <c r="M574" s="27"/>
      <c r="N574" s="27"/>
      <c r="O574" s="27"/>
      <c r="P574" s="27"/>
      <c r="Q574" s="27"/>
    </row>
    <row r="575">
      <c r="A575" s="27"/>
      <c r="B575" s="35"/>
      <c r="C575" s="36"/>
      <c r="D575" s="36"/>
      <c r="E575" s="37"/>
      <c r="F575" s="38"/>
      <c r="G575" s="34"/>
      <c r="H575" s="37"/>
      <c r="I575" s="27"/>
      <c r="J575" s="27"/>
      <c r="K575" s="27"/>
      <c r="L575" s="27"/>
      <c r="M575" s="27"/>
      <c r="N575" s="27"/>
      <c r="O575" s="27"/>
      <c r="P575" s="27"/>
      <c r="Q575" s="27"/>
    </row>
    <row r="576">
      <c r="A576" s="27"/>
      <c r="B576" s="35"/>
      <c r="C576" s="36"/>
      <c r="D576" s="36"/>
      <c r="E576" s="37"/>
      <c r="F576" s="38"/>
      <c r="G576" s="34"/>
      <c r="H576" s="37"/>
      <c r="I576" s="27"/>
      <c r="J576" s="27"/>
      <c r="K576" s="27"/>
      <c r="L576" s="27"/>
      <c r="M576" s="27"/>
      <c r="N576" s="27"/>
      <c r="O576" s="27"/>
      <c r="P576" s="27"/>
      <c r="Q576" s="27"/>
    </row>
    <row r="577">
      <c r="A577" s="27"/>
      <c r="B577" s="35"/>
      <c r="C577" s="36"/>
      <c r="D577" s="36"/>
      <c r="E577" s="37"/>
      <c r="F577" s="38"/>
      <c r="G577" s="34"/>
      <c r="H577" s="37"/>
      <c r="I577" s="27"/>
      <c r="J577" s="27"/>
      <c r="K577" s="27"/>
      <c r="L577" s="27"/>
      <c r="M577" s="27"/>
      <c r="N577" s="27"/>
      <c r="O577" s="27"/>
      <c r="P577" s="27"/>
      <c r="Q577" s="27"/>
    </row>
    <row r="578">
      <c r="A578" s="27"/>
      <c r="B578" s="35"/>
      <c r="C578" s="36"/>
      <c r="D578" s="36"/>
      <c r="E578" s="37"/>
      <c r="F578" s="38"/>
      <c r="G578" s="34"/>
      <c r="H578" s="37"/>
      <c r="I578" s="27"/>
      <c r="J578" s="27"/>
      <c r="K578" s="27"/>
      <c r="L578" s="27"/>
      <c r="M578" s="27"/>
      <c r="N578" s="27"/>
      <c r="O578" s="27"/>
      <c r="P578" s="27"/>
      <c r="Q578" s="27"/>
    </row>
    <row r="579">
      <c r="A579" s="27"/>
      <c r="B579" s="35"/>
      <c r="C579" s="36"/>
      <c r="D579" s="36"/>
      <c r="E579" s="37"/>
      <c r="F579" s="38"/>
      <c r="G579" s="34"/>
      <c r="H579" s="37"/>
      <c r="I579" s="27"/>
      <c r="J579" s="27"/>
      <c r="K579" s="27"/>
      <c r="L579" s="27"/>
      <c r="M579" s="27"/>
      <c r="N579" s="27"/>
      <c r="O579" s="27"/>
      <c r="P579" s="27"/>
      <c r="Q579" s="27"/>
    </row>
    <row r="580">
      <c r="A580" s="27"/>
      <c r="B580" s="35"/>
      <c r="C580" s="36"/>
      <c r="D580" s="36"/>
      <c r="E580" s="37"/>
      <c r="F580" s="38"/>
      <c r="G580" s="34"/>
      <c r="H580" s="37"/>
      <c r="I580" s="27"/>
      <c r="J580" s="27"/>
      <c r="K580" s="27"/>
      <c r="L580" s="27"/>
      <c r="M580" s="27"/>
      <c r="N580" s="27"/>
      <c r="O580" s="27"/>
      <c r="P580" s="27"/>
      <c r="Q580" s="27"/>
    </row>
    <row r="581">
      <c r="A581" s="27"/>
      <c r="B581" s="35"/>
      <c r="C581" s="36"/>
      <c r="D581" s="36"/>
      <c r="E581" s="37"/>
      <c r="F581" s="38"/>
      <c r="G581" s="34"/>
      <c r="H581" s="37"/>
      <c r="I581" s="27"/>
      <c r="J581" s="27"/>
      <c r="K581" s="27"/>
      <c r="L581" s="27"/>
      <c r="M581" s="27"/>
      <c r="N581" s="27"/>
      <c r="O581" s="27"/>
      <c r="P581" s="27"/>
      <c r="Q581" s="27"/>
    </row>
    <row r="582">
      <c r="A582" s="27"/>
      <c r="B582" s="35"/>
      <c r="C582" s="36"/>
      <c r="D582" s="36"/>
      <c r="E582" s="37"/>
      <c r="F582" s="38"/>
      <c r="G582" s="34"/>
      <c r="H582" s="37"/>
      <c r="I582" s="27"/>
      <c r="J582" s="27"/>
      <c r="K582" s="27"/>
      <c r="L582" s="27"/>
      <c r="M582" s="27"/>
      <c r="N582" s="27"/>
      <c r="O582" s="27"/>
      <c r="P582" s="27"/>
      <c r="Q582" s="27"/>
    </row>
    <row r="583">
      <c r="A583" s="27"/>
      <c r="B583" s="35"/>
      <c r="C583" s="36"/>
      <c r="D583" s="36"/>
      <c r="E583" s="37"/>
      <c r="F583" s="38"/>
      <c r="G583" s="34"/>
      <c r="H583" s="37"/>
      <c r="I583" s="27"/>
      <c r="J583" s="27"/>
      <c r="K583" s="27"/>
      <c r="L583" s="27"/>
      <c r="M583" s="27"/>
      <c r="N583" s="27"/>
      <c r="O583" s="27"/>
      <c r="P583" s="27"/>
      <c r="Q583" s="27"/>
    </row>
    <row r="584">
      <c r="A584" s="27"/>
      <c r="B584" s="35"/>
      <c r="C584" s="36"/>
      <c r="D584" s="36"/>
      <c r="E584" s="37"/>
      <c r="F584" s="38"/>
      <c r="G584" s="34"/>
      <c r="H584" s="37"/>
      <c r="I584" s="27"/>
      <c r="J584" s="27"/>
      <c r="K584" s="27"/>
      <c r="L584" s="27"/>
      <c r="M584" s="27"/>
      <c r="N584" s="27"/>
      <c r="O584" s="27"/>
      <c r="P584" s="27"/>
      <c r="Q584" s="27"/>
    </row>
    <row r="585">
      <c r="A585" s="27"/>
      <c r="B585" s="35"/>
      <c r="C585" s="36"/>
      <c r="D585" s="36"/>
      <c r="E585" s="37"/>
      <c r="F585" s="38"/>
      <c r="G585" s="34"/>
      <c r="H585" s="37"/>
      <c r="I585" s="27"/>
      <c r="J585" s="27"/>
      <c r="K585" s="27"/>
      <c r="L585" s="27"/>
      <c r="M585" s="27"/>
      <c r="N585" s="27"/>
      <c r="O585" s="27"/>
      <c r="P585" s="27"/>
      <c r="Q585" s="27"/>
    </row>
    <row r="586">
      <c r="A586" s="27"/>
      <c r="B586" s="35"/>
      <c r="C586" s="36"/>
      <c r="D586" s="36"/>
      <c r="E586" s="37"/>
      <c r="F586" s="38"/>
      <c r="G586" s="34"/>
      <c r="H586" s="37"/>
      <c r="I586" s="27"/>
      <c r="J586" s="27"/>
      <c r="K586" s="27"/>
      <c r="L586" s="27"/>
      <c r="M586" s="27"/>
      <c r="N586" s="27"/>
      <c r="O586" s="27"/>
      <c r="P586" s="27"/>
      <c r="Q586" s="27"/>
    </row>
    <row r="587">
      <c r="A587" s="27"/>
      <c r="B587" s="35"/>
      <c r="C587" s="36"/>
      <c r="D587" s="36"/>
      <c r="E587" s="37"/>
      <c r="F587" s="38"/>
      <c r="G587" s="34"/>
      <c r="H587" s="37"/>
      <c r="I587" s="27"/>
      <c r="J587" s="27"/>
      <c r="K587" s="27"/>
      <c r="L587" s="27"/>
      <c r="M587" s="27"/>
      <c r="N587" s="27"/>
      <c r="O587" s="27"/>
      <c r="P587" s="27"/>
      <c r="Q587" s="27"/>
    </row>
    <row r="588">
      <c r="A588" s="27"/>
      <c r="B588" s="35"/>
      <c r="C588" s="36"/>
      <c r="D588" s="36"/>
      <c r="E588" s="37"/>
      <c r="F588" s="38"/>
      <c r="G588" s="34"/>
      <c r="H588" s="37"/>
      <c r="I588" s="27"/>
      <c r="J588" s="27"/>
      <c r="K588" s="27"/>
      <c r="L588" s="27"/>
      <c r="M588" s="27"/>
      <c r="N588" s="27"/>
      <c r="O588" s="27"/>
      <c r="P588" s="27"/>
      <c r="Q588" s="27"/>
    </row>
    <row r="589">
      <c r="A589" s="27"/>
      <c r="B589" s="35"/>
      <c r="C589" s="36"/>
      <c r="D589" s="36"/>
      <c r="E589" s="37"/>
      <c r="F589" s="38"/>
      <c r="G589" s="34"/>
      <c r="H589" s="37"/>
      <c r="I589" s="27"/>
      <c r="J589" s="27"/>
      <c r="K589" s="27"/>
      <c r="L589" s="27"/>
      <c r="M589" s="27"/>
      <c r="N589" s="27"/>
      <c r="O589" s="27"/>
      <c r="P589" s="27"/>
      <c r="Q589" s="27"/>
    </row>
    <row r="590">
      <c r="A590" s="27"/>
      <c r="B590" s="35"/>
      <c r="C590" s="36"/>
      <c r="D590" s="36"/>
      <c r="E590" s="37"/>
      <c r="F590" s="38"/>
      <c r="G590" s="34"/>
      <c r="H590" s="37"/>
      <c r="I590" s="27"/>
      <c r="J590" s="27"/>
      <c r="K590" s="27"/>
      <c r="L590" s="27"/>
      <c r="M590" s="27"/>
      <c r="N590" s="27"/>
      <c r="O590" s="27"/>
      <c r="P590" s="27"/>
      <c r="Q590" s="27"/>
    </row>
    <row r="591">
      <c r="A591" s="27"/>
      <c r="B591" s="35"/>
      <c r="C591" s="36"/>
      <c r="D591" s="36"/>
      <c r="E591" s="37"/>
      <c r="F591" s="38"/>
      <c r="G591" s="34"/>
      <c r="H591" s="37"/>
      <c r="I591" s="27"/>
      <c r="J591" s="27"/>
      <c r="K591" s="27"/>
      <c r="L591" s="27"/>
      <c r="M591" s="27"/>
      <c r="N591" s="27"/>
      <c r="O591" s="27"/>
      <c r="P591" s="27"/>
      <c r="Q591" s="27"/>
    </row>
    <row r="592">
      <c r="A592" s="27"/>
      <c r="B592" s="35"/>
      <c r="C592" s="36"/>
      <c r="D592" s="36"/>
      <c r="E592" s="37"/>
      <c r="F592" s="38"/>
      <c r="G592" s="34"/>
      <c r="H592" s="37"/>
      <c r="I592" s="27"/>
      <c r="J592" s="27"/>
      <c r="K592" s="27"/>
      <c r="L592" s="27"/>
      <c r="M592" s="27"/>
      <c r="N592" s="27"/>
      <c r="O592" s="27"/>
      <c r="P592" s="27"/>
      <c r="Q592" s="27"/>
    </row>
    <row r="593">
      <c r="A593" s="27"/>
      <c r="B593" s="35"/>
      <c r="C593" s="36"/>
      <c r="D593" s="36"/>
      <c r="E593" s="37"/>
      <c r="F593" s="38"/>
      <c r="G593" s="34"/>
      <c r="H593" s="37"/>
      <c r="I593" s="27"/>
      <c r="J593" s="27"/>
      <c r="K593" s="27"/>
      <c r="L593" s="27"/>
      <c r="M593" s="27"/>
      <c r="N593" s="27"/>
      <c r="O593" s="27"/>
      <c r="P593" s="27"/>
      <c r="Q593" s="27"/>
    </row>
    <row r="594">
      <c r="A594" s="27"/>
      <c r="B594" s="35"/>
      <c r="C594" s="36"/>
      <c r="D594" s="36"/>
      <c r="E594" s="37"/>
      <c r="F594" s="38"/>
      <c r="G594" s="34"/>
      <c r="H594" s="37"/>
      <c r="I594" s="27"/>
      <c r="J594" s="27"/>
      <c r="K594" s="27"/>
      <c r="L594" s="27"/>
      <c r="M594" s="27"/>
      <c r="N594" s="27"/>
      <c r="O594" s="27"/>
      <c r="P594" s="27"/>
      <c r="Q594" s="27"/>
    </row>
    <row r="595">
      <c r="A595" s="27"/>
      <c r="B595" s="35"/>
      <c r="C595" s="36"/>
      <c r="D595" s="36"/>
      <c r="E595" s="37"/>
      <c r="F595" s="38"/>
      <c r="G595" s="34"/>
      <c r="H595" s="37"/>
      <c r="I595" s="27"/>
      <c r="J595" s="27"/>
      <c r="K595" s="27"/>
      <c r="L595" s="27"/>
      <c r="M595" s="27"/>
      <c r="N595" s="27"/>
      <c r="O595" s="27"/>
      <c r="P595" s="27"/>
      <c r="Q595" s="27"/>
    </row>
    <row r="596">
      <c r="A596" s="27"/>
      <c r="B596" s="35"/>
      <c r="C596" s="36"/>
      <c r="D596" s="36"/>
      <c r="E596" s="37"/>
      <c r="F596" s="38"/>
      <c r="G596" s="34"/>
      <c r="H596" s="37"/>
      <c r="I596" s="27"/>
      <c r="J596" s="27"/>
      <c r="K596" s="27"/>
      <c r="L596" s="27"/>
      <c r="M596" s="27"/>
      <c r="N596" s="27"/>
      <c r="O596" s="27"/>
      <c r="P596" s="27"/>
      <c r="Q596" s="27"/>
    </row>
    <row r="597">
      <c r="A597" s="27"/>
      <c r="B597" s="35"/>
      <c r="C597" s="36"/>
      <c r="D597" s="36"/>
      <c r="E597" s="37"/>
      <c r="F597" s="38"/>
      <c r="G597" s="34"/>
      <c r="H597" s="37"/>
      <c r="I597" s="27"/>
      <c r="J597" s="27"/>
      <c r="K597" s="27"/>
      <c r="L597" s="27"/>
      <c r="M597" s="27"/>
      <c r="N597" s="27"/>
      <c r="O597" s="27"/>
      <c r="P597" s="27"/>
      <c r="Q597" s="27"/>
    </row>
    <row r="598">
      <c r="A598" s="27"/>
      <c r="B598" s="35"/>
      <c r="C598" s="36"/>
      <c r="D598" s="36"/>
      <c r="E598" s="37"/>
      <c r="F598" s="38"/>
      <c r="G598" s="34"/>
      <c r="H598" s="37"/>
      <c r="I598" s="27"/>
      <c r="J598" s="27"/>
      <c r="K598" s="27"/>
      <c r="L598" s="27"/>
      <c r="M598" s="27"/>
      <c r="N598" s="27"/>
      <c r="O598" s="27"/>
      <c r="P598" s="27"/>
      <c r="Q598" s="27"/>
    </row>
    <row r="599">
      <c r="A599" s="27"/>
      <c r="B599" s="35"/>
      <c r="C599" s="36"/>
      <c r="D599" s="36"/>
      <c r="E599" s="37"/>
      <c r="F599" s="38"/>
      <c r="G599" s="34"/>
      <c r="H599" s="37"/>
      <c r="I599" s="27"/>
      <c r="J599" s="27"/>
      <c r="K599" s="27"/>
      <c r="L599" s="27"/>
      <c r="M599" s="27"/>
      <c r="N599" s="27"/>
      <c r="O599" s="27"/>
      <c r="P599" s="27"/>
      <c r="Q599" s="27"/>
    </row>
    <row r="600">
      <c r="A600" s="27"/>
      <c r="B600" s="35"/>
      <c r="C600" s="36"/>
      <c r="D600" s="36"/>
      <c r="E600" s="37"/>
      <c r="F600" s="38"/>
      <c r="G600" s="34"/>
      <c r="H600" s="37"/>
      <c r="I600" s="27"/>
      <c r="J600" s="27"/>
      <c r="K600" s="27"/>
      <c r="L600" s="27"/>
      <c r="M600" s="27"/>
      <c r="N600" s="27"/>
      <c r="O600" s="27"/>
      <c r="P600" s="27"/>
      <c r="Q600" s="27"/>
    </row>
    <row r="601">
      <c r="A601" s="27"/>
      <c r="B601" s="35"/>
      <c r="C601" s="36"/>
      <c r="D601" s="36"/>
      <c r="E601" s="37"/>
      <c r="F601" s="38"/>
      <c r="G601" s="34"/>
      <c r="H601" s="37"/>
      <c r="I601" s="27"/>
      <c r="J601" s="27"/>
      <c r="K601" s="27"/>
      <c r="L601" s="27"/>
      <c r="M601" s="27"/>
      <c r="N601" s="27"/>
      <c r="O601" s="27"/>
      <c r="P601" s="27"/>
      <c r="Q601" s="27"/>
    </row>
    <row r="602">
      <c r="A602" s="27"/>
      <c r="B602" s="35"/>
      <c r="C602" s="36"/>
      <c r="D602" s="36"/>
      <c r="E602" s="37"/>
      <c r="F602" s="38"/>
      <c r="G602" s="34"/>
      <c r="H602" s="37"/>
      <c r="I602" s="27"/>
      <c r="J602" s="27"/>
      <c r="K602" s="27"/>
      <c r="L602" s="27"/>
      <c r="M602" s="27"/>
      <c r="N602" s="27"/>
      <c r="O602" s="27"/>
      <c r="P602" s="27"/>
      <c r="Q602" s="27"/>
    </row>
    <row r="603">
      <c r="A603" s="27"/>
      <c r="B603" s="35"/>
      <c r="C603" s="36"/>
      <c r="D603" s="36"/>
      <c r="E603" s="37"/>
      <c r="F603" s="38"/>
      <c r="G603" s="34"/>
      <c r="H603" s="37"/>
      <c r="I603" s="27"/>
      <c r="J603" s="27"/>
      <c r="K603" s="27"/>
      <c r="L603" s="27"/>
      <c r="M603" s="27"/>
      <c r="N603" s="27"/>
      <c r="O603" s="27"/>
      <c r="P603" s="27"/>
      <c r="Q603" s="27"/>
    </row>
    <row r="604">
      <c r="A604" s="27"/>
      <c r="B604" s="35"/>
      <c r="C604" s="36"/>
      <c r="D604" s="36"/>
      <c r="E604" s="37"/>
      <c r="F604" s="38"/>
      <c r="G604" s="34"/>
      <c r="H604" s="37"/>
      <c r="I604" s="27"/>
      <c r="J604" s="27"/>
      <c r="K604" s="27"/>
      <c r="L604" s="27"/>
      <c r="M604" s="27"/>
      <c r="N604" s="27"/>
      <c r="O604" s="27"/>
      <c r="P604" s="27"/>
      <c r="Q604" s="27"/>
    </row>
    <row r="605">
      <c r="A605" s="27"/>
      <c r="B605" s="35"/>
      <c r="C605" s="36"/>
      <c r="D605" s="36"/>
      <c r="E605" s="37"/>
      <c r="F605" s="38"/>
      <c r="G605" s="34"/>
      <c r="H605" s="37"/>
      <c r="I605" s="27"/>
      <c r="J605" s="27"/>
      <c r="K605" s="27"/>
      <c r="L605" s="27"/>
      <c r="M605" s="27"/>
      <c r="N605" s="27"/>
      <c r="O605" s="27"/>
      <c r="P605" s="27"/>
      <c r="Q605" s="27"/>
    </row>
    <row r="606">
      <c r="A606" s="27"/>
      <c r="B606" s="35"/>
      <c r="C606" s="36"/>
      <c r="D606" s="36"/>
      <c r="E606" s="37"/>
      <c r="F606" s="38"/>
      <c r="G606" s="34"/>
      <c r="H606" s="37"/>
      <c r="I606" s="27"/>
      <c r="J606" s="27"/>
      <c r="K606" s="27"/>
      <c r="L606" s="27"/>
      <c r="M606" s="27"/>
      <c r="N606" s="27"/>
      <c r="O606" s="27"/>
      <c r="P606" s="27"/>
      <c r="Q606" s="27"/>
    </row>
    <row r="607">
      <c r="A607" s="27"/>
      <c r="B607" s="35"/>
      <c r="C607" s="36"/>
      <c r="D607" s="36"/>
      <c r="E607" s="37"/>
      <c r="F607" s="38"/>
      <c r="G607" s="34"/>
      <c r="H607" s="37"/>
      <c r="I607" s="27"/>
      <c r="J607" s="27"/>
      <c r="K607" s="27"/>
      <c r="L607" s="27"/>
      <c r="M607" s="27"/>
      <c r="N607" s="27"/>
      <c r="O607" s="27"/>
      <c r="P607" s="27"/>
      <c r="Q607" s="27"/>
    </row>
    <row r="608">
      <c r="A608" s="27"/>
      <c r="B608" s="35"/>
      <c r="C608" s="36"/>
      <c r="D608" s="36"/>
      <c r="E608" s="37"/>
      <c r="F608" s="38"/>
      <c r="G608" s="34"/>
      <c r="H608" s="37"/>
      <c r="I608" s="27"/>
      <c r="J608" s="27"/>
      <c r="K608" s="27"/>
      <c r="L608" s="27"/>
      <c r="M608" s="27"/>
      <c r="N608" s="27"/>
      <c r="O608" s="27"/>
      <c r="P608" s="27"/>
      <c r="Q608" s="27"/>
    </row>
    <row r="609">
      <c r="A609" s="27"/>
      <c r="B609" s="35"/>
      <c r="C609" s="36"/>
      <c r="D609" s="36"/>
      <c r="E609" s="37"/>
      <c r="F609" s="38"/>
      <c r="G609" s="34"/>
      <c r="H609" s="37"/>
      <c r="I609" s="27"/>
      <c r="J609" s="27"/>
      <c r="K609" s="27"/>
      <c r="L609" s="27"/>
      <c r="M609" s="27"/>
      <c r="N609" s="27"/>
      <c r="O609" s="27"/>
      <c r="P609" s="27"/>
      <c r="Q609" s="27"/>
    </row>
    <row r="610">
      <c r="A610" s="27"/>
      <c r="B610" s="35"/>
      <c r="C610" s="36"/>
      <c r="D610" s="36"/>
      <c r="E610" s="37"/>
      <c r="F610" s="38"/>
      <c r="G610" s="34"/>
      <c r="H610" s="37"/>
      <c r="I610" s="27"/>
      <c r="J610" s="27"/>
      <c r="K610" s="27"/>
      <c r="L610" s="27"/>
      <c r="M610" s="27"/>
      <c r="N610" s="27"/>
      <c r="O610" s="27"/>
      <c r="P610" s="27"/>
      <c r="Q610" s="27"/>
    </row>
    <row r="611">
      <c r="A611" s="27"/>
      <c r="B611" s="35"/>
      <c r="C611" s="36"/>
      <c r="D611" s="36"/>
      <c r="E611" s="37"/>
      <c r="F611" s="38"/>
      <c r="G611" s="34"/>
      <c r="H611" s="37"/>
      <c r="I611" s="27"/>
      <c r="J611" s="27"/>
      <c r="K611" s="27"/>
      <c r="L611" s="27"/>
      <c r="M611" s="27"/>
      <c r="N611" s="27"/>
      <c r="O611" s="27"/>
      <c r="P611" s="27"/>
      <c r="Q611" s="27"/>
    </row>
    <row r="612">
      <c r="A612" s="27"/>
      <c r="B612" s="35"/>
      <c r="C612" s="36"/>
      <c r="D612" s="36"/>
      <c r="E612" s="37"/>
      <c r="F612" s="38"/>
      <c r="G612" s="34"/>
      <c r="H612" s="37"/>
      <c r="I612" s="27"/>
      <c r="J612" s="27"/>
      <c r="K612" s="27"/>
      <c r="L612" s="27"/>
      <c r="M612" s="27"/>
      <c r="N612" s="27"/>
      <c r="O612" s="27"/>
      <c r="P612" s="27"/>
      <c r="Q612" s="27"/>
    </row>
    <row r="613">
      <c r="A613" s="27"/>
      <c r="B613" s="35"/>
      <c r="C613" s="36"/>
      <c r="D613" s="36"/>
      <c r="E613" s="37"/>
      <c r="F613" s="38"/>
      <c r="G613" s="34"/>
      <c r="H613" s="37"/>
      <c r="I613" s="27"/>
      <c r="J613" s="27"/>
      <c r="K613" s="27"/>
      <c r="L613" s="27"/>
      <c r="M613" s="27"/>
      <c r="N613" s="27"/>
      <c r="O613" s="27"/>
      <c r="P613" s="27"/>
      <c r="Q613" s="27"/>
    </row>
    <row r="614">
      <c r="A614" s="27"/>
      <c r="B614" s="35"/>
      <c r="C614" s="36"/>
      <c r="D614" s="36"/>
      <c r="E614" s="37"/>
      <c r="F614" s="38"/>
      <c r="G614" s="34"/>
      <c r="H614" s="37"/>
      <c r="I614" s="27"/>
      <c r="J614" s="27"/>
      <c r="K614" s="27"/>
      <c r="L614" s="27"/>
      <c r="M614" s="27"/>
      <c r="N614" s="27"/>
      <c r="O614" s="27"/>
      <c r="P614" s="27"/>
      <c r="Q614" s="27"/>
    </row>
    <row r="615">
      <c r="A615" s="27"/>
      <c r="B615" s="35"/>
      <c r="C615" s="36"/>
      <c r="D615" s="36"/>
      <c r="E615" s="37"/>
      <c r="F615" s="38"/>
      <c r="G615" s="34"/>
      <c r="H615" s="37"/>
      <c r="I615" s="27"/>
      <c r="J615" s="27"/>
      <c r="K615" s="27"/>
      <c r="L615" s="27"/>
      <c r="M615" s="27"/>
      <c r="N615" s="27"/>
      <c r="O615" s="27"/>
      <c r="P615" s="27"/>
      <c r="Q615" s="27"/>
    </row>
    <row r="616">
      <c r="A616" s="27"/>
      <c r="B616" s="35"/>
      <c r="C616" s="36"/>
      <c r="D616" s="36"/>
      <c r="E616" s="37"/>
      <c r="F616" s="38"/>
      <c r="G616" s="34"/>
      <c r="H616" s="37"/>
      <c r="I616" s="27"/>
      <c r="J616" s="27"/>
      <c r="K616" s="27"/>
      <c r="L616" s="27"/>
      <c r="M616" s="27"/>
      <c r="N616" s="27"/>
      <c r="O616" s="27"/>
      <c r="P616" s="27"/>
      <c r="Q616" s="27"/>
    </row>
    <row r="617">
      <c r="A617" s="27"/>
      <c r="B617" s="35"/>
      <c r="C617" s="36"/>
      <c r="D617" s="36"/>
      <c r="E617" s="37"/>
      <c r="F617" s="38"/>
      <c r="G617" s="34"/>
      <c r="H617" s="37"/>
      <c r="I617" s="27"/>
      <c r="J617" s="27"/>
      <c r="K617" s="27"/>
      <c r="L617" s="27"/>
      <c r="M617" s="27"/>
      <c r="N617" s="27"/>
      <c r="O617" s="27"/>
      <c r="P617" s="27"/>
      <c r="Q617" s="27"/>
    </row>
    <row r="618">
      <c r="A618" s="27"/>
      <c r="B618" s="35"/>
      <c r="C618" s="36"/>
      <c r="D618" s="36"/>
      <c r="E618" s="37"/>
      <c r="F618" s="38"/>
      <c r="G618" s="34"/>
      <c r="H618" s="37"/>
      <c r="I618" s="27"/>
      <c r="J618" s="27"/>
      <c r="K618" s="27"/>
      <c r="L618" s="27"/>
      <c r="M618" s="27"/>
      <c r="N618" s="27"/>
      <c r="O618" s="27"/>
      <c r="P618" s="27"/>
      <c r="Q618" s="27"/>
    </row>
    <row r="619">
      <c r="A619" s="27"/>
      <c r="B619" s="35"/>
      <c r="C619" s="36"/>
      <c r="D619" s="36"/>
      <c r="E619" s="37"/>
      <c r="F619" s="38"/>
      <c r="G619" s="34"/>
      <c r="H619" s="37"/>
      <c r="I619" s="27"/>
      <c r="J619" s="27"/>
      <c r="K619" s="27"/>
      <c r="L619" s="27"/>
      <c r="M619" s="27"/>
      <c r="N619" s="27"/>
      <c r="O619" s="27"/>
      <c r="P619" s="27"/>
      <c r="Q619" s="27"/>
    </row>
    <row r="620">
      <c r="A620" s="27"/>
      <c r="B620" s="35"/>
      <c r="C620" s="36"/>
      <c r="D620" s="36"/>
      <c r="E620" s="37"/>
      <c r="F620" s="38"/>
      <c r="G620" s="34"/>
      <c r="H620" s="37"/>
      <c r="I620" s="27"/>
      <c r="J620" s="27"/>
      <c r="K620" s="27"/>
      <c r="L620" s="27"/>
      <c r="M620" s="27"/>
      <c r="N620" s="27"/>
      <c r="O620" s="27"/>
      <c r="P620" s="27"/>
      <c r="Q620" s="27"/>
    </row>
    <row r="621">
      <c r="A621" s="27"/>
      <c r="B621" s="35"/>
      <c r="C621" s="36"/>
      <c r="D621" s="36"/>
      <c r="E621" s="37"/>
      <c r="F621" s="38"/>
      <c r="G621" s="34"/>
      <c r="H621" s="37"/>
      <c r="I621" s="27"/>
      <c r="J621" s="27"/>
      <c r="K621" s="27"/>
      <c r="L621" s="27"/>
      <c r="M621" s="27"/>
      <c r="N621" s="27"/>
      <c r="O621" s="27"/>
      <c r="P621" s="27"/>
      <c r="Q621" s="27"/>
    </row>
    <row r="622">
      <c r="A622" s="27"/>
      <c r="B622" s="35"/>
      <c r="C622" s="36"/>
      <c r="D622" s="36"/>
      <c r="E622" s="37"/>
      <c r="F622" s="38"/>
      <c r="G622" s="34"/>
      <c r="H622" s="37"/>
      <c r="I622" s="27"/>
      <c r="J622" s="27"/>
      <c r="K622" s="27"/>
      <c r="L622" s="27"/>
      <c r="M622" s="27"/>
      <c r="N622" s="27"/>
      <c r="O622" s="27"/>
      <c r="P622" s="27"/>
      <c r="Q622" s="27"/>
    </row>
    <row r="623">
      <c r="A623" s="27"/>
      <c r="B623" s="35"/>
      <c r="C623" s="36"/>
      <c r="D623" s="36"/>
      <c r="E623" s="37"/>
      <c r="F623" s="38"/>
      <c r="G623" s="34"/>
      <c r="H623" s="37"/>
      <c r="I623" s="27"/>
      <c r="J623" s="27"/>
      <c r="K623" s="27"/>
      <c r="L623" s="27"/>
      <c r="M623" s="27"/>
      <c r="N623" s="27"/>
      <c r="O623" s="27"/>
      <c r="P623" s="27"/>
      <c r="Q623" s="27"/>
    </row>
    <row r="624">
      <c r="A624" s="27"/>
      <c r="B624" s="35"/>
      <c r="C624" s="36"/>
      <c r="D624" s="36"/>
      <c r="E624" s="37"/>
      <c r="F624" s="38"/>
      <c r="G624" s="34"/>
      <c r="H624" s="37"/>
      <c r="I624" s="27"/>
      <c r="J624" s="27"/>
      <c r="K624" s="27"/>
      <c r="L624" s="27"/>
      <c r="M624" s="27"/>
      <c r="N624" s="27"/>
      <c r="O624" s="27"/>
      <c r="P624" s="27"/>
      <c r="Q624" s="27"/>
    </row>
    <row r="625">
      <c r="A625" s="27"/>
      <c r="B625" s="35"/>
      <c r="C625" s="36"/>
      <c r="D625" s="36"/>
      <c r="E625" s="37"/>
      <c r="F625" s="38"/>
      <c r="G625" s="34"/>
      <c r="H625" s="37"/>
      <c r="I625" s="27"/>
      <c r="J625" s="27"/>
      <c r="K625" s="27"/>
      <c r="L625" s="27"/>
      <c r="M625" s="27"/>
      <c r="N625" s="27"/>
      <c r="O625" s="27"/>
      <c r="P625" s="27"/>
      <c r="Q625" s="27"/>
    </row>
    <row r="626">
      <c r="A626" s="27"/>
      <c r="B626" s="35"/>
      <c r="C626" s="36"/>
      <c r="D626" s="36"/>
      <c r="E626" s="37"/>
      <c r="F626" s="38"/>
      <c r="G626" s="34"/>
      <c r="H626" s="37"/>
      <c r="I626" s="27"/>
      <c r="J626" s="27"/>
      <c r="K626" s="27"/>
      <c r="L626" s="27"/>
      <c r="M626" s="27"/>
      <c r="N626" s="27"/>
      <c r="O626" s="27"/>
      <c r="P626" s="27"/>
      <c r="Q626" s="27"/>
    </row>
    <row r="627">
      <c r="A627" s="27"/>
      <c r="B627" s="35"/>
      <c r="C627" s="36"/>
      <c r="D627" s="36"/>
      <c r="E627" s="37"/>
      <c r="F627" s="38"/>
      <c r="G627" s="34"/>
      <c r="H627" s="37"/>
      <c r="I627" s="27"/>
      <c r="J627" s="27"/>
      <c r="K627" s="27"/>
      <c r="L627" s="27"/>
      <c r="M627" s="27"/>
      <c r="N627" s="27"/>
      <c r="O627" s="27"/>
      <c r="P627" s="27"/>
      <c r="Q627" s="27"/>
    </row>
    <row r="628">
      <c r="A628" s="27"/>
      <c r="B628" s="35"/>
      <c r="C628" s="36"/>
      <c r="D628" s="36"/>
      <c r="E628" s="37"/>
      <c r="F628" s="38"/>
      <c r="G628" s="34"/>
      <c r="H628" s="37"/>
      <c r="I628" s="27"/>
      <c r="J628" s="27"/>
      <c r="K628" s="27"/>
      <c r="L628" s="27"/>
      <c r="M628" s="27"/>
      <c r="N628" s="27"/>
      <c r="O628" s="27"/>
      <c r="P628" s="27"/>
      <c r="Q628" s="27"/>
    </row>
    <row r="629">
      <c r="A629" s="27"/>
      <c r="B629" s="35"/>
      <c r="C629" s="36"/>
      <c r="D629" s="36"/>
      <c r="E629" s="37"/>
      <c r="F629" s="38"/>
      <c r="G629" s="34"/>
      <c r="H629" s="37"/>
      <c r="I629" s="27"/>
      <c r="J629" s="27"/>
      <c r="K629" s="27"/>
      <c r="L629" s="27"/>
      <c r="M629" s="27"/>
      <c r="N629" s="27"/>
      <c r="O629" s="27"/>
      <c r="P629" s="27"/>
      <c r="Q629" s="27"/>
    </row>
    <row r="630">
      <c r="A630" s="27"/>
      <c r="B630" s="35"/>
      <c r="C630" s="36"/>
      <c r="D630" s="36"/>
      <c r="E630" s="37"/>
      <c r="F630" s="38"/>
      <c r="G630" s="34"/>
      <c r="H630" s="37"/>
      <c r="I630" s="27"/>
      <c r="J630" s="27"/>
      <c r="K630" s="27"/>
      <c r="L630" s="27"/>
      <c r="M630" s="27"/>
      <c r="N630" s="27"/>
      <c r="O630" s="27"/>
      <c r="P630" s="27"/>
      <c r="Q630" s="27"/>
    </row>
    <row r="631">
      <c r="A631" s="27"/>
      <c r="B631" s="35"/>
      <c r="C631" s="36"/>
      <c r="D631" s="36"/>
      <c r="E631" s="37"/>
      <c r="F631" s="38"/>
      <c r="G631" s="34"/>
      <c r="H631" s="37"/>
      <c r="I631" s="27"/>
      <c r="J631" s="27"/>
      <c r="K631" s="27"/>
      <c r="L631" s="27"/>
      <c r="M631" s="27"/>
      <c r="N631" s="27"/>
      <c r="O631" s="27"/>
      <c r="P631" s="27"/>
      <c r="Q631" s="27"/>
    </row>
    <row r="632">
      <c r="A632" s="27"/>
      <c r="B632" s="35"/>
      <c r="C632" s="36"/>
      <c r="D632" s="36"/>
      <c r="E632" s="37"/>
      <c r="F632" s="38"/>
      <c r="G632" s="34"/>
      <c r="H632" s="37"/>
      <c r="I632" s="27"/>
      <c r="J632" s="27"/>
      <c r="K632" s="27"/>
      <c r="L632" s="27"/>
      <c r="M632" s="27"/>
      <c r="N632" s="27"/>
      <c r="O632" s="27"/>
      <c r="P632" s="27"/>
      <c r="Q632" s="27"/>
    </row>
    <row r="633">
      <c r="A633" s="27"/>
      <c r="B633" s="35"/>
      <c r="C633" s="36"/>
      <c r="D633" s="36"/>
      <c r="E633" s="37"/>
      <c r="F633" s="38"/>
      <c r="G633" s="34"/>
      <c r="H633" s="37"/>
      <c r="I633" s="27"/>
      <c r="J633" s="27"/>
      <c r="K633" s="27"/>
      <c r="L633" s="27"/>
      <c r="M633" s="27"/>
      <c r="N633" s="27"/>
      <c r="O633" s="27"/>
      <c r="P633" s="27"/>
      <c r="Q633" s="27"/>
    </row>
    <row r="634">
      <c r="A634" s="27"/>
      <c r="B634" s="35"/>
      <c r="C634" s="36"/>
      <c r="D634" s="36"/>
      <c r="E634" s="37"/>
      <c r="F634" s="38"/>
      <c r="G634" s="34"/>
      <c r="H634" s="37"/>
      <c r="I634" s="27"/>
      <c r="J634" s="27"/>
      <c r="K634" s="27"/>
      <c r="L634" s="27"/>
      <c r="M634" s="27"/>
      <c r="N634" s="27"/>
      <c r="O634" s="27"/>
      <c r="P634" s="27"/>
      <c r="Q634" s="27"/>
    </row>
    <row r="635">
      <c r="A635" s="27"/>
      <c r="B635" s="35"/>
      <c r="C635" s="36"/>
      <c r="D635" s="36"/>
      <c r="E635" s="37"/>
      <c r="F635" s="38"/>
      <c r="G635" s="34"/>
      <c r="H635" s="37"/>
      <c r="I635" s="27"/>
      <c r="J635" s="27"/>
      <c r="K635" s="27"/>
      <c r="L635" s="27"/>
      <c r="M635" s="27"/>
      <c r="N635" s="27"/>
      <c r="O635" s="27"/>
      <c r="P635" s="27"/>
      <c r="Q635" s="27"/>
    </row>
    <row r="636">
      <c r="A636" s="27"/>
      <c r="B636" s="35"/>
      <c r="C636" s="36"/>
      <c r="D636" s="36"/>
      <c r="E636" s="37"/>
      <c r="F636" s="38"/>
      <c r="G636" s="34"/>
      <c r="H636" s="37"/>
      <c r="I636" s="27"/>
      <c r="J636" s="27"/>
      <c r="K636" s="27"/>
      <c r="L636" s="27"/>
      <c r="M636" s="27"/>
      <c r="N636" s="27"/>
      <c r="O636" s="27"/>
      <c r="P636" s="27"/>
      <c r="Q636" s="27"/>
    </row>
    <row r="637">
      <c r="A637" s="27"/>
      <c r="B637" s="35"/>
      <c r="C637" s="36"/>
      <c r="D637" s="36"/>
      <c r="E637" s="37"/>
      <c r="F637" s="38"/>
      <c r="G637" s="34"/>
      <c r="H637" s="37"/>
      <c r="I637" s="27"/>
      <c r="J637" s="27"/>
      <c r="K637" s="27"/>
      <c r="L637" s="27"/>
      <c r="M637" s="27"/>
      <c r="N637" s="27"/>
      <c r="O637" s="27"/>
      <c r="P637" s="27"/>
      <c r="Q637" s="27"/>
    </row>
    <row r="638">
      <c r="A638" s="27"/>
      <c r="B638" s="35"/>
      <c r="C638" s="36"/>
      <c r="D638" s="36"/>
      <c r="E638" s="37"/>
      <c r="F638" s="38"/>
      <c r="G638" s="34"/>
      <c r="H638" s="37"/>
      <c r="I638" s="27"/>
      <c r="J638" s="27"/>
      <c r="K638" s="27"/>
      <c r="L638" s="27"/>
      <c r="M638" s="27"/>
      <c r="N638" s="27"/>
      <c r="O638" s="27"/>
      <c r="P638" s="27"/>
      <c r="Q638" s="27"/>
    </row>
    <row r="639">
      <c r="A639" s="27"/>
      <c r="B639" s="35"/>
      <c r="C639" s="36"/>
      <c r="D639" s="36"/>
      <c r="E639" s="37"/>
      <c r="F639" s="38"/>
      <c r="G639" s="34"/>
      <c r="H639" s="37"/>
      <c r="I639" s="27"/>
      <c r="J639" s="27"/>
      <c r="K639" s="27"/>
      <c r="L639" s="27"/>
      <c r="M639" s="27"/>
      <c r="N639" s="27"/>
      <c r="O639" s="27"/>
      <c r="P639" s="27"/>
      <c r="Q639" s="27"/>
    </row>
    <row r="640">
      <c r="A640" s="27"/>
      <c r="B640" s="35"/>
      <c r="C640" s="36"/>
      <c r="D640" s="36"/>
      <c r="E640" s="37"/>
      <c r="F640" s="38"/>
      <c r="G640" s="34"/>
      <c r="H640" s="37"/>
      <c r="I640" s="27"/>
      <c r="J640" s="27"/>
      <c r="K640" s="27"/>
      <c r="L640" s="27"/>
      <c r="M640" s="27"/>
      <c r="N640" s="27"/>
      <c r="O640" s="27"/>
      <c r="P640" s="27"/>
      <c r="Q640" s="27"/>
    </row>
    <row r="641">
      <c r="A641" s="27"/>
      <c r="B641" s="35"/>
      <c r="C641" s="36"/>
      <c r="D641" s="36"/>
      <c r="E641" s="37"/>
      <c r="F641" s="38"/>
      <c r="G641" s="34"/>
      <c r="H641" s="37"/>
      <c r="I641" s="27"/>
      <c r="J641" s="27"/>
      <c r="K641" s="27"/>
      <c r="L641" s="27"/>
      <c r="M641" s="27"/>
      <c r="N641" s="27"/>
      <c r="O641" s="27"/>
      <c r="P641" s="27"/>
      <c r="Q641" s="27"/>
    </row>
    <row r="642">
      <c r="A642" s="27"/>
      <c r="B642" s="35"/>
      <c r="C642" s="36"/>
      <c r="D642" s="36"/>
      <c r="E642" s="37"/>
      <c r="F642" s="38"/>
      <c r="G642" s="34"/>
      <c r="H642" s="37"/>
      <c r="I642" s="27"/>
      <c r="J642" s="27"/>
      <c r="K642" s="27"/>
      <c r="L642" s="27"/>
      <c r="M642" s="27"/>
      <c r="N642" s="27"/>
      <c r="O642" s="27"/>
      <c r="P642" s="27"/>
      <c r="Q642" s="27"/>
    </row>
    <row r="643">
      <c r="A643" s="27"/>
      <c r="B643" s="35"/>
      <c r="C643" s="36"/>
      <c r="D643" s="36"/>
      <c r="E643" s="37"/>
      <c r="F643" s="38"/>
      <c r="G643" s="34"/>
      <c r="H643" s="37"/>
      <c r="I643" s="27"/>
      <c r="J643" s="27"/>
      <c r="K643" s="27"/>
      <c r="L643" s="27"/>
      <c r="M643" s="27"/>
      <c r="N643" s="27"/>
      <c r="O643" s="27"/>
      <c r="P643" s="27"/>
      <c r="Q643" s="27"/>
    </row>
    <row r="644">
      <c r="A644" s="27"/>
      <c r="B644" s="35"/>
      <c r="C644" s="36"/>
      <c r="D644" s="36"/>
      <c r="E644" s="37"/>
      <c r="F644" s="38"/>
      <c r="G644" s="34"/>
      <c r="H644" s="37"/>
      <c r="I644" s="27"/>
      <c r="J644" s="27"/>
      <c r="K644" s="27"/>
      <c r="L644" s="27"/>
      <c r="M644" s="27"/>
      <c r="N644" s="27"/>
      <c r="O644" s="27"/>
      <c r="P644" s="27"/>
      <c r="Q644" s="27"/>
    </row>
    <row r="645">
      <c r="A645" s="27"/>
      <c r="B645" s="35"/>
      <c r="C645" s="36"/>
      <c r="D645" s="36"/>
      <c r="E645" s="37"/>
      <c r="F645" s="38"/>
      <c r="G645" s="34"/>
      <c r="H645" s="37"/>
      <c r="I645" s="27"/>
      <c r="J645" s="27"/>
      <c r="K645" s="27"/>
      <c r="L645" s="27"/>
      <c r="M645" s="27"/>
      <c r="N645" s="27"/>
      <c r="O645" s="27"/>
      <c r="P645" s="27"/>
      <c r="Q645" s="27"/>
    </row>
    <row r="646">
      <c r="A646" s="27"/>
      <c r="B646" s="35"/>
      <c r="C646" s="36"/>
      <c r="D646" s="36"/>
      <c r="E646" s="37"/>
      <c r="F646" s="38"/>
      <c r="G646" s="34"/>
      <c r="H646" s="37"/>
      <c r="I646" s="27"/>
      <c r="J646" s="27"/>
      <c r="K646" s="27"/>
      <c r="L646" s="27"/>
      <c r="M646" s="27"/>
      <c r="N646" s="27"/>
      <c r="O646" s="27"/>
      <c r="P646" s="27"/>
      <c r="Q646" s="27"/>
    </row>
    <row r="647">
      <c r="A647" s="27"/>
      <c r="B647" s="35"/>
      <c r="C647" s="36"/>
      <c r="D647" s="36"/>
      <c r="E647" s="37"/>
      <c r="F647" s="38"/>
      <c r="G647" s="34"/>
      <c r="H647" s="37"/>
      <c r="I647" s="27"/>
      <c r="J647" s="27"/>
      <c r="K647" s="27"/>
      <c r="L647" s="27"/>
      <c r="M647" s="27"/>
      <c r="N647" s="27"/>
      <c r="O647" s="27"/>
      <c r="P647" s="27"/>
      <c r="Q647" s="27"/>
    </row>
    <row r="648">
      <c r="A648" s="27"/>
      <c r="B648" s="35"/>
      <c r="C648" s="36"/>
      <c r="D648" s="36"/>
      <c r="E648" s="37"/>
      <c r="F648" s="38"/>
      <c r="G648" s="34"/>
      <c r="H648" s="37"/>
      <c r="I648" s="27"/>
      <c r="J648" s="27"/>
      <c r="K648" s="27"/>
      <c r="L648" s="27"/>
      <c r="M648" s="27"/>
      <c r="N648" s="27"/>
      <c r="O648" s="27"/>
      <c r="P648" s="27"/>
      <c r="Q648" s="27"/>
    </row>
    <row r="649">
      <c r="A649" s="27"/>
      <c r="B649" s="35"/>
      <c r="C649" s="36"/>
      <c r="D649" s="36"/>
      <c r="E649" s="37"/>
      <c r="F649" s="38"/>
      <c r="G649" s="34"/>
      <c r="H649" s="37"/>
      <c r="I649" s="27"/>
      <c r="J649" s="27"/>
      <c r="K649" s="27"/>
      <c r="L649" s="27"/>
      <c r="M649" s="27"/>
      <c r="N649" s="27"/>
      <c r="O649" s="27"/>
      <c r="P649" s="27"/>
      <c r="Q649" s="27"/>
    </row>
    <row r="650">
      <c r="A650" s="27"/>
      <c r="B650" s="35"/>
      <c r="C650" s="36"/>
      <c r="D650" s="36"/>
      <c r="E650" s="37"/>
      <c r="F650" s="38"/>
      <c r="G650" s="34"/>
      <c r="H650" s="37"/>
      <c r="I650" s="27"/>
      <c r="J650" s="27"/>
      <c r="K650" s="27"/>
      <c r="L650" s="27"/>
      <c r="M650" s="27"/>
      <c r="N650" s="27"/>
      <c r="O650" s="27"/>
      <c r="P650" s="27"/>
      <c r="Q650" s="27"/>
    </row>
    <row r="651">
      <c r="A651" s="27"/>
      <c r="B651" s="35"/>
      <c r="C651" s="36"/>
      <c r="D651" s="36"/>
      <c r="E651" s="37"/>
      <c r="F651" s="38"/>
      <c r="G651" s="34"/>
      <c r="H651" s="37"/>
      <c r="I651" s="27"/>
      <c r="J651" s="27"/>
      <c r="K651" s="27"/>
      <c r="L651" s="27"/>
      <c r="M651" s="27"/>
      <c r="N651" s="27"/>
      <c r="O651" s="27"/>
      <c r="P651" s="27"/>
      <c r="Q651" s="27"/>
    </row>
    <row r="652">
      <c r="A652" s="27"/>
      <c r="B652" s="35"/>
      <c r="C652" s="36"/>
      <c r="D652" s="36"/>
      <c r="E652" s="37"/>
      <c r="F652" s="38"/>
      <c r="G652" s="34"/>
      <c r="H652" s="37"/>
      <c r="I652" s="27"/>
      <c r="J652" s="27"/>
      <c r="K652" s="27"/>
      <c r="L652" s="27"/>
      <c r="M652" s="27"/>
      <c r="N652" s="27"/>
      <c r="O652" s="27"/>
      <c r="P652" s="27"/>
      <c r="Q652" s="27"/>
    </row>
    <row r="653">
      <c r="A653" s="27"/>
      <c r="B653" s="35"/>
      <c r="C653" s="36"/>
      <c r="D653" s="36"/>
      <c r="E653" s="37"/>
      <c r="F653" s="38"/>
      <c r="G653" s="34"/>
      <c r="H653" s="37"/>
      <c r="I653" s="27"/>
      <c r="J653" s="27"/>
      <c r="K653" s="27"/>
      <c r="L653" s="27"/>
      <c r="M653" s="27"/>
      <c r="N653" s="27"/>
      <c r="O653" s="27"/>
      <c r="P653" s="27"/>
      <c r="Q653" s="27"/>
    </row>
    <row r="654">
      <c r="A654" s="27"/>
      <c r="B654" s="35"/>
      <c r="C654" s="36"/>
      <c r="D654" s="36"/>
      <c r="E654" s="37"/>
      <c r="F654" s="38"/>
      <c r="G654" s="34"/>
      <c r="H654" s="37"/>
      <c r="I654" s="27"/>
      <c r="J654" s="27"/>
      <c r="K654" s="27"/>
      <c r="L654" s="27"/>
      <c r="M654" s="27"/>
      <c r="N654" s="27"/>
      <c r="O654" s="27"/>
      <c r="P654" s="27"/>
      <c r="Q654" s="27"/>
    </row>
    <row r="655">
      <c r="A655" s="27"/>
      <c r="B655" s="35"/>
      <c r="C655" s="36"/>
      <c r="D655" s="36"/>
      <c r="E655" s="37"/>
      <c r="F655" s="38"/>
      <c r="G655" s="34"/>
      <c r="H655" s="37"/>
      <c r="I655" s="27"/>
      <c r="J655" s="27"/>
      <c r="K655" s="27"/>
      <c r="L655" s="27"/>
      <c r="M655" s="27"/>
      <c r="N655" s="27"/>
      <c r="O655" s="27"/>
      <c r="P655" s="27"/>
      <c r="Q655" s="27"/>
    </row>
    <row r="656">
      <c r="A656" s="27"/>
      <c r="B656" s="35"/>
      <c r="C656" s="36"/>
      <c r="D656" s="36"/>
      <c r="E656" s="37"/>
      <c r="F656" s="38"/>
      <c r="G656" s="34"/>
      <c r="H656" s="37"/>
      <c r="I656" s="27"/>
      <c r="J656" s="27"/>
      <c r="K656" s="27"/>
      <c r="L656" s="27"/>
      <c r="M656" s="27"/>
      <c r="N656" s="27"/>
      <c r="O656" s="27"/>
      <c r="P656" s="27"/>
      <c r="Q656" s="27"/>
    </row>
    <row r="657">
      <c r="A657" s="27"/>
      <c r="B657" s="35"/>
      <c r="C657" s="36"/>
      <c r="D657" s="36"/>
      <c r="E657" s="37"/>
      <c r="F657" s="38"/>
      <c r="G657" s="34"/>
      <c r="H657" s="37"/>
      <c r="I657" s="27"/>
      <c r="J657" s="27"/>
      <c r="K657" s="27"/>
      <c r="L657" s="27"/>
      <c r="M657" s="27"/>
      <c r="N657" s="27"/>
      <c r="O657" s="27"/>
      <c r="P657" s="27"/>
      <c r="Q657" s="27"/>
    </row>
    <row r="658">
      <c r="A658" s="27"/>
      <c r="B658" s="35"/>
      <c r="C658" s="36"/>
      <c r="D658" s="36"/>
      <c r="E658" s="37"/>
      <c r="F658" s="38"/>
      <c r="G658" s="34"/>
      <c r="H658" s="37"/>
      <c r="I658" s="27"/>
      <c r="J658" s="27"/>
      <c r="K658" s="27"/>
      <c r="L658" s="27"/>
      <c r="M658" s="27"/>
      <c r="N658" s="27"/>
      <c r="O658" s="27"/>
      <c r="P658" s="27"/>
      <c r="Q658" s="27"/>
    </row>
    <row r="659">
      <c r="A659" s="27"/>
      <c r="B659" s="35"/>
      <c r="C659" s="36"/>
      <c r="D659" s="36"/>
      <c r="E659" s="37"/>
      <c r="F659" s="38"/>
      <c r="G659" s="34"/>
      <c r="H659" s="37"/>
      <c r="I659" s="27"/>
      <c r="J659" s="27"/>
      <c r="K659" s="27"/>
      <c r="L659" s="27"/>
      <c r="M659" s="27"/>
      <c r="N659" s="27"/>
      <c r="O659" s="27"/>
      <c r="P659" s="27"/>
      <c r="Q659" s="27"/>
    </row>
    <row r="660">
      <c r="A660" s="27"/>
      <c r="B660" s="35"/>
      <c r="C660" s="36"/>
      <c r="D660" s="36"/>
      <c r="E660" s="37"/>
      <c r="F660" s="38"/>
      <c r="G660" s="34"/>
      <c r="H660" s="37"/>
      <c r="I660" s="27"/>
      <c r="J660" s="27"/>
      <c r="K660" s="27"/>
      <c r="L660" s="27"/>
      <c r="M660" s="27"/>
      <c r="N660" s="27"/>
      <c r="O660" s="27"/>
      <c r="P660" s="27"/>
      <c r="Q660" s="27"/>
    </row>
    <row r="661">
      <c r="A661" s="27"/>
      <c r="B661" s="35"/>
      <c r="C661" s="36"/>
      <c r="D661" s="36"/>
      <c r="E661" s="37"/>
      <c r="F661" s="38"/>
      <c r="G661" s="34"/>
      <c r="H661" s="37"/>
      <c r="I661" s="27"/>
      <c r="J661" s="27"/>
      <c r="K661" s="27"/>
      <c r="L661" s="27"/>
      <c r="M661" s="27"/>
      <c r="N661" s="27"/>
      <c r="O661" s="27"/>
      <c r="P661" s="27"/>
      <c r="Q661" s="27"/>
    </row>
    <row r="662">
      <c r="A662" s="27"/>
      <c r="B662" s="35"/>
      <c r="C662" s="36"/>
      <c r="D662" s="36"/>
      <c r="E662" s="37"/>
      <c r="F662" s="38"/>
      <c r="G662" s="34"/>
      <c r="H662" s="37"/>
      <c r="I662" s="27"/>
      <c r="J662" s="27"/>
      <c r="K662" s="27"/>
      <c r="L662" s="27"/>
      <c r="M662" s="27"/>
      <c r="N662" s="27"/>
      <c r="O662" s="27"/>
      <c r="P662" s="27"/>
      <c r="Q662" s="27"/>
    </row>
    <row r="663">
      <c r="A663" s="27"/>
      <c r="B663" s="35"/>
      <c r="C663" s="36"/>
      <c r="D663" s="36"/>
      <c r="E663" s="37"/>
      <c r="F663" s="38"/>
      <c r="G663" s="34"/>
      <c r="H663" s="37"/>
      <c r="I663" s="27"/>
      <c r="J663" s="27"/>
      <c r="K663" s="27"/>
      <c r="L663" s="27"/>
      <c r="M663" s="27"/>
      <c r="N663" s="27"/>
      <c r="O663" s="27"/>
      <c r="P663" s="27"/>
      <c r="Q663" s="27"/>
    </row>
    <row r="664">
      <c r="A664" s="27"/>
      <c r="B664" s="35"/>
      <c r="C664" s="36"/>
      <c r="D664" s="36"/>
      <c r="E664" s="37"/>
      <c r="F664" s="38"/>
      <c r="G664" s="34"/>
      <c r="H664" s="37"/>
      <c r="I664" s="27"/>
      <c r="J664" s="27"/>
      <c r="K664" s="27"/>
      <c r="L664" s="27"/>
      <c r="M664" s="27"/>
      <c r="N664" s="27"/>
      <c r="O664" s="27"/>
      <c r="P664" s="27"/>
      <c r="Q664" s="27"/>
    </row>
    <row r="665">
      <c r="A665" s="27"/>
      <c r="B665" s="35"/>
      <c r="C665" s="36"/>
      <c r="D665" s="36"/>
      <c r="E665" s="37"/>
      <c r="F665" s="38"/>
      <c r="G665" s="34"/>
      <c r="H665" s="37"/>
      <c r="I665" s="27"/>
      <c r="J665" s="27"/>
      <c r="K665" s="27"/>
      <c r="L665" s="27"/>
      <c r="M665" s="27"/>
      <c r="N665" s="27"/>
      <c r="O665" s="27"/>
      <c r="P665" s="27"/>
      <c r="Q665" s="27"/>
    </row>
    <row r="666">
      <c r="A666" s="27"/>
      <c r="B666" s="35"/>
      <c r="C666" s="36"/>
      <c r="D666" s="36"/>
      <c r="E666" s="37"/>
      <c r="F666" s="38"/>
      <c r="G666" s="34"/>
      <c r="H666" s="37"/>
      <c r="I666" s="27"/>
      <c r="J666" s="27"/>
      <c r="K666" s="27"/>
      <c r="L666" s="27"/>
      <c r="M666" s="27"/>
      <c r="N666" s="27"/>
      <c r="O666" s="27"/>
      <c r="P666" s="27"/>
      <c r="Q666" s="27"/>
    </row>
    <row r="667">
      <c r="A667" s="27"/>
      <c r="B667" s="35"/>
      <c r="C667" s="36"/>
      <c r="D667" s="36"/>
      <c r="E667" s="37"/>
      <c r="F667" s="38"/>
      <c r="G667" s="34"/>
      <c r="H667" s="37"/>
      <c r="I667" s="27"/>
      <c r="J667" s="27"/>
      <c r="K667" s="27"/>
      <c r="L667" s="27"/>
      <c r="M667" s="27"/>
      <c r="N667" s="27"/>
      <c r="O667" s="27"/>
      <c r="P667" s="27"/>
      <c r="Q667" s="27"/>
    </row>
    <row r="668">
      <c r="A668" s="27"/>
      <c r="B668" s="35"/>
      <c r="C668" s="36"/>
      <c r="D668" s="36"/>
      <c r="E668" s="37"/>
      <c r="F668" s="38"/>
      <c r="G668" s="34"/>
      <c r="H668" s="37"/>
      <c r="I668" s="27"/>
      <c r="J668" s="27"/>
      <c r="K668" s="27"/>
      <c r="L668" s="27"/>
      <c r="M668" s="27"/>
      <c r="N668" s="27"/>
      <c r="O668" s="27"/>
      <c r="P668" s="27"/>
      <c r="Q668" s="27"/>
    </row>
    <row r="669">
      <c r="A669" s="27"/>
      <c r="B669" s="35"/>
      <c r="C669" s="36"/>
      <c r="D669" s="36"/>
      <c r="E669" s="37"/>
      <c r="F669" s="38"/>
      <c r="G669" s="34"/>
      <c r="H669" s="37"/>
      <c r="I669" s="27"/>
      <c r="J669" s="27"/>
      <c r="K669" s="27"/>
      <c r="L669" s="27"/>
      <c r="M669" s="27"/>
      <c r="N669" s="27"/>
      <c r="O669" s="27"/>
      <c r="P669" s="27"/>
      <c r="Q669" s="27"/>
    </row>
    <row r="670">
      <c r="A670" s="27"/>
      <c r="B670" s="35"/>
      <c r="C670" s="36"/>
      <c r="D670" s="36"/>
      <c r="E670" s="37"/>
      <c r="F670" s="38"/>
      <c r="G670" s="34"/>
      <c r="H670" s="37"/>
      <c r="I670" s="27"/>
      <c r="J670" s="27"/>
      <c r="K670" s="27"/>
      <c r="L670" s="27"/>
      <c r="M670" s="27"/>
      <c r="N670" s="27"/>
      <c r="O670" s="27"/>
      <c r="P670" s="27"/>
      <c r="Q670" s="27"/>
    </row>
    <row r="671">
      <c r="A671" s="27"/>
      <c r="B671" s="35"/>
      <c r="C671" s="36"/>
      <c r="D671" s="36"/>
      <c r="E671" s="37"/>
      <c r="F671" s="38"/>
      <c r="G671" s="34"/>
      <c r="H671" s="37"/>
      <c r="I671" s="27"/>
      <c r="J671" s="27"/>
      <c r="K671" s="27"/>
      <c r="L671" s="27"/>
      <c r="M671" s="27"/>
      <c r="N671" s="27"/>
      <c r="O671" s="27"/>
      <c r="P671" s="27"/>
      <c r="Q671" s="27"/>
    </row>
    <row r="672">
      <c r="A672" s="27"/>
      <c r="B672" s="35"/>
      <c r="C672" s="36"/>
      <c r="D672" s="36"/>
      <c r="E672" s="37"/>
      <c r="F672" s="38"/>
      <c r="G672" s="34"/>
      <c r="H672" s="37"/>
      <c r="I672" s="27"/>
      <c r="J672" s="27"/>
      <c r="K672" s="27"/>
      <c r="L672" s="27"/>
      <c r="M672" s="27"/>
      <c r="N672" s="27"/>
      <c r="O672" s="27"/>
      <c r="P672" s="27"/>
      <c r="Q672" s="27"/>
    </row>
    <row r="673">
      <c r="A673" s="27"/>
      <c r="B673" s="35"/>
      <c r="C673" s="36"/>
      <c r="D673" s="36"/>
      <c r="E673" s="37"/>
      <c r="F673" s="38"/>
      <c r="G673" s="34"/>
      <c r="H673" s="37"/>
      <c r="I673" s="27"/>
      <c r="J673" s="27"/>
      <c r="K673" s="27"/>
      <c r="L673" s="27"/>
      <c r="M673" s="27"/>
      <c r="N673" s="27"/>
      <c r="O673" s="27"/>
      <c r="P673" s="27"/>
      <c r="Q673" s="27"/>
    </row>
    <row r="674">
      <c r="A674" s="27"/>
      <c r="B674" s="35"/>
      <c r="C674" s="36"/>
      <c r="D674" s="36"/>
      <c r="E674" s="37"/>
      <c r="F674" s="38"/>
      <c r="G674" s="34"/>
      <c r="H674" s="37"/>
      <c r="I674" s="27"/>
      <c r="J674" s="27"/>
      <c r="K674" s="27"/>
      <c r="L674" s="27"/>
      <c r="M674" s="27"/>
      <c r="N674" s="27"/>
      <c r="O674" s="27"/>
      <c r="P674" s="27"/>
      <c r="Q674" s="27"/>
    </row>
    <row r="675">
      <c r="A675" s="27"/>
      <c r="B675" s="35"/>
      <c r="C675" s="36"/>
      <c r="D675" s="36"/>
      <c r="E675" s="37"/>
      <c r="F675" s="38"/>
      <c r="G675" s="34"/>
      <c r="H675" s="37"/>
      <c r="I675" s="27"/>
      <c r="J675" s="27"/>
      <c r="K675" s="27"/>
      <c r="L675" s="27"/>
      <c r="M675" s="27"/>
      <c r="N675" s="27"/>
      <c r="O675" s="27"/>
      <c r="P675" s="27"/>
      <c r="Q675" s="27"/>
    </row>
    <row r="676">
      <c r="A676" s="27"/>
      <c r="B676" s="35"/>
      <c r="C676" s="36"/>
      <c r="D676" s="36"/>
      <c r="E676" s="37"/>
      <c r="F676" s="38"/>
      <c r="G676" s="34"/>
      <c r="H676" s="37"/>
      <c r="I676" s="27"/>
      <c r="J676" s="27"/>
      <c r="K676" s="27"/>
      <c r="L676" s="27"/>
      <c r="M676" s="27"/>
      <c r="N676" s="27"/>
      <c r="O676" s="27"/>
      <c r="P676" s="27"/>
      <c r="Q676" s="27"/>
    </row>
    <row r="677">
      <c r="A677" s="27"/>
      <c r="B677" s="35"/>
      <c r="C677" s="36"/>
      <c r="D677" s="36"/>
      <c r="E677" s="37"/>
      <c r="F677" s="38"/>
      <c r="G677" s="34"/>
      <c r="H677" s="37"/>
      <c r="I677" s="27"/>
      <c r="J677" s="27"/>
      <c r="K677" s="27"/>
      <c r="L677" s="27"/>
      <c r="M677" s="27"/>
      <c r="N677" s="27"/>
      <c r="O677" s="27"/>
      <c r="P677" s="27"/>
      <c r="Q677" s="27"/>
    </row>
    <row r="678">
      <c r="A678" s="27"/>
      <c r="B678" s="35"/>
      <c r="C678" s="36"/>
      <c r="D678" s="36"/>
      <c r="E678" s="37"/>
      <c r="F678" s="38"/>
      <c r="G678" s="34"/>
      <c r="H678" s="37"/>
      <c r="I678" s="27"/>
      <c r="J678" s="27"/>
      <c r="K678" s="27"/>
      <c r="L678" s="27"/>
      <c r="M678" s="27"/>
      <c r="N678" s="27"/>
      <c r="O678" s="27"/>
      <c r="P678" s="27"/>
      <c r="Q678" s="27"/>
    </row>
    <row r="679">
      <c r="A679" s="27"/>
      <c r="B679" s="35"/>
      <c r="C679" s="36"/>
      <c r="D679" s="36"/>
      <c r="E679" s="37"/>
      <c r="F679" s="38"/>
      <c r="G679" s="34"/>
      <c r="H679" s="37"/>
      <c r="I679" s="27"/>
      <c r="J679" s="27"/>
      <c r="K679" s="27"/>
      <c r="L679" s="27"/>
      <c r="M679" s="27"/>
      <c r="N679" s="27"/>
      <c r="O679" s="27"/>
      <c r="P679" s="27"/>
      <c r="Q679" s="27"/>
    </row>
    <row r="680">
      <c r="A680" s="27"/>
      <c r="B680" s="35"/>
      <c r="C680" s="36"/>
      <c r="D680" s="36"/>
      <c r="E680" s="37"/>
      <c r="F680" s="38"/>
      <c r="G680" s="34"/>
      <c r="H680" s="37"/>
      <c r="I680" s="27"/>
      <c r="J680" s="27"/>
      <c r="K680" s="27"/>
      <c r="L680" s="27"/>
      <c r="M680" s="27"/>
      <c r="N680" s="27"/>
      <c r="O680" s="27"/>
      <c r="P680" s="27"/>
      <c r="Q680" s="27"/>
    </row>
    <row r="681">
      <c r="A681" s="27"/>
      <c r="B681" s="35"/>
      <c r="C681" s="36"/>
      <c r="D681" s="36"/>
      <c r="E681" s="37"/>
      <c r="F681" s="38"/>
      <c r="G681" s="34"/>
      <c r="H681" s="37"/>
      <c r="I681" s="27"/>
      <c r="J681" s="27"/>
      <c r="K681" s="27"/>
      <c r="L681" s="27"/>
      <c r="M681" s="27"/>
      <c r="N681" s="27"/>
      <c r="O681" s="27"/>
      <c r="P681" s="27"/>
      <c r="Q681" s="27"/>
    </row>
    <row r="682">
      <c r="A682" s="27"/>
      <c r="B682" s="35"/>
      <c r="C682" s="36"/>
      <c r="D682" s="36"/>
      <c r="E682" s="37"/>
      <c r="F682" s="38"/>
      <c r="G682" s="34"/>
      <c r="H682" s="37"/>
      <c r="I682" s="27"/>
      <c r="J682" s="27"/>
      <c r="K682" s="27"/>
      <c r="L682" s="27"/>
      <c r="M682" s="27"/>
      <c r="N682" s="27"/>
      <c r="O682" s="27"/>
      <c r="P682" s="27"/>
      <c r="Q682" s="27"/>
    </row>
    <row r="683">
      <c r="A683" s="27"/>
      <c r="B683" s="35"/>
      <c r="C683" s="36"/>
      <c r="D683" s="36"/>
      <c r="E683" s="37"/>
      <c r="F683" s="38"/>
      <c r="G683" s="34"/>
      <c r="H683" s="37"/>
      <c r="I683" s="27"/>
      <c r="J683" s="27"/>
      <c r="K683" s="27"/>
      <c r="L683" s="27"/>
      <c r="M683" s="27"/>
      <c r="N683" s="27"/>
      <c r="O683" s="27"/>
      <c r="P683" s="27"/>
      <c r="Q683" s="27"/>
    </row>
    <row r="684">
      <c r="A684" s="27"/>
      <c r="B684" s="35"/>
      <c r="C684" s="36"/>
      <c r="D684" s="36"/>
      <c r="E684" s="37"/>
      <c r="F684" s="38"/>
      <c r="G684" s="34"/>
      <c r="H684" s="37"/>
      <c r="I684" s="27"/>
      <c r="J684" s="27"/>
      <c r="K684" s="27"/>
      <c r="L684" s="27"/>
      <c r="M684" s="27"/>
      <c r="N684" s="27"/>
      <c r="O684" s="27"/>
      <c r="P684" s="27"/>
      <c r="Q684" s="27"/>
    </row>
    <row r="685">
      <c r="A685" s="27"/>
      <c r="B685" s="35"/>
      <c r="C685" s="36"/>
      <c r="D685" s="36"/>
      <c r="E685" s="37"/>
      <c r="F685" s="38"/>
      <c r="G685" s="34"/>
      <c r="H685" s="37"/>
      <c r="I685" s="27"/>
      <c r="J685" s="27"/>
      <c r="K685" s="27"/>
      <c r="L685" s="27"/>
      <c r="M685" s="27"/>
      <c r="N685" s="27"/>
      <c r="O685" s="27"/>
      <c r="P685" s="27"/>
      <c r="Q685" s="27"/>
    </row>
    <row r="686">
      <c r="A686" s="27"/>
      <c r="B686" s="35"/>
      <c r="C686" s="36"/>
      <c r="D686" s="36"/>
      <c r="E686" s="37"/>
      <c r="F686" s="38"/>
      <c r="G686" s="34"/>
      <c r="H686" s="37"/>
      <c r="I686" s="27"/>
      <c r="J686" s="27"/>
      <c r="K686" s="27"/>
      <c r="L686" s="27"/>
      <c r="M686" s="27"/>
      <c r="N686" s="27"/>
      <c r="O686" s="27"/>
      <c r="P686" s="27"/>
      <c r="Q686" s="27"/>
    </row>
    <row r="687">
      <c r="A687" s="27"/>
      <c r="B687" s="35"/>
      <c r="C687" s="36"/>
      <c r="D687" s="36"/>
      <c r="E687" s="37"/>
      <c r="F687" s="38"/>
      <c r="G687" s="34"/>
      <c r="H687" s="37"/>
      <c r="I687" s="27"/>
      <c r="J687" s="27"/>
      <c r="K687" s="27"/>
      <c r="L687" s="27"/>
      <c r="M687" s="27"/>
      <c r="N687" s="27"/>
      <c r="O687" s="27"/>
      <c r="P687" s="27"/>
      <c r="Q687" s="27"/>
    </row>
    <row r="688">
      <c r="A688" s="27"/>
      <c r="B688" s="35"/>
      <c r="C688" s="36"/>
      <c r="D688" s="36"/>
      <c r="E688" s="37"/>
      <c r="F688" s="38"/>
      <c r="G688" s="34"/>
      <c r="H688" s="37"/>
      <c r="I688" s="27"/>
      <c r="J688" s="27"/>
      <c r="K688" s="27"/>
      <c r="L688" s="27"/>
      <c r="M688" s="27"/>
      <c r="N688" s="27"/>
      <c r="O688" s="27"/>
      <c r="P688" s="27"/>
      <c r="Q688" s="27"/>
    </row>
    <row r="689">
      <c r="A689" s="27"/>
      <c r="B689" s="35"/>
      <c r="C689" s="36"/>
      <c r="D689" s="36"/>
      <c r="E689" s="37"/>
      <c r="F689" s="38"/>
      <c r="G689" s="34"/>
      <c r="H689" s="37"/>
      <c r="I689" s="27"/>
      <c r="J689" s="27"/>
      <c r="K689" s="27"/>
      <c r="L689" s="27"/>
      <c r="M689" s="27"/>
      <c r="N689" s="27"/>
      <c r="O689" s="27"/>
      <c r="P689" s="27"/>
      <c r="Q689" s="27"/>
    </row>
    <row r="690">
      <c r="A690" s="27"/>
      <c r="B690" s="35"/>
      <c r="C690" s="36"/>
      <c r="D690" s="36"/>
      <c r="E690" s="37"/>
      <c r="F690" s="38"/>
      <c r="G690" s="34"/>
      <c r="H690" s="37"/>
      <c r="I690" s="27"/>
      <c r="J690" s="27"/>
      <c r="K690" s="27"/>
      <c r="L690" s="27"/>
      <c r="M690" s="27"/>
      <c r="N690" s="27"/>
      <c r="O690" s="27"/>
      <c r="P690" s="27"/>
      <c r="Q690" s="27"/>
    </row>
    <row r="691">
      <c r="A691" s="27"/>
      <c r="B691" s="35"/>
      <c r="C691" s="36"/>
      <c r="D691" s="36"/>
      <c r="E691" s="37"/>
      <c r="F691" s="38"/>
      <c r="G691" s="34"/>
      <c r="H691" s="37"/>
      <c r="I691" s="27"/>
      <c r="J691" s="27"/>
      <c r="K691" s="27"/>
      <c r="L691" s="27"/>
      <c r="M691" s="27"/>
      <c r="N691" s="27"/>
      <c r="O691" s="27"/>
      <c r="P691" s="27"/>
      <c r="Q691" s="27"/>
    </row>
    <row r="692">
      <c r="A692" s="27"/>
      <c r="B692" s="35"/>
      <c r="C692" s="36"/>
      <c r="D692" s="36"/>
      <c r="E692" s="37"/>
      <c r="F692" s="38"/>
      <c r="G692" s="34"/>
      <c r="H692" s="37"/>
      <c r="I692" s="27"/>
      <c r="J692" s="27"/>
      <c r="K692" s="27"/>
      <c r="L692" s="27"/>
      <c r="M692" s="27"/>
      <c r="N692" s="27"/>
      <c r="O692" s="27"/>
      <c r="P692" s="27"/>
      <c r="Q692" s="27"/>
    </row>
    <row r="693">
      <c r="A693" s="27"/>
      <c r="B693" s="35"/>
      <c r="C693" s="36"/>
      <c r="D693" s="36"/>
      <c r="E693" s="37"/>
      <c r="F693" s="38"/>
      <c r="G693" s="34"/>
      <c r="H693" s="37"/>
      <c r="I693" s="27"/>
      <c r="J693" s="27"/>
      <c r="K693" s="27"/>
      <c r="L693" s="27"/>
      <c r="M693" s="27"/>
      <c r="N693" s="27"/>
      <c r="O693" s="27"/>
      <c r="P693" s="27"/>
      <c r="Q693" s="27"/>
    </row>
    <row r="694">
      <c r="A694" s="27"/>
      <c r="B694" s="35"/>
      <c r="C694" s="36"/>
      <c r="D694" s="36"/>
      <c r="E694" s="37"/>
      <c r="F694" s="38"/>
      <c r="G694" s="34"/>
      <c r="H694" s="37"/>
      <c r="I694" s="27"/>
      <c r="J694" s="27"/>
      <c r="K694" s="27"/>
      <c r="L694" s="27"/>
      <c r="M694" s="27"/>
      <c r="N694" s="27"/>
      <c r="O694" s="27"/>
      <c r="P694" s="27"/>
      <c r="Q694" s="27"/>
    </row>
    <row r="695">
      <c r="A695" s="27"/>
      <c r="B695" s="35"/>
      <c r="C695" s="36"/>
      <c r="D695" s="36"/>
      <c r="E695" s="37"/>
      <c r="F695" s="38"/>
      <c r="G695" s="34"/>
      <c r="H695" s="37"/>
      <c r="I695" s="27"/>
      <c r="J695" s="27"/>
      <c r="K695" s="27"/>
      <c r="L695" s="27"/>
      <c r="M695" s="27"/>
      <c r="N695" s="27"/>
      <c r="O695" s="27"/>
      <c r="P695" s="27"/>
      <c r="Q695" s="27"/>
    </row>
    <row r="696">
      <c r="A696" s="27"/>
      <c r="B696" s="35"/>
      <c r="C696" s="36"/>
      <c r="D696" s="36"/>
      <c r="E696" s="37"/>
      <c r="F696" s="38"/>
      <c r="G696" s="34"/>
      <c r="H696" s="37"/>
      <c r="I696" s="27"/>
      <c r="J696" s="27"/>
      <c r="K696" s="27"/>
      <c r="L696" s="27"/>
      <c r="M696" s="27"/>
      <c r="N696" s="27"/>
      <c r="O696" s="27"/>
      <c r="P696" s="27"/>
      <c r="Q696" s="27"/>
    </row>
    <row r="697">
      <c r="A697" s="27"/>
      <c r="B697" s="35"/>
      <c r="C697" s="36"/>
      <c r="D697" s="36"/>
      <c r="E697" s="37"/>
      <c r="F697" s="38"/>
      <c r="G697" s="34"/>
      <c r="H697" s="37"/>
      <c r="I697" s="27"/>
      <c r="J697" s="27"/>
      <c r="K697" s="27"/>
      <c r="L697" s="27"/>
      <c r="M697" s="27"/>
      <c r="N697" s="27"/>
      <c r="O697" s="27"/>
      <c r="P697" s="27"/>
      <c r="Q697" s="27"/>
    </row>
    <row r="698">
      <c r="A698" s="27"/>
      <c r="B698" s="35"/>
      <c r="C698" s="36"/>
      <c r="D698" s="36"/>
      <c r="E698" s="37"/>
      <c r="F698" s="38"/>
      <c r="G698" s="34"/>
      <c r="H698" s="37"/>
      <c r="I698" s="27"/>
      <c r="J698" s="27"/>
      <c r="K698" s="27"/>
      <c r="L698" s="27"/>
      <c r="M698" s="27"/>
      <c r="N698" s="27"/>
      <c r="O698" s="27"/>
      <c r="P698" s="27"/>
      <c r="Q698" s="27"/>
    </row>
    <row r="699">
      <c r="A699" s="27"/>
      <c r="B699" s="35"/>
      <c r="C699" s="36"/>
      <c r="D699" s="36"/>
      <c r="E699" s="37"/>
      <c r="F699" s="38"/>
      <c r="G699" s="34"/>
      <c r="H699" s="37"/>
      <c r="I699" s="27"/>
      <c r="J699" s="27"/>
      <c r="K699" s="27"/>
      <c r="L699" s="27"/>
      <c r="M699" s="27"/>
      <c r="N699" s="27"/>
      <c r="O699" s="27"/>
      <c r="P699" s="27"/>
      <c r="Q699" s="27"/>
    </row>
    <row r="700">
      <c r="A700" s="27"/>
      <c r="B700" s="35"/>
      <c r="C700" s="36"/>
      <c r="D700" s="36"/>
      <c r="E700" s="37"/>
      <c r="F700" s="38"/>
      <c r="G700" s="34"/>
      <c r="H700" s="37"/>
      <c r="I700" s="27"/>
      <c r="J700" s="27"/>
      <c r="K700" s="27"/>
      <c r="L700" s="27"/>
      <c r="M700" s="27"/>
      <c r="N700" s="27"/>
      <c r="O700" s="27"/>
      <c r="P700" s="27"/>
      <c r="Q700" s="27"/>
    </row>
    <row r="701">
      <c r="A701" s="27"/>
      <c r="B701" s="35"/>
      <c r="C701" s="36"/>
      <c r="D701" s="36"/>
      <c r="E701" s="37"/>
      <c r="F701" s="38"/>
      <c r="G701" s="34"/>
      <c r="H701" s="37"/>
      <c r="I701" s="27"/>
      <c r="J701" s="27"/>
      <c r="K701" s="27"/>
      <c r="L701" s="27"/>
      <c r="M701" s="27"/>
      <c r="N701" s="27"/>
      <c r="O701" s="27"/>
      <c r="P701" s="27"/>
      <c r="Q701" s="27"/>
    </row>
    <row r="702">
      <c r="A702" s="27"/>
      <c r="B702" s="35"/>
      <c r="C702" s="36"/>
      <c r="D702" s="36"/>
      <c r="E702" s="37"/>
      <c r="F702" s="38"/>
      <c r="G702" s="34"/>
      <c r="H702" s="37"/>
      <c r="I702" s="27"/>
      <c r="J702" s="27"/>
      <c r="K702" s="27"/>
      <c r="L702" s="27"/>
      <c r="M702" s="27"/>
      <c r="N702" s="27"/>
      <c r="O702" s="27"/>
      <c r="P702" s="27"/>
      <c r="Q702" s="27"/>
    </row>
    <row r="703">
      <c r="A703" s="27"/>
      <c r="B703" s="35"/>
      <c r="C703" s="36"/>
      <c r="D703" s="36"/>
      <c r="E703" s="37"/>
      <c r="F703" s="38"/>
      <c r="G703" s="34"/>
      <c r="H703" s="37"/>
      <c r="I703" s="27"/>
      <c r="J703" s="27"/>
      <c r="K703" s="27"/>
      <c r="L703" s="27"/>
      <c r="M703" s="27"/>
      <c r="N703" s="27"/>
      <c r="O703" s="27"/>
      <c r="P703" s="27"/>
      <c r="Q703" s="27"/>
    </row>
    <row r="704">
      <c r="A704" s="27"/>
      <c r="B704" s="35"/>
      <c r="C704" s="36"/>
      <c r="D704" s="36"/>
      <c r="E704" s="37"/>
      <c r="F704" s="38"/>
      <c r="G704" s="34"/>
      <c r="H704" s="37"/>
      <c r="I704" s="27"/>
      <c r="J704" s="27"/>
      <c r="K704" s="27"/>
      <c r="L704" s="27"/>
      <c r="M704" s="27"/>
      <c r="N704" s="27"/>
      <c r="O704" s="27"/>
      <c r="P704" s="27"/>
      <c r="Q704" s="27"/>
    </row>
    <row r="705">
      <c r="A705" s="27"/>
      <c r="B705" s="35"/>
      <c r="C705" s="36"/>
      <c r="D705" s="36"/>
      <c r="E705" s="37"/>
      <c r="F705" s="38"/>
      <c r="G705" s="34"/>
      <c r="H705" s="37"/>
      <c r="I705" s="27"/>
      <c r="J705" s="27"/>
      <c r="K705" s="27"/>
      <c r="L705" s="27"/>
      <c r="M705" s="27"/>
      <c r="N705" s="27"/>
      <c r="O705" s="27"/>
      <c r="P705" s="27"/>
      <c r="Q705" s="27"/>
    </row>
    <row r="706">
      <c r="A706" s="27"/>
      <c r="B706" s="35"/>
      <c r="C706" s="36"/>
      <c r="D706" s="36"/>
      <c r="E706" s="37"/>
      <c r="F706" s="38"/>
      <c r="G706" s="34"/>
      <c r="H706" s="37"/>
      <c r="I706" s="27"/>
      <c r="J706" s="27"/>
      <c r="K706" s="27"/>
      <c r="L706" s="27"/>
      <c r="M706" s="27"/>
      <c r="N706" s="27"/>
      <c r="O706" s="27"/>
      <c r="P706" s="27"/>
      <c r="Q706" s="27"/>
    </row>
    <row r="707">
      <c r="A707" s="27"/>
      <c r="B707" s="35"/>
      <c r="C707" s="36"/>
      <c r="D707" s="36"/>
      <c r="E707" s="37"/>
      <c r="F707" s="38"/>
      <c r="G707" s="34"/>
      <c r="H707" s="37"/>
      <c r="I707" s="27"/>
      <c r="J707" s="27"/>
      <c r="K707" s="27"/>
      <c r="L707" s="27"/>
      <c r="M707" s="27"/>
      <c r="N707" s="27"/>
      <c r="O707" s="27"/>
      <c r="P707" s="27"/>
      <c r="Q707" s="27"/>
    </row>
    <row r="708">
      <c r="A708" s="27"/>
      <c r="B708" s="35"/>
      <c r="C708" s="36"/>
      <c r="D708" s="36"/>
      <c r="E708" s="37"/>
      <c r="F708" s="38"/>
      <c r="G708" s="34"/>
      <c r="H708" s="37"/>
      <c r="I708" s="27"/>
      <c r="J708" s="27"/>
      <c r="K708" s="27"/>
      <c r="L708" s="27"/>
      <c r="M708" s="27"/>
      <c r="N708" s="27"/>
      <c r="O708" s="27"/>
      <c r="P708" s="27"/>
      <c r="Q708" s="27"/>
    </row>
    <row r="709">
      <c r="A709" s="27"/>
      <c r="B709" s="35"/>
      <c r="C709" s="36"/>
      <c r="D709" s="36"/>
      <c r="E709" s="37"/>
      <c r="F709" s="38"/>
      <c r="G709" s="34"/>
      <c r="H709" s="37"/>
      <c r="I709" s="27"/>
      <c r="J709" s="27"/>
      <c r="K709" s="27"/>
      <c r="L709" s="27"/>
      <c r="M709" s="27"/>
      <c r="N709" s="27"/>
      <c r="O709" s="27"/>
      <c r="P709" s="27"/>
      <c r="Q709" s="27"/>
    </row>
    <row r="710">
      <c r="A710" s="27"/>
      <c r="B710" s="35"/>
      <c r="C710" s="36"/>
      <c r="D710" s="36"/>
      <c r="E710" s="37"/>
      <c r="F710" s="38"/>
      <c r="G710" s="34"/>
      <c r="H710" s="37"/>
      <c r="I710" s="27"/>
      <c r="J710" s="27"/>
      <c r="K710" s="27"/>
      <c r="L710" s="27"/>
      <c r="M710" s="27"/>
      <c r="N710" s="27"/>
      <c r="O710" s="27"/>
      <c r="P710" s="27"/>
      <c r="Q710" s="27"/>
    </row>
    <row r="711">
      <c r="A711" s="27"/>
      <c r="B711" s="35"/>
      <c r="C711" s="36"/>
      <c r="D711" s="36"/>
      <c r="E711" s="37"/>
      <c r="F711" s="38"/>
      <c r="G711" s="34"/>
      <c r="H711" s="37"/>
      <c r="I711" s="27"/>
      <c r="J711" s="27"/>
      <c r="K711" s="27"/>
      <c r="L711" s="27"/>
      <c r="M711" s="27"/>
      <c r="N711" s="27"/>
      <c r="O711" s="27"/>
      <c r="P711" s="27"/>
      <c r="Q711" s="27"/>
    </row>
    <row r="712">
      <c r="A712" s="27"/>
      <c r="B712" s="35"/>
      <c r="C712" s="36"/>
      <c r="D712" s="36"/>
      <c r="E712" s="37"/>
      <c r="F712" s="38"/>
      <c r="G712" s="34"/>
      <c r="H712" s="37"/>
      <c r="I712" s="27"/>
      <c r="J712" s="27"/>
      <c r="K712" s="27"/>
      <c r="L712" s="27"/>
      <c r="M712" s="27"/>
      <c r="N712" s="27"/>
      <c r="O712" s="27"/>
      <c r="P712" s="27"/>
      <c r="Q712" s="27"/>
    </row>
    <row r="713">
      <c r="A713" s="27"/>
      <c r="B713" s="35"/>
      <c r="C713" s="36"/>
      <c r="D713" s="36"/>
      <c r="E713" s="37"/>
      <c r="F713" s="38"/>
      <c r="G713" s="34"/>
      <c r="H713" s="37"/>
      <c r="I713" s="27"/>
      <c r="J713" s="27"/>
      <c r="K713" s="27"/>
      <c r="L713" s="27"/>
      <c r="M713" s="27"/>
      <c r="N713" s="27"/>
      <c r="O713" s="27"/>
      <c r="P713" s="27"/>
      <c r="Q713" s="27"/>
    </row>
    <row r="714">
      <c r="A714" s="27"/>
      <c r="B714" s="35"/>
      <c r="C714" s="36"/>
      <c r="D714" s="36"/>
      <c r="E714" s="37"/>
      <c r="F714" s="38"/>
      <c r="G714" s="34"/>
      <c r="H714" s="37"/>
      <c r="I714" s="27"/>
      <c r="J714" s="27"/>
      <c r="K714" s="27"/>
      <c r="L714" s="27"/>
      <c r="M714" s="27"/>
      <c r="N714" s="27"/>
      <c r="O714" s="27"/>
      <c r="P714" s="27"/>
      <c r="Q714" s="27"/>
    </row>
    <row r="715">
      <c r="A715" s="27"/>
      <c r="B715" s="35"/>
      <c r="C715" s="36"/>
      <c r="D715" s="36"/>
      <c r="E715" s="37"/>
      <c r="F715" s="38"/>
      <c r="G715" s="34"/>
      <c r="H715" s="37"/>
      <c r="I715" s="27"/>
      <c r="J715" s="27"/>
      <c r="K715" s="27"/>
      <c r="L715" s="27"/>
      <c r="M715" s="27"/>
      <c r="N715" s="27"/>
      <c r="O715" s="27"/>
      <c r="P715" s="27"/>
      <c r="Q715" s="27"/>
    </row>
    <row r="716">
      <c r="A716" s="27"/>
      <c r="B716" s="35"/>
      <c r="C716" s="36"/>
      <c r="D716" s="36"/>
      <c r="E716" s="37"/>
      <c r="F716" s="38"/>
      <c r="G716" s="34"/>
      <c r="H716" s="37"/>
      <c r="I716" s="27"/>
      <c r="J716" s="27"/>
      <c r="K716" s="27"/>
      <c r="L716" s="27"/>
      <c r="M716" s="27"/>
      <c r="N716" s="27"/>
      <c r="O716" s="27"/>
      <c r="P716" s="27"/>
      <c r="Q716" s="27"/>
    </row>
    <row r="717">
      <c r="A717" s="27"/>
      <c r="B717" s="35"/>
      <c r="C717" s="36"/>
      <c r="D717" s="36"/>
      <c r="E717" s="37"/>
      <c r="F717" s="38"/>
      <c r="G717" s="34"/>
      <c r="H717" s="37"/>
      <c r="I717" s="27"/>
      <c r="J717" s="27"/>
      <c r="K717" s="27"/>
      <c r="L717" s="27"/>
      <c r="M717" s="27"/>
      <c r="N717" s="27"/>
      <c r="O717" s="27"/>
      <c r="P717" s="27"/>
      <c r="Q717" s="27"/>
    </row>
    <row r="718">
      <c r="A718" s="27"/>
      <c r="B718" s="35"/>
      <c r="C718" s="36"/>
      <c r="D718" s="36"/>
      <c r="E718" s="37"/>
      <c r="F718" s="38"/>
      <c r="G718" s="34"/>
      <c r="H718" s="37"/>
      <c r="I718" s="27"/>
      <c r="J718" s="27"/>
      <c r="K718" s="27"/>
      <c r="L718" s="27"/>
      <c r="M718" s="27"/>
      <c r="N718" s="27"/>
      <c r="O718" s="27"/>
      <c r="P718" s="27"/>
      <c r="Q718" s="27"/>
    </row>
    <row r="719">
      <c r="A719" s="27"/>
      <c r="B719" s="35"/>
      <c r="C719" s="36"/>
      <c r="D719" s="36"/>
      <c r="E719" s="37"/>
      <c r="F719" s="38"/>
      <c r="G719" s="34"/>
      <c r="H719" s="37"/>
      <c r="I719" s="27"/>
      <c r="J719" s="27"/>
      <c r="K719" s="27"/>
      <c r="L719" s="27"/>
      <c r="M719" s="27"/>
      <c r="N719" s="27"/>
      <c r="O719" s="27"/>
      <c r="P719" s="27"/>
      <c r="Q719" s="27"/>
    </row>
    <row r="720">
      <c r="A720" s="27"/>
      <c r="B720" s="35"/>
      <c r="C720" s="36"/>
      <c r="D720" s="36"/>
      <c r="E720" s="37"/>
      <c r="F720" s="38"/>
      <c r="G720" s="34"/>
      <c r="H720" s="37"/>
      <c r="I720" s="27"/>
      <c r="J720" s="27"/>
      <c r="K720" s="27"/>
      <c r="L720" s="27"/>
      <c r="M720" s="27"/>
      <c r="N720" s="27"/>
      <c r="O720" s="27"/>
      <c r="P720" s="27"/>
      <c r="Q720" s="27"/>
    </row>
    <row r="721">
      <c r="A721" s="27"/>
      <c r="B721" s="35"/>
      <c r="C721" s="36"/>
      <c r="D721" s="36"/>
      <c r="E721" s="37"/>
      <c r="F721" s="38"/>
      <c r="G721" s="34"/>
      <c r="H721" s="37"/>
      <c r="I721" s="27"/>
      <c r="J721" s="27"/>
      <c r="K721" s="27"/>
      <c r="L721" s="27"/>
      <c r="M721" s="27"/>
      <c r="N721" s="27"/>
      <c r="O721" s="27"/>
      <c r="P721" s="27"/>
      <c r="Q721" s="27"/>
    </row>
    <row r="722">
      <c r="A722" s="27"/>
      <c r="B722" s="35"/>
      <c r="C722" s="36"/>
      <c r="D722" s="36"/>
      <c r="E722" s="37"/>
      <c r="F722" s="38"/>
      <c r="G722" s="34"/>
      <c r="H722" s="37"/>
      <c r="I722" s="27"/>
      <c r="J722" s="27"/>
      <c r="K722" s="27"/>
      <c r="L722" s="27"/>
      <c r="M722" s="27"/>
      <c r="N722" s="27"/>
      <c r="O722" s="27"/>
      <c r="P722" s="27"/>
      <c r="Q722" s="27"/>
    </row>
    <row r="723">
      <c r="A723" s="27"/>
      <c r="B723" s="35"/>
      <c r="C723" s="36"/>
      <c r="D723" s="36"/>
      <c r="E723" s="37"/>
      <c r="F723" s="38"/>
      <c r="G723" s="34"/>
      <c r="H723" s="37"/>
      <c r="I723" s="27"/>
      <c r="J723" s="27"/>
      <c r="K723" s="27"/>
      <c r="L723" s="27"/>
      <c r="M723" s="27"/>
      <c r="N723" s="27"/>
      <c r="O723" s="27"/>
      <c r="P723" s="27"/>
      <c r="Q723" s="27"/>
    </row>
    <row r="724">
      <c r="A724" s="27"/>
      <c r="B724" s="35"/>
      <c r="C724" s="36"/>
      <c r="D724" s="36"/>
      <c r="E724" s="37"/>
      <c r="F724" s="38"/>
      <c r="G724" s="34"/>
      <c r="H724" s="37"/>
      <c r="I724" s="27"/>
      <c r="J724" s="27"/>
      <c r="K724" s="27"/>
      <c r="L724" s="27"/>
      <c r="M724" s="27"/>
      <c r="N724" s="27"/>
      <c r="O724" s="27"/>
      <c r="P724" s="27"/>
      <c r="Q724" s="27"/>
    </row>
    <row r="725">
      <c r="A725" s="27"/>
      <c r="B725" s="35"/>
      <c r="C725" s="36"/>
      <c r="D725" s="36"/>
      <c r="E725" s="37"/>
      <c r="F725" s="38"/>
      <c r="G725" s="34"/>
      <c r="H725" s="37"/>
      <c r="I725" s="27"/>
      <c r="J725" s="27"/>
      <c r="K725" s="27"/>
      <c r="L725" s="27"/>
      <c r="M725" s="27"/>
      <c r="N725" s="27"/>
      <c r="O725" s="27"/>
      <c r="P725" s="27"/>
      <c r="Q725" s="27"/>
    </row>
    <row r="726">
      <c r="A726" s="27"/>
      <c r="B726" s="35"/>
      <c r="C726" s="36"/>
      <c r="D726" s="36"/>
      <c r="E726" s="37"/>
      <c r="F726" s="38"/>
      <c r="G726" s="34"/>
      <c r="H726" s="37"/>
      <c r="I726" s="27"/>
      <c r="J726" s="27"/>
      <c r="K726" s="27"/>
      <c r="L726" s="27"/>
      <c r="M726" s="27"/>
      <c r="N726" s="27"/>
      <c r="O726" s="27"/>
      <c r="P726" s="27"/>
      <c r="Q726" s="27"/>
    </row>
    <row r="727">
      <c r="A727" s="27"/>
      <c r="B727" s="35"/>
      <c r="C727" s="36"/>
      <c r="D727" s="36"/>
      <c r="E727" s="37"/>
      <c r="F727" s="38"/>
      <c r="G727" s="34"/>
      <c r="H727" s="37"/>
      <c r="I727" s="27"/>
      <c r="J727" s="27"/>
      <c r="K727" s="27"/>
      <c r="L727" s="27"/>
      <c r="M727" s="27"/>
      <c r="N727" s="27"/>
      <c r="O727" s="27"/>
      <c r="P727" s="27"/>
      <c r="Q727" s="27"/>
    </row>
    <row r="728">
      <c r="A728" s="27"/>
      <c r="B728" s="35"/>
      <c r="C728" s="36"/>
      <c r="D728" s="36"/>
      <c r="E728" s="37"/>
      <c r="F728" s="38"/>
      <c r="G728" s="34"/>
      <c r="H728" s="37"/>
      <c r="I728" s="27"/>
      <c r="J728" s="27"/>
      <c r="K728" s="27"/>
      <c r="L728" s="27"/>
      <c r="M728" s="27"/>
      <c r="N728" s="27"/>
      <c r="O728" s="27"/>
      <c r="P728" s="27"/>
      <c r="Q728" s="27"/>
    </row>
    <row r="729">
      <c r="A729" s="27"/>
      <c r="B729" s="35"/>
      <c r="C729" s="36"/>
      <c r="D729" s="36"/>
      <c r="E729" s="37"/>
      <c r="F729" s="38"/>
      <c r="G729" s="34"/>
      <c r="H729" s="37"/>
      <c r="I729" s="27"/>
      <c r="J729" s="27"/>
      <c r="K729" s="27"/>
      <c r="L729" s="27"/>
      <c r="M729" s="27"/>
      <c r="N729" s="27"/>
      <c r="O729" s="27"/>
      <c r="P729" s="27"/>
      <c r="Q729" s="27"/>
    </row>
    <row r="730">
      <c r="A730" s="27"/>
      <c r="B730" s="35"/>
      <c r="C730" s="36"/>
      <c r="D730" s="36"/>
      <c r="E730" s="37"/>
      <c r="F730" s="38"/>
      <c r="G730" s="34"/>
      <c r="H730" s="37"/>
      <c r="I730" s="27"/>
      <c r="J730" s="27"/>
      <c r="K730" s="27"/>
      <c r="L730" s="27"/>
      <c r="M730" s="27"/>
      <c r="N730" s="27"/>
      <c r="O730" s="27"/>
      <c r="P730" s="27"/>
      <c r="Q730" s="27"/>
    </row>
    <row r="731">
      <c r="A731" s="27"/>
      <c r="B731" s="35"/>
      <c r="C731" s="36"/>
      <c r="D731" s="36"/>
      <c r="E731" s="37"/>
      <c r="F731" s="38"/>
      <c r="G731" s="34"/>
      <c r="H731" s="37"/>
      <c r="I731" s="27"/>
      <c r="J731" s="27"/>
      <c r="K731" s="27"/>
      <c r="L731" s="27"/>
      <c r="M731" s="27"/>
      <c r="N731" s="27"/>
      <c r="O731" s="27"/>
      <c r="P731" s="27"/>
      <c r="Q731" s="27"/>
    </row>
    <row r="732">
      <c r="A732" s="27"/>
      <c r="B732" s="35"/>
      <c r="C732" s="36"/>
      <c r="D732" s="36"/>
      <c r="E732" s="37"/>
      <c r="F732" s="38"/>
      <c r="G732" s="34"/>
      <c r="H732" s="37"/>
      <c r="I732" s="27"/>
      <c r="J732" s="27"/>
      <c r="K732" s="27"/>
      <c r="L732" s="27"/>
      <c r="M732" s="27"/>
      <c r="N732" s="27"/>
      <c r="O732" s="27"/>
      <c r="P732" s="27"/>
      <c r="Q732" s="27"/>
    </row>
    <row r="733">
      <c r="A733" s="27"/>
      <c r="B733" s="35"/>
      <c r="C733" s="36"/>
      <c r="D733" s="36"/>
      <c r="E733" s="37"/>
      <c r="F733" s="38"/>
      <c r="G733" s="34"/>
      <c r="H733" s="37"/>
      <c r="I733" s="27"/>
      <c r="J733" s="27"/>
      <c r="K733" s="27"/>
      <c r="L733" s="27"/>
      <c r="M733" s="27"/>
      <c r="N733" s="27"/>
      <c r="O733" s="27"/>
      <c r="P733" s="27"/>
      <c r="Q733" s="27"/>
    </row>
    <row r="734">
      <c r="A734" s="27"/>
      <c r="B734" s="35"/>
      <c r="C734" s="36"/>
      <c r="D734" s="36"/>
      <c r="E734" s="37"/>
      <c r="F734" s="38"/>
      <c r="G734" s="34"/>
      <c r="H734" s="37"/>
      <c r="I734" s="27"/>
      <c r="J734" s="27"/>
      <c r="K734" s="27"/>
      <c r="L734" s="27"/>
      <c r="M734" s="27"/>
      <c r="N734" s="27"/>
      <c r="O734" s="27"/>
      <c r="P734" s="27"/>
      <c r="Q734" s="27"/>
    </row>
    <row r="735">
      <c r="A735" s="27"/>
      <c r="B735" s="35"/>
      <c r="C735" s="36"/>
      <c r="D735" s="36"/>
      <c r="E735" s="37"/>
      <c r="F735" s="38"/>
      <c r="G735" s="34"/>
      <c r="H735" s="37"/>
      <c r="I735" s="27"/>
      <c r="J735" s="27"/>
      <c r="K735" s="27"/>
      <c r="L735" s="27"/>
      <c r="M735" s="27"/>
      <c r="N735" s="27"/>
      <c r="O735" s="27"/>
      <c r="P735" s="27"/>
      <c r="Q735" s="27"/>
    </row>
    <row r="736">
      <c r="A736" s="27"/>
      <c r="B736" s="35"/>
      <c r="C736" s="36"/>
      <c r="D736" s="36"/>
      <c r="E736" s="37"/>
      <c r="F736" s="38"/>
      <c r="G736" s="34"/>
      <c r="H736" s="37"/>
      <c r="I736" s="27"/>
      <c r="J736" s="27"/>
      <c r="K736" s="27"/>
      <c r="L736" s="27"/>
      <c r="M736" s="27"/>
      <c r="N736" s="27"/>
      <c r="O736" s="27"/>
      <c r="P736" s="27"/>
      <c r="Q736" s="27"/>
    </row>
    <row r="737">
      <c r="A737" s="27"/>
      <c r="B737" s="35"/>
      <c r="C737" s="36"/>
      <c r="D737" s="36"/>
      <c r="E737" s="37"/>
      <c r="F737" s="38"/>
      <c r="G737" s="34"/>
      <c r="H737" s="37"/>
      <c r="I737" s="27"/>
      <c r="J737" s="27"/>
      <c r="K737" s="27"/>
      <c r="L737" s="27"/>
      <c r="M737" s="27"/>
      <c r="N737" s="27"/>
      <c r="O737" s="27"/>
      <c r="P737" s="27"/>
      <c r="Q737" s="27"/>
    </row>
    <row r="738">
      <c r="A738" s="27"/>
      <c r="B738" s="35"/>
      <c r="C738" s="36"/>
      <c r="D738" s="36"/>
      <c r="E738" s="37"/>
      <c r="F738" s="38"/>
      <c r="G738" s="34"/>
      <c r="H738" s="37"/>
      <c r="I738" s="27"/>
      <c r="J738" s="27"/>
      <c r="K738" s="27"/>
      <c r="L738" s="27"/>
      <c r="M738" s="27"/>
      <c r="N738" s="27"/>
      <c r="O738" s="27"/>
      <c r="P738" s="27"/>
      <c r="Q738" s="27"/>
    </row>
    <row r="739">
      <c r="A739" s="27"/>
      <c r="B739" s="35"/>
      <c r="C739" s="36"/>
      <c r="D739" s="36"/>
      <c r="E739" s="37"/>
      <c r="F739" s="38"/>
      <c r="G739" s="34"/>
      <c r="H739" s="37"/>
      <c r="I739" s="27"/>
      <c r="J739" s="27"/>
      <c r="K739" s="27"/>
      <c r="L739" s="27"/>
      <c r="M739" s="27"/>
      <c r="N739" s="27"/>
      <c r="O739" s="27"/>
      <c r="P739" s="27"/>
      <c r="Q739" s="27"/>
    </row>
    <row r="740">
      <c r="A740" s="27"/>
      <c r="B740" s="35"/>
      <c r="C740" s="36"/>
      <c r="D740" s="36"/>
      <c r="E740" s="37"/>
      <c r="F740" s="38"/>
      <c r="G740" s="34"/>
      <c r="H740" s="37"/>
      <c r="I740" s="27"/>
      <c r="J740" s="27"/>
      <c r="K740" s="27"/>
      <c r="L740" s="27"/>
      <c r="M740" s="27"/>
      <c r="N740" s="27"/>
      <c r="O740" s="27"/>
      <c r="P740" s="27"/>
      <c r="Q740" s="27"/>
    </row>
    <row r="741">
      <c r="A741" s="27"/>
      <c r="B741" s="35"/>
      <c r="C741" s="36"/>
      <c r="D741" s="36"/>
      <c r="E741" s="37"/>
      <c r="F741" s="38"/>
      <c r="G741" s="34"/>
      <c r="H741" s="37"/>
      <c r="I741" s="27"/>
      <c r="J741" s="27"/>
      <c r="K741" s="27"/>
      <c r="L741" s="27"/>
      <c r="M741" s="27"/>
      <c r="N741" s="27"/>
      <c r="O741" s="27"/>
      <c r="P741" s="27"/>
      <c r="Q741" s="27"/>
    </row>
    <row r="742">
      <c r="A742" s="27"/>
      <c r="B742" s="35"/>
      <c r="C742" s="36"/>
      <c r="D742" s="36"/>
      <c r="E742" s="37"/>
      <c r="F742" s="38"/>
      <c r="G742" s="34"/>
      <c r="H742" s="37"/>
      <c r="I742" s="27"/>
      <c r="J742" s="27"/>
      <c r="K742" s="27"/>
      <c r="L742" s="27"/>
      <c r="M742" s="27"/>
      <c r="N742" s="27"/>
      <c r="O742" s="27"/>
      <c r="P742" s="27"/>
      <c r="Q742" s="27"/>
    </row>
    <row r="743">
      <c r="A743" s="27"/>
      <c r="B743" s="35"/>
      <c r="C743" s="36"/>
      <c r="D743" s="36"/>
      <c r="E743" s="37"/>
      <c r="F743" s="38"/>
      <c r="G743" s="34"/>
      <c r="H743" s="37"/>
      <c r="I743" s="27"/>
      <c r="J743" s="27"/>
      <c r="K743" s="27"/>
      <c r="L743" s="27"/>
      <c r="M743" s="27"/>
      <c r="N743" s="27"/>
      <c r="O743" s="27"/>
      <c r="P743" s="27"/>
      <c r="Q743" s="27"/>
    </row>
    <row r="744">
      <c r="A744" s="27"/>
      <c r="B744" s="35"/>
      <c r="C744" s="36"/>
      <c r="D744" s="36"/>
      <c r="E744" s="37"/>
      <c r="F744" s="38"/>
      <c r="G744" s="34"/>
      <c r="H744" s="37"/>
      <c r="I744" s="27"/>
      <c r="J744" s="27"/>
      <c r="K744" s="27"/>
      <c r="L744" s="27"/>
      <c r="M744" s="27"/>
      <c r="N744" s="27"/>
      <c r="O744" s="27"/>
      <c r="P744" s="27"/>
      <c r="Q744" s="27"/>
    </row>
    <row r="745">
      <c r="A745" s="27"/>
      <c r="B745" s="35"/>
      <c r="C745" s="36"/>
      <c r="D745" s="36"/>
      <c r="E745" s="37"/>
      <c r="F745" s="38"/>
      <c r="G745" s="34"/>
      <c r="H745" s="37"/>
      <c r="I745" s="27"/>
      <c r="J745" s="27"/>
      <c r="K745" s="27"/>
      <c r="L745" s="27"/>
      <c r="M745" s="27"/>
      <c r="N745" s="27"/>
      <c r="O745" s="27"/>
      <c r="P745" s="27"/>
      <c r="Q745" s="27"/>
    </row>
    <row r="746">
      <c r="A746" s="27"/>
      <c r="B746" s="35"/>
      <c r="C746" s="36"/>
      <c r="D746" s="36"/>
      <c r="E746" s="37"/>
      <c r="F746" s="38"/>
      <c r="G746" s="34"/>
      <c r="H746" s="37"/>
      <c r="I746" s="27"/>
      <c r="J746" s="27"/>
      <c r="K746" s="27"/>
      <c r="L746" s="27"/>
      <c r="M746" s="27"/>
      <c r="N746" s="27"/>
      <c r="O746" s="27"/>
      <c r="P746" s="27"/>
      <c r="Q746" s="27"/>
    </row>
    <row r="747">
      <c r="A747" s="27"/>
      <c r="B747" s="35"/>
      <c r="C747" s="36"/>
      <c r="D747" s="36"/>
      <c r="E747" s="37"/>
      <c r="F747" s="38"/>
      <c r="G747" s="34"/>
      <c r="H747" s="37"/>
      <c r="I747" s="27"/>
      <c r="J747" s="27"/>
      <c r="K747" s="27"/>
      <c r="L747" s="27"/>
      <c r="M747" s="27"/>
      <c r="N747" s="27"/>
      <c r="O747" s="27"/>
      <c r="P747" s="27"/>
      <c r="Q747" s="27"/>
    </row>
    <row r="748">
      <c r="A748" s="27"/>
      <c r="B748" s="35"/>
      <c r="C748" s="36"/>
      <c r="D748" s="36"/>
      <c r="E748" s="37"/>
      <c r="F748" s="38"/>
      <c r="G748" s="34"/>
      <c r="H748" s="37"/>
      <c r="I748" s="27"/>
      <c r="J748" s="27"/>
      <c r="K748" s="27"/>
      <c r="L748" s="27"/>
      <c r="M748" s="27"/>
      <c r="N748" s="27"/>
      <c r="O748" s="27"/>
      <c r="P748" s="27"/>
      <c r="Q748" s="27"/>
    </row>
    <row r="749">
      <c r="A749" s="27"/>
      <c r="B749" s="35"/>
      <c r="C749" s="36"/>
      <c r="D749" s="36"/>
      <c r="E749" s="37"/>
      <c r="F749" s="38"/>
      <c r="G749" s="34"/>
      <c r="H749" s="37"/>
      <c r="I749" s="27"/>
      <c r="J749" s="27"/>
      <c r="K749" s="27"/>
      <c r="L749" s="27"/>
      <c r="M749" s="27"/>
      <c r="N749" s="27"/>
      <c r="O749" s="27"/>
      <c r="P749" s="27"/>
      <c r="Q749" s="27"/>
    </row>
    <row r="750">
      <c r="A750" s="27"/>
      <c r="B750" s="35"/>
      <c r="C750" s="36"/>
      <c r="D750" s="36"/>
      <c r="E750" s="37"/>
      <c r="F750" s="38"/>
      <c r="G750" s="34"/>
      <c r="H750" s="37"/>
      <c r="I750" s="27"/>
      <c r="J750" s="27"/>
      <c r="K750" s="27"/>
      <c r="L750" s="27"/>
      <c r="M750" s="27"/>
      <c r="N750" s="27"/>
      <c r="O750" s="27"/>
      <c r="P750" s="27"/>
      <c r="Q750" s="27"/>
    </row>
    <row r="751">
      <c r="A751" s="27"/>
      <c r="B751" s="35"/>
      <c r="C751" s="36"/>
      <c r="D751" s="36"/>
      <c r="E751" s="37"/>
      <c r="F751" s="38"/>
      <c r="G751" s="34"/>
      <c r="H751" s="37"/>
      <c r="I751" s="27"/>
      <c r="J751" s="27"/>
      <c r="K751" s="27"/>
      <c r="L751" s="27"/>
      <c r="M751" s="27"/>
      <c r="N751" s="27"/>
      <c r="O751" s="27"/>
      <c r="P751" s="27"/>
      <c r="Q751" s="27"/>
    </row>
    <row r="752">
      <c r="A752" s="27"/>
      <c r="B752" s="35"/>
      <c r="C752" s="36"/>
      <c r="D752" s="36"/>
      <c r="E752" s="37"/>
      <c r="F752" s="38"/>
      <c r="G752" s="34"/>
      <c r="H752" s="37"/>
      <c r="I752" s="27"/>
      <c r="J752" s="27"/>
      <c r="K752" s="27"/>
      <c r="L752" s="27"/>
      <c r="M752" s="27"/>
      <c r="N752" s="27"/>
      <c r="O752" s="27"/>
      <c r="P752" s="27"/>
      <c r="Q752" s="27"/>
    </row>
    <row r="753">
      <c r="A753" s="27"/>
      <c r="B753" s="35"/>
      <c r="C753" s="36"/>
      <c r="D753" s="36"/>
      <c r="E753" s="37"/>
      <c r="F753" s="38"/>
      <c r="G753" s="34"/>
      <c r="H753" s="37"/>
      <c r="I753" s="27"/>
      <c r="J753" s="27"/>
      <c r="K753" s="27"/>
      <c r="L753" s="27"/>
      <c r="M753" s="27"/>
      <c r="N753" s="27"/>
      <c r="O753" s="27"/>
      <c r="P753" s="27"/>
      <c r="Q753" s="27"/>
    </row>
    <row r="754">
      <c r="A754" s="27"/>
      <c r="B754" s="35"/>
      <c r="C754" s="36"/>
      <c r="D754" s="36"/>
      <c r="E754" s="37"/>
      <c r="F754" s="38"/>
      <c r="G754" s="34"/>
      <c r="H754" s="37"/>
      <c r="I754" s="27"/>
      <c r="J754" s="27"/>
      <c r="K754" s="27"/>
      <c r="L754" s="27"/>
      <c r="M754" s="27"/>
      <c r="N754" s="27"/>
      <c r="O754" s="27"/>
      <c r="P754" s="27"/>
      <c r="Q754" s="27"/>
    </row>
    <row r="755">
      <c r="A755" s="27"/>
      <c r="B755" s="35"/>
      <c r="C755" s="36"/>
      <c r="D755" s="36"/>
      <c r="E755" s="37"/>
      <c r="F755" s="38"/>
      <c r="G755" s="34"/>
      <c r="H755" s="37"/>
      <c r="I755" s="27"/>
      <c r="J755" s="27"/>
      <c r="K755" s="27"/>
      <c r="L755" s="27"/>
      <c r="M755" s="27"/>
      <c r="N755" s="27"/>
      <c r="O755" s="27"/>
      <c r="P755" s="27"/>
      <c r="Q755" s="27"/>
    </row>
    <row r="756">
      <c r="A756" s="27"/>
      <c r="B756" s="35"/>
      <c r="C756" s="36"/>
      <c r="D756" s="36"/>
      <c r="E756" s="37"/>
      <c r="F756" s="38"/>
      <c r="G756" s="34"/>
      <c r="H756" s="37"/>
      <c r="I756" s="27"/>
      <c r="J756" s="27"/>
      <c r="K756" s="27"/>
      <c r="L756" s="27"/>
      <c r="M756" s="27"/>
      <c r="N756" s="27"/>
      <c r="O756" s="27"/>
      <c r="P756" s="27"/>
      <c r="Q756" s="27"/>
    </row>
    <row r="757">
      <c r="A757" s="27"/>
      <c r="B757" s="35"/>
      <c r="C757" s="36"/>
      <c r="D757" s="36"/>
      <c r="E757" s="37"/>
      <c r="F757" s="38"/>
      <c r="G757" s="34"/>
      <c r="H757" s="37"/>
      <c r="I757" s="27"/>
      <c r="J757" s="27"/>
      <c r="K757" s="27"/>
      <c r="L757" s="27"/>
      <c r="M757" s="27"/>
      <c r="N757" s="27"/>
      <c r="O757" s="27"/>
      <c r="P757" s="27"/>
      <c r="Q757" s="27"/>
    </row>
    <row r="758">
      <c r="A758" s="27"/>
      <c r="B758" s="35"/>
      <c r="C758" s="36"/>
      <c r="D758" s="36"/>
      <c r="E758" s="37"/>
      <c r="F758" s="38"/>
      <c r="G758" s="34"/>
      <c r="H758" s="37"/>
      <c r="I758" s="27"/>
      <c r="J758" s="27"/>
      <c r="K758" s="27"/>
      <c r="L758" s="27"/>
      <c r="M758" s="27"/>
      <c r="N758" s="27"/>
      <c r="O758" s="27"/>
      <c r="P758" s="27"/>
      <c r="Q758" s="27"/>
    </row>
    <row r="759">
      <c r="A759" s="27"/>
      <c r="B759" s="35"/>
      <c r="C759" s="36"/>
      <c r="D759" s="36"/>
      <c r="E759" s="37"/>
      <c r="F759" s="38"/>
      <c r="G759" s="34"/>
      <c r="H759" s="37"/>
      <c r="I759" s="27"/>
      <c r="J759" s="27"/>
      <c r="K759" s="27"/>
      <c r="L759" s="27"/>
      <c r="M759" s="27"/>
      <c r="N759" s="27"/>
      <c r="O759" s="27"/>
      <c r="P759" s="27"/>
      <c r="Q759" s="27"/>
    </row>
    <row r="760">
      <c r="A760" s="27"/>
      <c r="B760" s="35"/>
      <c r="C760" s="36"/>
      <c r="D760" s="36"/>
      <c r="E760" s="37"/>
      <c r="F760" s="38"/>
      <c r="G760" s="34"/>
      <c r="H760" s="37"/>
      <c r="I760" s="27"/>
      <c r="J760" s="27"/>
      <c r="K760" s="27"/>
      <c r="L760" s="27"/>
      <c r="M760" s="27"/>
      <c r="N760" s="27"/>
      <c r="O760" s="27"/>
      <c r="P760" s="27"/>
      <c r="Q760" s="27"/>
    </row>
    <row r="761">
      <c r="A761" s="27"/>
      <c r="B761" s="35"/>
      <c r="C761" s="36"/>
      <c r="D761" s="36"/>
      <c r="E761" s="37"/>
      <c r="F761" s="38"/>
      <c r="G761" s="34"/>
      <c r="H761" s="37"/>
      <c r="I761" s="27"/>
      <c r="J761" s="27"/>
      <c r="K761" s="27"/>
      <c r="L761" s="27"/>
      <c r="M761" s="27"/>
      <c r="N761" s="27"/>
      <c r="O761" s="27"/>
      <c r="P761" s="27"/>
      <c r="Q761" s="27"/>
    </row>
    <row r="762">
      <c r="A762" s="27"/>
      <c r="B762" s="35"/>
      <c r="C762" s="36"/>
      <c r="D762" s="36"/>
      <c r="E762" s="37"/>
      <c r="F762" s="38"/>
      <c r="G762" s="34"/>
      <c r="H762" s="37"/>
      <c r="I762" s="27"/>
      <c r="J762" s="27"/>
      <c r="K762" s="27"/>
      <c r="L762" s="27"/>
      <c r="M762" s="27"/>
      <c r="N762" s="27"/>
      <c r="O762" s="27"/>
      <c r="P762" s="27"/>
      <c r="Q762" s="27"/>
    </row>
    <row r="763">
      <c r="A763" s="27"/>
      <c r="B763" s="35"/>
      <c r="C763" s="36"/>
      <c r="D763" s="36"/>
      <c r="E763" s="37"/>
      <c r="F763" s="38"/>
      <c r="G763" s="34"/>
      <c r="H763" s="37"/>
      <c r="I763" s="27"/>
      <c r="J763" s="27"/>
      <c r="K763" s="27"/>
      <c r="L763" s="27"/>
      <c r="M763" s="27"/>
      <c r="N763" s="27"/>
      <c r="O763" s="27"/>
      <c r="P763" s="27"/>
      <c r="Q763" s="27"/>
    </row>
    <row r="764">
      <c r="A764" s="27"/>
      <c r="B764" s="35"/>
      <c r="C764" s="36"/>
      <c r="D764" s="36"/>
      <c r="E764" s="37"/>
      <c r="F764" s="38"/>
      <c r="G764" s="34"/>
      <c r="H764" s="37"/>
      <c r="I764" s="27"/>
      <c r="J764" s="27"/>
      <c r="K764" s="27"/>
      <c r="L764" s="27"/>
      <c r="M764" s="27"/>
      <c r="N764" s="27"/>
      <c r="O764" s="27"/>
      <c r="P764" s="27"/>
      <c r="Q764" s="27"/>
    </row>
    <row r="765">
      <c r="A765" s="27"/>
      <c r="B765" s="35"/>
      <c r="C765" s="36"/>
      <c r="D765" s="36"/>
      <c r="E765" s="37"/>
      <c r="F765" s="38"/>
      <c r="G765" s="34"/>
      <c r="H765" s="37"/>
      <c r="I765" s="27"/>
      <c r="J765" s="27"/>
      <c r="K765" s="27"/>
      <c r="L765" s="27"/>
      <c r="M765" s="27"/>
      <c r="N765" s="27"/>
      <c r="O765" s="27"/>
      <c r="P765" s="27"/>
      <c r="Q765" s="27"/>
    </row>
    <row r="766">
      <c r="A766" s="27"/>
      <c r="B766" s="35"/>
      <c r="C766" s="36"/>
      <c r="D766" s="36"/>
      <c r="E766" s="37"/>
      <c r="F766" s="38"/>
      <c r="G766" s="34"/>
      <c r="H766" s="37"/>
      <c r="I766" s="27"/>
      <c r="J766" s="27"/>
      <c r="K766" s="27"/>
      <c r="L766" s="27"/>
      <c r="M766" s="27"/>
      <c r="N766" s="27"/>
      <c r="O766" s="27"/>
      <c r="P766" s="27"/>
      <c r="Q766" s="27"/>
    </row>
    <row r="767">
      <c r="A767" s="27"/>
      <c r="B767" s="35"/>
      <c r="C767" s="36"/>
      <c r="D767" s="36"/>
      <c r="E767" s="37"/>
      <c r="F767" s="38"/>
      <c r="G767" s="34"/>
      <c r="H767" s="37"/>
      <c r="I767" s="27"/>
      <c r="J767" s="27"/>
      <c r="K767" s="27"/>
      <c r="L767" s="27"/>
      <c r="M767" s="27"/>
      <c r="N767" s="27"/>
      <c r="O767" s="27"/>
      <c r="P767" s="27"/>
      <c r="Q767" s="27"/>
    </row>
    <row r="768">
      <c r="A768" s="27"/>
      <c r="B768" s="35"/>
      <c r="C768" s="36"/>
      <c r="D768" s="36"/>
      <c r="E768" s="37"/>
      <c r="F768" s="38"/>
      <c r="G768" s="34"/>
      <c r="H768" s="37"/>
      <c r="I768" s="27"/>
      <c r="J768" s="27"/>
      <c r="K768" s="27"/>
      <c r="L768" s="27"/>
      <c r="M768" s="27"/>
      <c r="N768" s="27"/>
      <c r="O768" s="27"/>
      <c r="P768" s="27"/>
      <c r="Q768" s="27"/>
    </row>
    <row r="769">
      <c r="A769" s="27"/>
      <c r="B769" s="35"/>
      <c r="C769" s="36"/>
      <c r="D769" s="36"/>
      <c r="E769" s="37"/>
      <c r="F769" s="38"/>
      <c r="G769" s="34"/>
      <c r="H769" s="37"/>
      <c r="I769" s="27"/>
      <c r="J769" s="27"/>
      <c r="K769" s="27"/>
      <c r="L769" s="27"/>
      <c r="M769" s="27"/>
      <c r="N769" s="27"/>
      <c r="O769" s="27"/>
      <c r="P769" s="27"/>
      <c r="Q769" s="27"/>
    </row>
    <row r="770">
      <c r="A770" s="27"/>
      <c r="B770" s="35"/>
      <c r="C770" s="36"/>
      <c r="D770" s="36"/>
      <c r="E770" s="37"/>
      <c r="F770" s="38"/>
      <c r="G770" s="34"/>
      <c r="H770" s="37"/>
      <c r="I770" s="27"/>
      <c r="J770" s="27"/>
      <c r="K770" s="27"/>
      <c r="L770" s="27"/>
      <c r="M770" s="27"/>
      <c r="N770" s="27"/>
      <c r="O770" s="27"/>
      <c r="P770" s="27"/>
      <c r="Q770" s="27"/>
    </row>
    <row r="771">
      <c r="A771" s="27"/>
      <c r="B771" s="35"/>
      <c r="C771" s="36"/>
      <c r="D771" s="36"/>
      <c r="E771" s="37"/>
      <c r="F771" s="38"/>
      <c r="G771" s="34"/>
      <c r="H771" s="37"/>
      <c r="I771" s="27"/>
      <c r="J771" s="27"/>
      <c r="K771" s="27"/>
      <c r="L771" s="27"/>
      <c r="M771" s="27"/>
      <c r="N771" s="27"/>
      <c r="O771" s="27"/>
      <c r="P771" s="27"/>
      <c r="Q771" s="27"/>
    </row>
    <row r="772">
      <c r="A772" s="27"/>
      <c r="B772" s="35"/>
      <c r="C772" s="36"/>
      <c r="D772" s="36"/>
      <c r="E772" s="37"/>
      <c r="F772" s="38"/>
      <c r="G772" s="34"/>
      <c r="H772" s="37"/>
      <c r="I772" s="27"/>
      <c r="J772" s="27"/>
      <c r="K772" s="27"/>
      <c r="L772" s="27"/>
      <c r="M772" s="27"/>
      <c r="N772" s="27"/>
      <c r="O772" s="27"/>
      <c r="P772" s="27"/>
      <c r="Q772" s="27"/>
    </row>
    <row r="773">
      <c r="A773" s="27"/>
      <c r="B773" s="35"/>
      <c r="C773" s="36"/>
      <c r="D773" s="36"/>
      <c r="E773" s="37"/>
      <c r="F773" s="38"/>
      <c r="G773" s="34"/>
      <c r="H773" s="37"/>
      <c r="I773" s="27"/>
      <c r="J773" s="27"/>
      <c r="K773" s="27"/>
      <c r="L773" s="27"/>
      <c r="M773" s="27"/>
      <c r="N773" s="27"/>
      <c r="O773" s="27"/>
      <c r="P773" s="27"/>
      <c r="Q773" s="27"/>
    </row>
    <row r="774">
      <c r="A774" s="27"/>
      <c r="B774" s="35"/>
      <c r="C774" s="36"/>
      <c r="D774" s="36"/>
      <c r="E774" s="37"/>
      <c r="F774" s="38"/>
      <c r="G774" s="34"/>
      <c r="H774" s="37"/>
      <c r="I774" s="27"/>
      <c r="J774" s="27"/>
      <c r="K774" s="27"/>
      <c r="L774" s="27"/>
      <c r="M774" s="27"/>
      <c r="N774" s="27"/>
      <c r="O774" s="27"/>
      <c r="P774" s="27"/>
      <c r="Q774" s="27"/>
    </row>
    <row r="775">
      <c r="A775" s="27"/>
      <c r="B775" s="35"/>
      <c r="C775" s="36"/>
      <c r="D775" s="36"/>
      <c r="E775" s="37"/>
      <c r="F775" s="38"/>
      <c r="G775" s="34"/>
      <c r="H775" s="37"/>
      <c r="I775" s="27"/>
      <c r="J775" s="27"/>
      <c r="K775" s="27"/>
      <c r="L775" s="27"/>
      <c r="M775" s="27"/>
      <c r="N775" s="27"/>
      <c r="O775" s="27"/>
      <c r="P775" s="27"/>
      <c r="Q775" s="27"/>
    </row>
    <row r="776">
      <c r="A776" s="27"/>
      <c r="B776" s="35"/>
      <c r="C776" s="36"/>
      <c r="D776" s="36"/>
      <c r="E776" s="37"/>
      <c r="F776" s="38"/>
      <c r="G776" s="34"/>
      <c r="H776" s="37"/>
      <c r="I776" s="27"/>
      <c r="J776" s="27"/>
      <c r="K776" s="27"/>
      <c r="L776" s="27"/>
      <c r="M776" s="27"/>
      <c r="N776" s="27"/>
      <c r="O776" s="27"/>
      <c r="P776" s="27"/>
      <c r="Q776" s="27"/>
    </row>
    <row r="777">
      <c r="A777" s="27"/>
      <c r="B777" s="35"/>
      <c r="C777" s="36"/>
      <c r="D777" s="36"/>
      <c r="E777" s="37"/>
      <c r="F777" s="38"/>
      <c r="G777" s="34"/>
      <c r="H777" s="37"/>
      <c r="I777" s="27"/>
      <c r="J777" s="27"/>
      <c r="K777" s="27"/>
      <c r="L777" s="27"/>
      <c r="M777" s="27"/>
      <c r="N777" s="27"/>
      <c r="O777" s="27"/>
      <c r="P777" s="27"/>
      <c r="Q777" s="27"/>
    </row>
    <row r="778">
      <c r="A778" s="27"/>
      <c r="B778" s="35"/>
      <c r="C778" s="36"/>
      <c r="D778" s="36"/>
      <c r="E778" s="37"/>
      <c r="F778" s="38"/>
      <c r="G778" s="34"/>
      <c r="H778" s="37"/>
      <c r="I778" s="27"/>
      <c r="J778" s="27"/>
      <c r="K778" s="27"/>
      <c r="L778" s="27"/>
      <c r="M778" s="27"/>
      <c r="N778" s="27"/>
      <c r="O778" s="27"/>
      <c r="P778" s="27"/>
      <c r="Q778" s="27"/>
    </row>
    <row r="779">
      <c r="A779" s="27"/>
      <c r="B779" s="35"/>
      <c r="C779" s="36"/>
      <c r="D779" s="36"/>
      <c r="E779" s="37"/>
      <c r="F779" s="38"/>
      <c r="G779" s="34"/>
      <c r="H779" s="37"/>
      <c r="I779" s="27"/>
      <c r="J779" s="27"/>
      <c r="K779" s="27"/>
      <c r="L779" s="27"/>
      <c r="M779" s="27"/>
      <c r="N779" s="27"/>
      <c r="O779" s="27"/>
      <c r="P779" s="27"/>
      <c r="Q779" s="27"/>
    </row>
    <row r="780">
      <c r="A780" s="27"/>
      <c r="B780" s="35"/>
      <c r="C780" s="36"/>
      <c r="D780" s="36"/>
      <c r="E780" s="37"/>
      <c r="F780" s="38"/>
      <c r="G780" s="34"/>
      <c r="H780" s="37"/>
      <c r="I780" s="27"/>
      <c r="J780" s="27"/>
      <c r="K780" s="27"/>
      <c r="L780" s="27"/>
      <c r="M780" s="27"/>
      <c r="N780" s="27"/>
      <c r="O780" s="27"/>
      <c r="P780" s="27"/>
      <c r="Q780" s="27"/>
    </row>
    <row r="781">
      <c r="A781" s="27"/>
      <c r="B781" s="35"/>
      <c r="C781" s="36"/>
      <c r="D781" s="36"/>
      <c r="E781" s="37"/>
      <c r="F781" s="38"/>
      <c r="G781" s="34"/>
      <c r="H781" s="37"/>
      <c r="I781" s="27"/>
      <c r="J781" s="27"/>
      <c r="K781" s="27"/>
      <c r="L781" s="27"/>
      <c r="M781" s="27"/>
      <c r="N781" s="27"/>
      <c r="O781" s="27"/>
      <c r="P781" s="27"/>
      <c r="Q781" s="27"/>
    </row>
    <row r="782">
      <c r="A782" s="27"/>
      <c r="B782" s="35"/>
      <c r="C782" s="36"/>
      <c r="D782" s="36"/>
      <c r="E782" s="37"/>
      <c r="F782" s="38"/>
      <c r="G782" s="34"/>
      <c r="H782" s="37"/>
      <c r="I782" s="27"/>
      <c r="J782" s="27"/>
      <c r="K782" s="27"/>
      <c r="L782" s="27"/>
      <c r="M782" s="27"/>
      <c r="N782" s="27"/>
      <c r="O782" s="27"/>
      <c r="P782" s="27"/>
      <c r="Q782" s="27"/>
    </row>
    <row r="783">
      <c r="A783" s="27"/>
      <c r="B783" s="35"/>
      <c r="C783" s="36"/>
      <c r="D783" s="36"/>
      <c r="E783" s="37"/>
      <c r="F783" s="38"/>
      <c r="G783" s="34"/>
      <c r="H783" s="37"/>
      <c r="I783" s="27"/>
      <c r="J783" s="27"/>
      <c r="K783" s="27"/>
      <c r="L783" s="27"/>
      <c r="M783" s="27"/>
      <c r="N783" s="27"/>
      <c r="O783" s="27"/>
      <c r="P783" s="27"/>
      <c r="Q783" s="27"/>
    </row>
    <row r="784">
      <c r="A784" s="27"/>
      <c r="B784" s="35"/>
      <c r="C784" s="36"/>
      <c r="D784" s="36"/>
      <c r="E784" s="37"/>
      <c r="F784" s="38"/>
      <c r="G784" s="34"/>
      <c r="H784" s="37"/>
      <c r="I784" s="27"/>
      <c r="J784" s="27"/>
      <c r="K784" s="27"/>
      <c r="L784" s="27"/>
      <c r="M784" s="27"/>
      <c r="N784" s="27"/>
      <c r="O784" s="27"/>
      <c r="P784" s="27"/>
      <c r="Q784" s="27"/>
    </row>
    <row r="785">
      <c r="A785" s="27"/>
      <c r="B785" s="35"/>
      <c r="C785" s="36"/>
      <c r="D785" s="36"/>
      <c r="E785" s="37"/>
      <c r="F785" s="38"/>
      <c r="G785" s="34"/>
      <c r="H785" s="37"/>
      <c r="I785" s="27"/>
      <c r="J785" s="27"/>
      <c r="K785" s="27"/>
      <c r="L785" s="27"/>
      <c r="M785" s="27"/>
      <c r="N785" s="27"/>
      <c r="O785" s="27"/>
      <c r="P785" s="27"/>
      <c r="Q785" s="27"/>
    </row>
    <row r="786">
      <c r="A786" s="27"/>
      <c r="B786" s="35"/>
      <c r="C786" s="36"/>
      <c r="D786" s="36"/>
      <c r="E786" s="37"/>
      <c r="F786" s="38"/>
      <c r="G786" s="34"/>
      <c r="H786" s="37"/>
      <c r="I786" s="27"/>
      <c r="J786" s="27"/>
      <c r="K786" s="27"/>
      <c r="L786" s="27"/>
      <c r="M786" s="27"/>
      <c r="N786" s="27"/>
      <c r="O786" s="27"/>
      <c r="P786" s="27"/>
      <c r="Q786" s="27"/>
    </row>
    <row r="787">
      <c r="A787" s="27"/>
      <c r="B787" s="35"/>
      <c r="C787" s="36"/>
      <c r="D787" s="36"/>
      <c r="E787" s="37"/>
      <c r="F787" s="38"/>
      <c r="G787" s="34"/>
      <c r="H787" s="37"/>
      <c r="I787" s="27"/>
      <c r="J787" s="27"/>
      <c r="K787" s="27"/>
      <c r="L787" s="27"/>
      <c r="M787" s="27"/>
      <c r="N787" s="27"/>
      <c r="O787" s="27"/>
      <c r="P787" s="27"/>
      <c r="Q787" s="27"/>
    </row>
    <row r="788">
      <c r="A788" s="27"/>
      <c r="B788" s="35"/>
      <c r="C788" s="36"/>
      <c r="D788" s="36"/>
      <c r="E788" s="37"/>
      <c r="F788" s="38"/>
      <c r="G788" s="34"/>
      <c r="H788" s="37"/>
      <c r="I788" s="27"/>
      <c r="J788" s="27"/>
      <c r="K788" s="27"/>
      <c r="L788" s="27"/>
      <c r="M788" s="27"/>
      <c r="N788" s="27"/>
      <c r="O788" s="27"/>
      <c r="P788" s="27"/>
      <c r="Q788" s="27"/>
    </row>
    <row r="789">
      <c r="A789" s="27"/>
      <c r="B789" s="35"/>
      <c r="C789" s="36"/>
      <c r="D789" s="36"/>
      <c r="E789" s="37"/>
      <c r="F789" s="38"/>
      <c r="G789" s="34"/>
      <c r="H789" s="37"/>
      <c r="I789" s="27"/>
      <c r="J789" s="27"/>
      <c r="K789" s="27"/>
      <c r="L789" s="27"/>
      <c r="M789" s="27"/>
      <c r="N789" s="27"/>
      <c r="O789" s="27"/>
      <c r="P789" s="27"/>
      <c r="Q789" s="27"/>
    </row>
    <row r="790">
      <c r="A790" s="27"/>
      <c r="B790" s="35"/>
      <c r="C790" s="36"/>
      <c r="D790" s="36"/>
      <c r="E790" s="37"/>
      <c r="F790" s="38"/>
      <c r="G790" s="34"/>
      <c r="H790" s="37"/>
      <c r="I790" s="27"/>
      <c r="J790" s="27"/>
      <c r="K790" s="27"/>
      <c r="L790" s="27"/>
      <c r="M790" s="27"/>
      <c r="N790" s="27"/>
      <c r="O790" s="27"/>
      <c r="P790" s="27"/>
      <c r="Q790" s="27"/>
    </row>
    <row r="791">
      <c r="A791" s="27"/>
      <c r="B791" s="35"/>
      <c r="C791" s="36"/>
      <c r="D791" s="36"/>
      <c r="E791" s="37"/>
      <c r="F791" s="38"/>
      <c r="G791" s="34"/>
      <c r="H791" s="37"/>
      <c r="I791" s="27"/>
      <c r="J791" s="27"/>
      <c r="K791" s="27"/>
      <c r="L791" s="27"/>
      <c r="M791" s="27"/>
      <c r="N791" s="27"/>
      <c r="O791" s="27"/>
      <c r="P791" s="27"/>
      <c r="Q791" s="27"/>
    </row>
    <row r="792">
      <c r="A792" s="27"/>
      <c r="B792" s="35"/>
      <c r="C792" s="36"/>
      <c r="D792" s="36"/>
      <c r="E792" s="37"/>
      <c r="F792" s="38"/>
      <c r="G792" s="34"/>
      <c r="H792" s="37"/>
      <c r="I792" s="27"/>
      <c r="J792" s="27"/>
      <c r="K792" s="27"/>
      <c r="L792" s="27"/>
      <c r="M792" s="27"/>
      <c r="N792" s="27"/>
      <c r="O792" s="27"/>
      <c r="P792" s="27"/>
      <c r="Q792" s="27"/>
    </row>
    <row r="793">
      <c r="A793" s="27"/>
      <c r="B793" s="35"/>
      <c r="C793" s="36"/>
      <c r="D793" s="36"/>
      <c r="E793" s="37"/>
      <c r="F793" s="38"/>
      <c r="G793" s="34"/>
      <c r="H793" s="37"/>
      <c r="I793" s="27"/>
      <c r="J793" s="27"/>
      <c r="K793" s="27"/>
      <c r="L793" s="27"/>
      <c r="M793" s="27"/>
      <c r="N793" s="27"/>
      <c r="O793" s="27"/>
      <c r="P793" s="27"/>
      <c r="Q793" s="27"/>
    </row>
    <row r="794">
      <c r="A794" s="27"/>
      <c r="B794" s="35"/>
      <c r="C794" s="36"/>
      <c r="D794" s="36"/>
      <c r="E794" s="37"/>
      <c r="F794" s="38"/>
      <c r="G794" s="34"/>
      <c r="H794" s="37"/>
      <c r="I794" s="27"/>
      <c r="J794" s="27"/>
      <c r="K794" s="27"/>
      <c r="L794" s="27"/>
      <c r="M794" s="27"/>
      <c r="N794" s="27"/>
      <c r="O794" s="27"/>
      <c r="P794" s="27"/>
      <c r="Q794" s="27"/>
    </row>
    <row r="795">
      <c r="A795" s="27"/>
      <c r="B795" s="35"/>
      <c r="C795" s="36"/>
      <c r="D795" s="36"/>
      <c r="E795" s="37"/>
      <c r="F795" s="38"/>
      <c r="G795" s="34"/>
      <c r="H795" s="37"/>
      <c r="I795" s="27"/>
      <c r="J795" s="27"/>
      <c r="K795" s="27"/>
      <c r="L795" s="27"/>
      <c r="M795" s="27"/>
      <c r="N795" s="27"/>
      <c r="O795" s="27"/>
      <c r="P795" s="27"/>
      <c r="Q795" s="27"/>
    </row>
    <row r="796">
      <c r="A796" s="27"/>
      <c r="B796" s="35"/>
      <c r="C796" s="36"/>
      <c r="D796" s="36"/>
      <c r="E796" s="37"/>
      <c r="F796" s="38"/>
      <c r="G796" s="34"/>
      <c r="H796" s="37"/>
      <c r="I796" s="27"/>
      <c r="J796" s="27"/>
      <c r="K796" s="27"/>
      <c r="L796" s="27"/>
      <c r="M796" s="27"/>
      <c r="N796" s="27"/>
      <c r="O796" s="27"/>
      <c r="P796" s="27"/>
      <c r="Q796" s="27"/>
    </row>
    <row r="797">
      <c r="A797" s="27"/>
      <c r="B797" s="35"/>
      <c r="C797" s="36"/>
      <c r="D797" s="36"/>
      <c r="E797" s="37"/>
      <c r="F797" s="38"/>
      <c r="G797" s="34"/>
      <c r="H797" s="37"/>
      <c r="I797" s="27"/>
      <c r="J797" s="27"/>
      <c r="K797" s="27"/>
      <c r="L797" s="27"/>
      <c r="M797" s="27"/>
      <c r="N797" s="27"/>
      <c r="O797" s="27"/>
      <c r="P797" s="27"/>
      <c r="Q797" s="27"/>
    </row>
    <row r="798">
      <c r="A798" s="27"/>
      <c r="B798" s="35"/>
      <c r="C798" s="36"/>
      <c r="D798" s="36"/>
      <c r="E798" s="37"/>
      <c r="F798" s="38"/>
      <c r="G798" s="34"/>
      <c r="H798" s="37"/>
      <c r="I798" s="27"/>
      <c r="J798" s="27"/>
      <c r="K798" s="27"/>
      <c r="L798" s="27"/>
      <c r="M798" s="27"/>
      <c r="N798" s="27"/>
      <c r="O798" s="27"/>
      <c r="P798" s="27"/>
      <c r="Q798" s="27"/>
    </row>
    <row r="799">
      <c r="A799" s="27"/>
      <c r="B799" s="35"/>
      <c r="C799" s="36"/>
      <c r="D799" s="36"/>
      <c r="E799" s="37"/>
      <c r="F799" s="38"/>
      <c r="G799" s="34"/>
      <c r="H799" s="37"/>
      <c r="I799" s="27"/>
      <c r="J799" s="27"/>
      <c r="K799" s="27"/>
      <c r="L799" s="27"/>
      <c r="M799" s="27"/>
      <c r="N799" s="27"/>
      <c r="O799" s="27"/>
      <c r="P799" s="27"/>
      <c r="Q799" s="27"/>
    </row>
    <row r="800">
      <c r="A800" s="27"/>
      <c r="B800" s="35"/>
      <c r="C800" s="36"/>
      <c r="D800" s="36"/>
      <c r="E800" s="37"/>
      <c r="F800" s="38"/>
      <c r="G800" s="34"/>
      <c r="H800" s="37"/>
      <c r="I800" s="27"/>
      <c r="J800" s="27"/>
      <c r="K800" s="27"/>
      <c r="L800" s="27"/>
      <c r="M800" s="27"/>
      <c r="N800" s="27"/>
      <c r="O800" s="27"/>
      <c r="P800" s="27"/>
      <c r="Q800" s="27"/>
    </row>
    <row r="801">
      <c r="A801" s="27"/>
      <c r="B801" s="35"/>
      <c r="C801" s="36"/>
      <c r="D801" s="36"/>
      <c r="E801" s="37"/>
      <c r="F801" s="38"/>
      <c r="G801" s="34"/>
      <c r="H801" s="37"/>
      <c r="I801" s="27"/>
      <c r="J801" s="27"/>
      <c r="K801" s="27"/>
      <c r="L801" s="27"/>
      <c r="M801" s="27"/>
      <c r="N801" s="27"/>
      <c r="O801" s="27"/>
      <c r="P801" s="27"/>
      <c r="Q801" s="27"/>
    </row>
    <row r="802">
      <c r="A802" s="27"/>
      <c r="B802" s="35"/>
      <c r="C802" s="36"/>
      <c r="D802" s="36"/>
      <c r="E802" s="37"/>
      <c r="F802" s="38"/>
      <c r="G802" s="34"/>
      <c r="H802" s="37"/>
      <c r="I802" s="27"/>
      <c r="J802" s="27"/>
      <c r="K802" s="27"/>
      <c r="L802" s="27"/>
      <c r="M802" s="27"/>
      <c r="N802" s="27"/>
      <c r="O802" s="27"/>
      <c r="P802" s="27"/>
      <c r="Q802" s="27"/>
    </row>
    <row r="803">
      <c r="A803" s="27"/>
      <c r="B803" s="35"/>
      <c r="C803" s="36"/>
      <c r="D803" s="36"/>
      <c r="E803" s="37"/>
      <c r="F803" s="38"/>
      <c r="G803" s="34"/>
      <c r="H803" s="37"/>
      <c r="I803" s="27"/>
      <c r="J803" s="27"/>
      <c r="K803" s="27"/>
      <c r="L803" s="27"/>
      <c r="M803" s="27"/>
      <c r="N803" s="27"/>
      <c r="O803" s="27"/>
      <c r="P803" s="27"/>
      <c r="Q803" s="27"/>
    </row>
    <row r="804">
      <c r="A804" s="27"/>
      <c r="B804" s="35"/>
      <c r="C804" s="36"/>
      <c r="D804" s="36"/>
      <c r="E804" s="37"/>
      <c r="F804" s="38"/>
      <c r="G804" s="34"/>
      <c r="H804" s="37"/>
      <c r="I804" s="27"/>
      <c r="J804" s="27"/>
      <c r="K804" s="27"/>
      <c r="L804" s="27"/>
      <c r="M804" s="27"/>
      <c r="N804" s="27"/>
      <c r="O804" s="27"/>
      <c r="P804" s="27"/>
      <c r="Q804" s="27"/>
    </row>
    <row r="805">
      <c r="A805" s="27"/>
      <c r="B805" s="35"/>
      <c r="C805" s="36"/>
      <c r="D805" s="36"/>
      <c r="E805" s="37"/>
      <c r="F805" s="38"/>
      <c r="G805" s="34"/>
      <c r="H805" s="37"/>
      <c r="I805" s="27"/>
      <c r="J805" s="27"/>
      <c r="K805" s="27"/>
      <c r="L805" s="27"/>
      <c r="M805" s="27"/>
      <c r="N805" s="27"/>
      <c r="O805" s="27"/>
      <c r="P805" s="27"/>
      <c r="Q805" s="27"/>
    </row>
    <row r="806">
      <c r="A806" s="27"/>
      <c r="B806" s="35"/>
      <c r="C806" s="36"/>
      <c r="D806" s="36"/>
      <c r="E806" s="37"/>
      <c r="F806" s="38"/>
      <c r="G806" s="34"/>
      <c r="H806" s="37"/>
      <c r="I806" s="27"/>
      <c r="J806" s="27"/>
      <c r="K806" s="27"/>
      <c r="L806" s="27"/>
      <c r="M806" s="27"/>
      <c r="N806" s="27"/>
      <c r="O806" s="27"/>
      <c r="P806" s="27"/>
      <c r="Q806" s="27"/>
    </row>
    <row r="807">
      <c r="A807" s="27"/>
      <c r="B807" s="35"/>
      <c r="C807" s="36"/>
      <c r="D807" s="36"/>
      <c r="E807" s="37"/>
      <c r="F807" s="38"/>
      <c r="G807" s="34"/>
      <c r="H807" s="37"/>
      <c r="I807" s="27"/>
      <c r="J807" s="27"/>
      <c r="K807" s="27"/>
      <c r="L807" s="27"/>
      <c r="M807" s="27"/>
      <c r="N807" s="27"/>
      <c r="O807" s="27"/>
      <c r="P807" s="27"/>
      <c r="Q807" s="27"/>
    </row>
    <row r="808">
      <c r="A808" s="27"/>
      <c r="B808" s="35"/>
      <c r="C808" s="36"/>
      <c r="D808" s="36"/>
      <c r="E808" s="37"/>
      <c r="F808" s="38"/>
      <c r="G808" s="34"/>
      <c r="H808" s="37"/>
      <c r="I808" s="27"/>
      <c r="J808" s="27"/>
      <c r="K808" s="27"/>
      <c r="L808" s="27"/>
      <c r="M808" s="27"/>
      <c r="N808" s="27"/>
      <c r="O808" s="27"/>
      <c r="P808" s="27"/>
      <c r="Q808" s="27"/>
    </row>
    <row r="809">
      <c r="A809" s="27"/>
      <c r="B809" s="35"/>
      <c r="C809" s="36"/>
      <c r="D809" s="36"/>
      <c r="E809" s="37"/>
      <c r="F809" s="38"/>
      <c r="G809" s="34"/>
      <c r="H809" s="37"/>
      <c r="I809" s="27"/>
      <c r="J809" s="27"/>
      <c r="K809" s="27"/>
      <c r="L809" s="27"/>
      <c r="M809" s="27"/>
      <c r="N809" s="27"/>
      <c r="O809" s="27"/>
      <c r="P809" s="27"/>
      <c r="Q809" s="27"/>
    </row>
    <row r="810">
      <c r="A810" s="27"/>
      <c r="B810" s="35"/>
      <c r="C810" s="36"/>
      <c r="D810" s="36"/>
      <c r="E810" s="37"/>
      <c r="F810" s="38"/>
      <c r="G810" s="34"/>
      <c r="H810" s="37"/>
      <c r="I810" s="27"/>
      <c r="J810" s="27"/>
      <c r="K810" s="27"/>
      <c r="L810" s="27"/>
      <c r="M810" s="27"/>
      <c r="N810" s="27"/>
      <c r="O810" s="27"/>
      <c r="P810" s="27"/>
      <c r="Q810" s="27"/>
    </row>
    <row r="811">
      <c r="A811" s="27"/>
      <c r="B811" s="35"/>
      <c r="C811" s="36"/>
      <c r="D811" s="36"/>
      <c r="E811" s="37"/>
      <c r="F811" s="38"/>
      <c r="G811" s="34"/>
      <c r="H811" s="37"/>
      <c r="I811" s="27"/>
      <c r="J811" s="27"/>
      <c r="K811" s="27"/>
      <c r="L811" s="27"/>
      <c r="M811" s="27"/>
      <c r="N811" s="27"/>
      <c r="O811" s="27"/>
      <c r="P811" s="27"/>
      <c r="Q811" s="27"/>
    </row>
    <row r="812">
      <c r="A812" s="27"/>
      <c r="B812" s="35"/>
      <c r="C812" s="36"/>
      <c r="D812" s="36"/>
      <c r="E812" s="37"/>
      <c r="F812" s="38"/>
      <c r="G812" s="34"/>
      <c r="H812" s="37"/>
      <c r="I812" s="27"/>
      <c r="J812" s="27"/>
      <c r="K812" s="27"/>
      <c r="L812" s="27"/>
      <c r="M812" s="27"/>
      <c r="N812" s="27"/>
      <c r="O812" s="27"/>
      <c r="P812" s="27"/>
      <c r="Q812" s="27"/>
    </row>
    <row r="813">
      <c r="A813" s="27"/>
      <c r="B813" s="35"/>
      <c r="C813" s="36"/>
      <c r="D813" s="36"/>
      <c r="E813" s="37"/>
      <c r="F813" s="38"/>
      <c r="G813" s="34"/>
      <c r="H813" s="37"/>
      <c r="I813" s="27"/>
      <c r="J813" s="27"/>
      <c r="K813" s="27"/>
      <c r="L813" s="27"/>
      <c r="M813" s="27"/>
      <c r="N813" s="27"/>
      <c r="O813" s="27"/>
      <c r="P813" s="27"/>
      <c r="Q813" s="27"/>
    </row>
    <row r="814">
      <c r="A814" s="27"/>
      <c r="B814" s="35"/>
      <c r="C814" s="36"/>
      <c r="D814" s="36"/>
      <c r="E814" s="37"/>
      <c r="F814" s="38"/>
      <c r="G814" s="34"/>
      <c r="H814" s="37"/>
      <c r="I814" s="27"/>
      <c r="J814" s="27"/>
      <c r="K814" s="27"/>
      <c r="L814" s="27"/>
      <c r="M814" s="27"/>
      <c r="N814" s="27"/>
      <c r="O814" s="27"/>
      <c r="P814" s="27"/>
      <c r="Q814" s="27"/>
    </row>
    <row r="815">
      <c r="A815" s="27"/>
      <c r="B815" s="35"/>
      <c r="C815" s="36"/>
      <c r="D815" s="36"/>
      <c r="E815" s="37"/>
      <c r="F815" s="38"/>
      <c r="G815" s="34"/>
      <c r="H815" s="37"/>
      <c r="I815" s="27"/>
      <c r="J815" s="27"/>
      <c r="K815" s="27"/>
      <c r="L815" s="27"/>
      <c r="M815" s="27"/>
      <c r="N815" s="27"/>
      <c r="O815" s="27"/>
      <c r="P815" s="27"/>
      <c r="Q815" s="27"/>
    </row>
    <row r="816">
      <c r="A816" s="27"/>
      <c r="B816" s="35"/>
      <c r="C816" s="36"/>
      <c r="D816" s="36"/>
      <c r="E816" s="37"/>
      <c r="F816" s="38"/>
      <c r="G816" s="34"/>
      <c r="H816" s="37"/>
      <c r="I816" s="27"/>
      <c r="J816" s="27"/>
      <c r="K816" s="27"/>
      <c r="L816" s="27"/>
      <c r="M816" s="27"/>
      <c r="N816" s="27"/>
      <c r="O816" s="27"/>
      <c r="P816" s="27"/>
      <c r="Q816" s="27"/>
    </row>
    <row r="817">
      <c r="A817" s="27"/>
      <c r="B817" s="35"/>
      <c r="C817" s="36"/>
      <c r="D817" s="36"/>
      <c r="E817" s="37"/>
      <c r="F817" s="38"/>
      <c r="G817" s="34"/>
      <c r="H817" s="37"/>
      <c r="I817" s="27"/>
      <c r="J817" s="27"/>
      <c r="K817" s="27"/>
      <c r="L817" s="27"/>
      <c r="M817" s="27"/>
      <c r="N817" s="27"/>
      <c r="O817" s="27"/>
      <c r="P817" s="27"/>
      <c r="Q817" s="27"/>
    </row>
    <row r="818">
      <c r="A818" s="27"/>
      <c r="B818" s="35"/>
      <c r="C818" s="36"/>
      <c r="D818" s="36"/>
      <c r="E818" s="37"/>
      <c r="F818" s="38"/>
      <c r="G818" s="34"/>
      <c r="H818" s="37"/>
      <c r="I818" s="27"/>
      <c r="J818" s="27"/>
      <c r="K818" s="27"/>
      <c r="L818" s="27"/>
      <c r="M818" s="27"/>
      <c r="N818" s="27"/>
      <c r="O818" s="27"/>
      <c r="P818" s="27"/>
      <c r="Q818" s="27"/>
    </row>
    <row r="819">
      <c r="A819" s="27"/>
      <c r="B819" s="35"/>
      <c r="C819" s="36"/>
      <c r="D819" s="36"/>
      <c r="E819" s="37"/>
      <c r="F819" s="38"/>
      <c r="G819" s="34"/>
      <c r="H819" s="37"/>
      <c r="I819" s="27"/>
      <c r="J819" s="27"/>
      <c r="K819" s="27"/>
      <c r="L819" s="27"/>
      <c r="M819" s="27"/>
      <c r="N819" s="27"/>
      <c r="O819" s="27"/>
      <c r="P819" s="27"/>
      <c r="Q819" s="27"/>
    </row>
    <row r="820">
      <c r="A820" s="27"/>
      <c r="B820" s="35"/>
      <c r="C820" s="36"/>
      <c r="D820" s="36"/>
      <c r="E820" s="37"/>
      <c r="F820" s="38"/>
      <c r="G820" s="34"/>
      <c r="H820" s="37"/>
      <c r="I820" s="27"/>
      <c r="J820" s="27"/>
      <c r="K820" s="27"/>
      <c r="L820" s="27"/>
      <c r="M820" s="27"/>
      <c r="N820" s="27"/>
      <c r="O820" s="27"/>
      <c r="P820" s="27"/>
      <c r="Q820" s="27"/>
    </row>
    <row r="821">
      <c r="A821" s="27"/>
      <c r="B821" s="35"/>
      <c r="C821" s="36"/>
      <c r="D821" s="36"/>
      <c r="E821" s="37"/>
      <c r="F821" s="38"/>
      <c r="G821" s="34"/>
      <c r="H821" s="37"/>
      <c r="I821" s="27"/>
      <c r="J821" s="27"/>
      <c r="K821" s="27"/>
      <c r="L821" s="27"/>
      <c r="M821" s="27"/>
      <c r="N821" s="27"/>
      <c r="O821" s="27"/>
      <c r="P821" s="27"/>
      <c r="Q821" s="27"/>
    </row>
    <row r="822">
      <c r="A822" s="27"/>
      <c r="B822" s="35"/>
      <c r="C822" s="36"/>
      <c r="D822" s="36"/>
      <c r="E822" s="37"/>
      <c r="F822" s="38"/>
      <c r="G822" s="34"/>
      <c r="H822" s="37"/>
      <c r="I822" s="27"/>
      <c r="J822" s="27"/>
      <c r="K822" s="27"/>
      <c r="L822" s="27"/>
      <c r="M822" s="27"/>
      <c r="N822" s="27"/>
      <c r="O822" s="27"/>
      <c r="P822" s="27"/>
      <c r="Q822" s="27"/>
    </row>
    <row r="823">
      <c r="A823" s="27"/>
      <c r="B823" s="35"/>
      <c r="C823" s="36"/>
      <c r="D823" s="36"/>
      <c r="E823" s="37"/>
      <c r="F823" s="38"/>
      <c r="G823" s="34"/>
      <c r="H823" s="37"/>
      <c r="I823" s="27"/>
      <c r="J823" s="27"/>
      <c r="K823" s="27"/>
      <c r="L823" s="27"/>
      <c r="M823" s="27"/>
      <c r="N823" s="27"/>
      <c r="O823" s="27"/>
      <c r="P823" s="27"/>
      <c r="Q823" s="27"/>
    </row>
    <row r="824">
      <c r="A824" s="27"/>
      <c r="B824" s="35"/>
      <c r="C824" s="36"/>
      <c r="D824" s="36"/>
      <c r="E824" s="37"/>
      <c r="F824" s="38"/>
      <c r="G824" s="34"/>
      <c r="H824" s="37"/>
      <c r="I824" s="27"/>
      <c r="J824" s="27"/>
      <c r="K824" s="27"/>
      <c r="L824" s="27"/>
      <c r="M824" s="27"/>
      <c r="N824" s="27"/>
      <c r="O824" s="27"/>
      <c r="P824" s="27"/>
      <c r="Q824" s="27"/>
    </row>
    <row r="825">
      <c r="A825" s="27"/>
      <c r="B825" s="35"/>
      <c r="C825" s="36"/>
      <c r="D825" s="36"/>
      <c r="E825" s="37"/>
      <c r="F825" s="38"/>
      <c r="G825" s="34"/>
      <c r="H825" s="37"/>
      <c r="I825" s="27"/>
      <c r="J825" s="27"/>
      <c r="K825" s="27"/>
      <c r="L825" s="27"/>
      <c r="M825" s="27"/>
      <c r="N825" s="27"/>
      <c r="O825" s="27"/>
      <c r="P825" s="27"/>
      <c r="Q825" s="27"/>
    </row>
    <row r="826">
      <c r="A826" s="27"/>
      <c r="B826" s="35"/>
      <c r="C826" s="36"/>
      <c r="D826" s="36"/>
      <c r="E826" s="37"/>
      <c r="F826" s="38"/>
      <c r="G826" s="34"/>
      <c r="H826" s="37"/>
      <c r="I826" s="27"/>
      <c r="J826" s="27"/>
      <c r="K826" s="27"/>
      <c r="L826" s="27"/>
      <c r="M826" s="27"/>
      <c r="N826" s="27"/>
      <c r="O826" s="27"/>
      <c r="P826" s="27"/>
      <c r="Q826" s="27"/>
    </row>
    <row r="827">
      <c r="A827" s="27"/>
      <c r="B827" s="35"/>
      <c r="C827" s="36"/>
      <c r="D827" s="36"/>
      <c r="E827" s="37"/>
      <c r="F827" s="38"/>
      <c r="G827" s="34"/>
      <c r="H827" s="37"/>
      <c r="I827" s="27"/>
      <c r="J827" s="27"/>
      <c r="K827" s="27"/>
      <c r="L827" s="27"/>
      <c r="M827" s="27"/>
      <c r="N827" s="27"/>
      <c r="O827" s="27"/>
      <c r="P827" s="27"/>
      <c r="Q827" s="27"/>
    </row>
    <row r="828">
      <c r="A828" s="27"/>
      <c r="B828" s="35"/>
      <c r="C828" s="36"/>
      <c r="D828" s="36"/>
      <c r="E828" s="37"/>
      <c r="F828" s="38"/>
      <c r="G828" s="34"/>
      <c r="H828" s="37"/>
      <c r="I828" s="27"/>
      <c r="J828" s="27"/>
      <c r="K828" s="27"/>
      <c r="L828" s="27"/>
      <c r="M828" s="27"/>
      <c r="N828" s="27"/>
      <c r="O828" s="27"/>
      <c r="P828" s="27"/>
      <c r="Q828" s="27"/>
    </row>
    <row r="829">
      <c r="A829" s="27"/>
      <c r="B829" s="35"/>
      <c r="C829" s="36"/>
      <c r="D829" s="36"/>
      <c r="E829" s="37"/>
      <c r="F829" s="38"/>
      <c r="G829" s="34"/>
      <c r="H829" s="37"/>
      <c r="I829" s="27"/>
      <c r="J829" s="27"/>
      <c r="K829" s="27"/>
      <c r="L829" s="27"/>
      <c r="M829" s="27"/>
      <c r="N829" s="27"/>
      <c r="O829" s="27"/>
      <c r="P829" s="27"/>
      <c r="Q829" s="27"/>
    </row>
    <row r="830">
      <c r="A830" s="27"/>
      <c r="B830" s="35"/>
      <c r="C830" s="36"/>
      <c r="D830" s="36"/>
      <c r="E830" s="37"/>
      <c r="F830" s="38"/>
      <c r="G830" s="34"/>
      <c r="H830" s="37"/>
      <c r="I830" s="27"/>
      <c r="J830" s="27"/>
      <c r="K830" s="27"/>
      <c r="L830" s="27"/>
      <c r="M830" s="27"/>
      <c r="N830" s="27"/>
      <c r="O830" s="27"/>
      <c r="P830" s="27"/>
      <c r="Q830" s="27"/>
    </row>
    <row r="831">
      <c r="A831" s="27"/>
      <c r="B831" s="35"/>
      <c r="C831" s="36"/>
      <c r="D831" s="36"/>
      <c r="E831" s="37"/>
      <c r="F831" s="38"/>
      <c r="G831" s="34"/>
      <c r="H831" s="37"/>
      <c r="I831" s="27"/>
      <c r="J831" s="27"/>
      <c r="K831" s="27"/>
      <c r="L831" s="27"/>
      <c r="M831" s="27"/>
      <c r="N831" s="27"/>
      <c r="O831" s="27"/>
      <c r="P831" s="27"/>
      <c r="Q831" s="27"/>
    </row>
    <row r="832">
      <c r="A832" s="27"/>
      <c r="B832" s="35"/>
      <c r="C832" s="36"/>
      <c r="D832" s="36"/>
      <c r="E832" s="37"/>
      <c r="F832" s="38"/>
      <c r="G832" s="34"/>
      <c r="H832" s="37"/>
      <c r="I832" s="27"/>
      <c r="J832" s="27"/>
      <c r="K832" s="27"/>
      <c r="L832" s="27"/>
      <c r="M832" s="27"/>
      <c r="N832" s="27"/>
      <c r="O832" s="27"/>
      <c r="P832" s="27"/>
      <c r="Q832" s="27"/>
    </row>
    <row r="833">
      <c r="A833" s="27"/>
      <c r="B833" s="35"/>
      <c r="C833" s="36"/>
      <c r="D833" s="36"/>
      <c r="E833" s="37"/>
      <c r="F833" s="38"/>
      <c r="G833" s="34"/>
      <c r="H833" s="37"/>
      <c r="I833" s="27"/>
      <c r="J833" s="27"/>
      <c r="K833" s="27"/>
      <c r="L833" s="27"/>
      <c r="M833" s="27"/>
      <c r="N833" s="27"/>
      <c r="O833" s="27"/>
      <c r="P833" s="27"/>
      <c r="Q833" s="27"/>
    </row>
    <row r="834">
      <c r="A834" s="27"/>
      <c r="B834" s="35"/>
      <c r="C834" s="36"/>
      <c r="D834" s="36"/>
      <c r="E834" s="37"/>
      <c r="F834" s="38"/>
      <c r="G834" s="34"/>
      <c r="H834" s="37"/>
      <c r="I834" s="27"/>
      <c r="J834" s="27"/>
      <c r="K834" s="27"/>
      <c r="L834" s="27"/>
      <c r="M834" s="27"/>
      <c r="N834" s="27"/>
      <c r="O834" s="27"/>
      <c r="P834" s="27"/>
      <c r="Q834" s="27"/>
    </row>
    <row r="835">
      <c r="A835" s="27"/>
      <c r="B835" s="35"/>
      <c r="C835" s="36"/>
      <c r="D835" s="36"/>
      <c r="E835" s="37"/>
      <c r="F835" s="38"/>
      <c r="G835" s="34"/>
      <c r="H835" s="37"/>
      <c r="I835" s="27"/>
      <c r="J835" s="27"/>
      <c r="K835" s="27"/>
      <c r="L835" s="27"/>
      <c r="M835" s="27"/>
      <c r="N835" s="27"/>
      <c r="O835" s="27"/>
      <c r="P835" s="27"/>
      <c r="Q835" s="27"/>
    </row>
    <row r="836">
      <c r="A836" s="27"/>
      <c r="B836" s="35"/>
      <c r="C836" s="36"/>
      <c r="D836" s="36"/>
      <c r="E836" s="37"/>
      <c r="F836" s="38"/>
      <c r="G836" s="34"/>
      <c r="H836" s="37"/>
      <c r="I836" s="27"/>
      <c r="J836" s="27"/>
      <c r="K836" s="27"/>
      <c r="L836" s="27"/>
      <c r="M836" s="27"/>
      <c r="N836" s="27"/>
      <c r="O836" s="27"/>
      <c r="P836" s="27"/>
      <c r="Q836" s="27"/>
    </row>
    <row r="837">
      <c r="A837" s="27"/>
      <c r="B837" s="35"/>
      <c r="C837" s="36"/>
      <c r="D837" s="36"/>
      <c r="E837" s="37"/>
      <c r="F837" s="38"/>
      <c r="G837" s="34"/>
      <c r="H837" s="37"/>
      <c r="I837" s="27"/>
      <c r="J837" s="27"/>
      <c r="K837" s="27"/>
      <c r="L837" s="27"/>
      <c r="M837" s="27"/>
      <c r="N837" s="27"/>
      <c r="O837" s="27"/>
      <c r="P837" s="27"/>
      <c r="Q837" s="27"/>
    </row>
    <row r="838">
      <c r="A838" s="27"/>
      <c r="B838" s="35"/>
      <c r="C838" s="36"/>
      <c r="D838" s="36"/>
      <c r="E838" s="37"/>
      <c r="F838" s="38"/>
      <c r="G838" s="34"/>
      <c r="H838" s="37"/>
      <c r="I838" s="27"/>
      <c r="J838" s="27"/>
      <c r="K838" s="27"/>
      <c r="L838" s="27"/>
      <c r="M838" s="27"/>
      <c r="N838" s="27"/>
      <c r="O838" s="27"/>
      <c r="P838" s="27"/>
      <c r="Q838" s="27"/>
    </row>
    <row r="839">
      <c r="A839" s="27"/>
      <c r="B839" s="35"/>
      <c r="C839" s="36"/>
      <c r="D839" s="36"/>
      <c r="E839" s="37"/>
      <c r="F839" s="38"/>
      <c r="G839" s="34"/>
      <c r="H839" s="37"/>
      <c r="I839" s="27"/>
      <c r="J839" s="27"/>
      <c r="K839" s="27"/>
      <c r="L839" s="27"/>
      <c r="M839" s="27"/>
      <c r="N839" s="27"/>
      <c r="O839" s="27"/>
      <c r="P839" s="27"/>
      <c r="Q839" s="27"/>
    </row>
    <row r="840">
      <c r="A840" s="27"/>
      <c r="B840" s="35"/>
      <c r="C840" s="36"/>
      <c r="D840" s="36"/>
      <c r="E840" s="37"/>
      <c r="F840" s="38"/>
      <c r="G840" s="34"/>
      <c r="H840" s="37"/>
      <c r="I840" s="27"/>
      <c r="J840" s="27"/>
      <c r="K840" s="27"/>
      <c r="L840" s="27"/>
      <c r="M840" s="27"/>
      <c r="N840" s="27"/>
      <c r="O840" s="27"/>
      <c r="P840" s="27"/>
      <c r="Q840" s="27"/>
    </row>
    <row r="841">
      <c r="A841" s="27"/>
      <c r="B841" s="35"/>
      <c r="C841" s="36"/>
      <c r="D841" s="36"/>
      <c r="E841" s="37"/>
      <c r="F841" s="38"/>
      <c r="G841" s="34"/>
      <c r="H841" s="37"/>
      <c r="I841" s="27"/>
      <c r="J841" s="27"/>
      <c r="K841" s="27"/>
      <c r="L841" s="27"/>
      <c r="M841" s="27"/>
      <c r="N841" s="27"/>
      <c r="O841" s="27"/>
      <c r="P841" s="27"/>
      <c r="Q841" s="27"/>
    </row>
    <row r="842">
      <c r="A842" s="27"/>
      <c r="B842" s="35"/>
      <c r="C842" s="36"/>
      <c r="D842" s="36"/>
      <c r="E842" s="37"/>
      <c r="F842" s="38"/>
      <c r="G842" s="34"/>
      <c r="H842" s="37"/>
      <c r="I842" s="27"/>
      <c r="J842" s="27"/>
      <c r="K842" s="27"/>
      <c r="L842" s="27"/>
      <c r="M842" s="27"/>
      <c r="N842" s="27"/>
      <c r="O842" s="27"/>
      <c r="P842" s="27"/>
      <c r="Q842" s="27"/>
    </row>
    <row r="843">
      <c r="A843" s="27"/>
      <c r="B843" s="35"/>
      <c r="C843" s="36"/>
      <c r="D843" s="36"/>
      <c r="E843" s="37"/>
      <c r="F843" s="38"/>
      <c r="G843" s="34"/>
      <c r="H843" s="37"/>
      <c r="I843" s="27"/>
      <c r="J843" s="27"/>
      <c r="K843" s="27"/>
      <c r="L843" s="27"/>
      <c r="M843" s="27"/>
      <c r="N843" s="27"/>
      <c r="O843" s="27"/>
      <c r="P843" s="27"/>
      <c r="Q843" s="27"/>
    </row>
    <row r="844">
      <c r="A844" s="27"/>
      <c r="B844" s="35"/>
      <c r="C844" s="36"/>
      <c r="D844" s="36"/>
      <c r="E844" s="37"/>
      <c r="F844" s="38"/>
      <c r="G844" s="34"/>
      <c r="H844" s="37"/>
      <c r="I844" s="27"/>
      <c r="J844" s="27"/>
      <c r="K844" s="27"/>
      <c r="L844" s="27"/>
      <c r="M844" s="27"/>
      <c r="N844" s="27"/>
      <c r="O844" s="27"/>
      <c r="P844" s="27"/>
      <c r="Q844" s="27"/>
    </row>
    <row r="845">
      <c r="A845" s="27"/>
      <c r="B845" s="35"/>
      <c r="C845" s="36"/>
      <c r="D845" s="36"/>
      <c r="E845" s="37"/>
      <c r="F845" s="38"/>
      <c r="G845" s="34"/>
      <c r="H845" s="37"/>
      <c r="I845" s="27"/>
      <c r="J845" s="27"/>
      <c r="K845" s="27"/>
      <c r="L845" s="27"/>
      <c r="M845" s="27"/>
      <c r="N845" s="27"/>
      <c r="O845" s="27"/>
      <c r="P845" s="27"/>
      <c r="Q845" s="27"/>
    </row>
    <row r="846">
      <c r="A846" s="27"/>
      <c r="B846" s="35"/>
      <c r="C846" s="36"/>
      <c r="D846" s="36"/>
      <c r="E846" s="37"/>
      <c r="F846" s="38"/>
      <c r="G846" s="34"/>
      <c r="H846" s="37"/>
      <c r="I846" s="27"/>
      <c r="J846" s="27"/>
      <c r="K846" s="27"/>
      <c r="L846" s="27"/>
      <c r="M846" s="27"/>
      <c r="N846" s="27"/>
      <c r="O846" s="27"/>
      <c r="P846" s="27"/>
      <c r="Q846" s="27"/>
    </row>
    <row r="847">
      <c r="A847" s="27"/>
      <c r="B847" s="35"/>
      <c r="C847" s="36"/>
      <c r="D847" s="36"/>
      <c r="E847" s="37"/>
      <c r="F847" s="38"/>
      <c r="G847" s="34"/>
      <c r="H847" s="37"/>
      <c r="I847" s="27"/>
      <c r="J847" s="27"/>
      <c r="K847" s="27"/>
      <c r="L847" s="27"/>
      <c r="M847" s="27"/>
      <c r="N847" s="27"/>
      <c r="O847" s="27"/>
      <c r="P847" s="27"/>
      <c r="Q847" s="27"/>
    </row>
    <row r="848">
      <c r="A848" s="27"/>
      <c r="B848" s="35"/>
      <c r="C848" s="36"/>
      <c r="D848" s="36"/>
      <c r="E848" s="37"/>
      <c r="F848" s="38"/>
      <c r="G848" s="34"/>
      <c r="H848" s="37"/>
      <c r="I848" s="27"/>
      <c r="J848" s="27"/>
      <c r="K848" s="27"/>
      <c r="L848" s="27"/>
      <c r="M848" s="27"/>
      <c r="N848" s="27"/>
      <c r="O848" s="27"/>
      <c r="P848" s="27"/>
      <c r="Q848" s="27"/>
    </row>
    <row r="849">
      <c r="A849" s="27"/>
      <c r="B849" s="35"/>
      <c r="C849" s="36"/>
      <c r="D849" s="36"/>
      <c r="E849" s="37"/>
      <c r="F849" s="38"/>
      <c r="G849" s="34"/>
      <c r="H849" s="37"/>
      <c r="I849" s="27"/>
      <c r="J849" s="27"/>
      <c r="K849" s="27"/>
      <c r="L849" s="27"/>
      <c r="M849" s="27"/>
      <c r="N849" s="27"/>
      <c r="O849" s="27"/>
      <c r="P849" s="27"/>
      <c r="Q849" s="27"/>
    </row>
    <row r="850">
      <c r="A850" s="27"/>
      <c r="B850" s="35"/>
      <c r="C850" s="36"/>
      <c r="D850" s="36"/>
      <c r="E850" s="37"/>
      <c r="F850" s="38"/>
      <c r="G850" s="34"/>
      <c r="H850" s="37"/>
      <c r="I850" s="27"/>
      <c r="J850" s="27"/>
      <c r="K850" s="27"/>
      <c r="L850" s="27"/>
      <c r="M850" s="27"/>
      <c r="N850" s="27"/>
      <c r="O850" s="27"/>
      <c r="P850" s="27"/>
      <c r="Q850" s="27"/>
    </row>
    <row r="851">
      <c r="A851" s="27"/>
      <c r="B851" s="35"/>
      <c r="C851" s="36"/>
      <c r="D851" s="36"/>
      <c r="E851" s="37"/>
      <c r="F851" s="38"/>
      <c r="G851" s="34"/>
      <c r="H851" s="37"/>
      <c r="I851" s="27"/>
      <c r="J851" s="27"/>
      <c r="K851" s="27"/>
      <c r="L851" s="27"/>
      <c r="M851" s="27"/>
      <c r="N851" s="27"/>
      <c r="O851" s="27"/>
      <c r="P851" s="27"/>
      <c r="Q851" s="27"/>
    </row>
    <row r="852">
      <c r="A852" s="27"/>
      <c r="B852" s="35"/>
      <c r="C852" s="36"/>
      <c r="D852" s="36"/>
      <c r="E852" s="37"/>
      <c r="F852" s="38"/>
      <c r="G852" s="34"/>
      <c r="H852" s="37"/>
      <c r="I852" s="27"/>
      <c r="J852" s="27"/>
      <c r="K852" s="27"/>
      <c r="L852" s="27"/>
      <c r="M852" s="27"/>
      <c r="N852" s="27"/>
      <c r="O852" s="27"/>
      <c r="P852" s="27"/>
      <c r="Q852" s="27"/>
    </row>
    <row r="853">
      <c r="A853" s="27"/>
      <c r="B853" s="35"/>
      <c r="C853" s="36"/>
      <c r="D853" s="36"/>
      <c r="E853" s="37"/>
      <c r="F853" s="38"/>
      <c r="G853" s="34"/>
      <c r="H853" s="37"/>
      <c r="I853" s="27"/>
      <c r="J853" s="27"/>
      <c r="K853" s="27"/>
      <c r="L853" s="27"/>
      <c r="M853" s="27"/>
      <c r="N853" s="27"/>
      <c r="O853" s="27"/>
      <c r="P853" s="27"/>
      <c r="Q853" s="27"/>
    </row>
    <row r="854">
      <c r="A854" s="27"/>
      <c r="B854" s="35"/>
      <c r="C854" s="36"/>
      <c r="D854" s="36"/>
      <c r="E854" s="37"/>
      <c r="F854" s="38"/>
      <c r="G854" s="34"/>
      <c r="H854" s="37"/>
      <c r="I854" s="27"/>
      <c r="J854" s="27"/>
      <c r="K854" s="27"/>
      <c r="L854" s="27"/>
      <c r="M854" s="27"/>
      <c r="N854" s="27"/>
      <c r="O854" s="27"/>
      <c r="P854" s="27"/>
      <c r="Q854" s="27"/>
    </row>
    <row r="855">
      <c r="A855" s="27"/>
      <c r="B855" s="35"/>
      <c r="C855" s="36"/>
      <c r="D855" s="36"/>
      <c r="E855" s="37"/>
      <c r="F855" s="38"/>
      <c r="G855" s="34"/>
      <c r="H855" s="37"/>
      <c r="I855" s="27"/>
      <c r="J855" s="27"/>
      <c r="K855" s="27"/>
      <c r="L855" s="27"/>
      <c r="M855" s="27"/>
      <c r="N855" s="27"/>
      <c r="O855" s="27"/>
      <c r="P855" s="27"/>
      <c r="Q855" s="27"/>
    </row>
    <row r="856">
      <c r="A856" s="27"/>
      <c r="B856" s="35"/>
      <c r="C856" s="36"/>
      <c r="D856" s="36"/>
      <c r="E856" s="37"/>
      <c r="F856" s="38"/>
      <c r="G856" s="34"/>
      <c r="H856" s="37"/>
      <c r="I856" s="27"/>
      <c r="J856" s="27"/>
      <c r="K856" s="27"/>
      <c r="L856" s="27"/>
      <c r="M856" s="27"/>
      <c r="N856" s="27"/>
      <c r="O856" s="27"/>
      <c r="P856" s="27"/>
      <c r="Q856" s="27"/>
    </row>
    <row r="857">
      <c r="A857" s="27"/>
      <c r="B857" s="35"/>
      <c r="C857" s="36"/>
      <c r="D857" s="36"/>
      <c r="E857" s="37"/>
      <c r="F857" s="38"/>
      <c r="G857" s="34"/>
      <c r="H857" s="37"/>
      <c r="I857" s="27"/>
      <c r="J857" s="27"/>
      <c r="K857" s="27"/>
      <c r="L857" s="27"/>
      <c r="M857" s="27"/>
      <c r="N857" s="27"/>
      <c r="O857" s="27"/>
      <c r="P857" s="27"/>
      <c r="Q857" s="27"/>
    </row>
    <row r="858">
      <c r="A858" s="27"/>
      <c r="B858" s="35"/>
      <c r="C858" s="36"/>
      <c r="D858" s="36"/>
      <c r="E858" s="37"/>
      <c r="F858" s="38"/>
      <c r="G858" s="34"/>
      <c r="H858" s="37"/>
      <c r="I858" s="27"/>
      <c r="J858" s="27"/>
      <c r="K858" s="27"/>
      <c r="L858" s="27"/>
      <c r="M858" s="27"/>
      <c r="N858" s="27"/>
      <c r="O858" s="27"/>
      <c r="P858" s="27"/>
      <c r="Q858" s="27"/>
    </row>
    <row r="859">
      <c r="A859" s="27"/>
      <c r="B859" s="35"/>
      <c r="C859" s="36"/>
      <c r="D859" s="36"/>
      <c r="E859" s="37"/>
      <c r="F859" s="38"/>
      <c r="G859" s="34"/>
      <c r="H859" s="37"/>
      <c r="I859" s="27"/>
      <c r="J859" s="27"/>
      <c r="K859" s="27"/>
      <c r="L859" s="27"/>
      <c r="M859" s="27"/>
      <c r="N859" s="27"/>
      <c r="O859" s="27"/>
      <c r="P859" s="27"/>
      <c r="Q859" s="27"/>
    </row>
    <row r="860">
      <c r="A860" s="27"/>
      <c r="B860" s="35"/>
      <c r="C860" s="36"/>
      <c r="D860" s="36"/>
      <c r="E860" s="37"/>
      <c r="F860" s="38"/>
      <c r="G860" s="34"/>
      <c r="H860" s="37"/>
      <c r="I860" s="27"/>
      <c r="J860" s="27"/>
      <c r="K860" s="27"/>
      <c r="L860" s="27"/>
      <c r="M860" s="27"/>
      <c r="N860" s="27"/>
      <c r="O860" s="27"/>
      <c r="P860" s="27"/>
      <c r="Q860" s="27"/>
    </row>
    <row r="861">
      <c r="A861" s="27"/>
      <c r="B861" s="35"/>
      <c r="C861" s="36"/>
      <c r="D861" s="36"/>
      <c r="E861" s="37"/>
      <c r="F861" s="38"/>
      <c r="G861" s="34"/>
      <c r="H861" s="37"/>
      <c r="I861" s="27"/>
      <c r="J861" s="27"/>
      <c r="K861" s="27"/>
      <c r="L861" s="27"/>
      <c r="M861" s="27"/>
      <c r="N861" s="27"/>
      <c r="O861" s="27"/>
      <c r="P861" s="27"/>
      <c r="Q861" s="27"/>
    </row>
    <row r="862">
      <c r="A862" s="27"/>
      <c r="B862" s="35"/>
      <c r="C862" s="36"/>
      <c r="D862" s="36"/>
      <c r="E862" s="37"/>
      <c r="F862" s="38"/>
      <c r="G862" s="34"/>
      <c r="H862" s="37"/>
      <c r="I862" s="27"/>
      <c r="J862" s="27"/>
      <c r="K862" s="27"/>
      <c r="L862" s="27"/>
      <c r="M862" s="27"/>
      <c r="N862" s="27"/>
      <c r="O862" s="27"/>
      <c r="P862" s="27"/>
      <c r="Q862" s="27"/>
    </row>
    <row r="863">
      <c r="A863" s="27"/>
      <c r="B863" s="35"/>
      <c r="C863" s="36"/>
      <c r="D863" s="36"/>
      <c r="E863" s="37"/>
      <c r="F863" s="38"/>
      <c r="G863" s="34"/>
      <c r="H863" s="37"/>
      <c r="I863" s="27"/>
      <c r="J863" s="27"/>
      <c r="K863" s="27"/>
      <c r="L863" s="27"/>
      <c r="M863" s="27"/>
      <c r="N863" s="27"/>
      <c r="O863" s="27"/>
      <c r="P863" s="27"/>
      <c r="Q863" s="27"/>
    </row>
    <row r="864">
      <c r="A864" s="27"/>
      <c r="B864" s="35"/>
      <c r="C864" s="36"/>
      <c r="D864" s="36"/>
      <c r="E864" s="37"/>
      <c r="F864" s="38"/>
      <c r="G864" s="34"/>
      <c r="H864" s="37"/>
      <c r="I864" s="27"/>
      <c r="J864" s="27"/>
      <c r="K864" s="27"/>
      <c r="L864" s="27"/>
      <c r="M864" s="27"/>
      <c r="N864" s="27"/>
      <c r="O864" s="27"/>
      <c r="P864" s="27"/>
      <c r="Q864" s="27"/>
    </row>
    <row r="865">
      <c r="A865" s="27"/>
      <c r="B865" s="35"/>
      <c r="C865" s="36"/>
      <c r="D865" s="36"/>
      <c r="E865" s="37"/>
      <c r="F865" s="38"/>
      <c r="G865" s="34"/>
      <c r="H865" s="37"/>
      <c r="I865" s="27"/>
      <c r="J865" s="27"/>
      <c r="K865" s="27"/>
      <c r="L865" s="27"/>
      <c r="M865" s="27"/>
      <c r="N865" s="27"/>
      <c r="O865" s="27"/>
      <c r="P865" s="27"/>
      <c r="Q865" s="27"/>
    </row>
    <row r="866">
      <c r="A866" s="27"/>
      <c r="B866" s="35"/>
      <c r="C866" s="36"/>
      <c r="D866" s="36"/>
      <c r="E866" s="37"/>
      <c r="F866" s="38"/>
      <c r="G866" s="34"/>
      <c r="H866" s="37"/>
      <c r="I866" s="27"/>
      <c r="J866" s="27"/>
      <c r="K866" s="27"/>
      <c r="L866" s="27"/>
      <c r="M866" s="27"/>
      <c r="N866" s="27"/>
      <c r="O866" s="27"/>
      <c r="P866" s="27"/>
      <c r="Q866" s="27"/>
    </row>
    <row r="867">
      <c r="A867" s="27"/>
      <c r="B867" s="35"/>
      <c r="C867" s="36"/>
      <c r="D867" s="36"/>
      <c r="E867" s="37"/>
      <c r="F867" s="38"/>
      <c r="G867" s="34"/>
      <c r="H867" s="37"/>
      <c r="I867" s="27"/>
      <c r="J867" s="27"/>
      <c r="K867" s="27"/>
      <c r="L867" s="27"/>
      <c r="M867" s="27"/>
      <c r="N867" s="27"/>
      <c r="O867" s="27"/>
      <c r="P867" s="27"/>
      <c r="Q867" s="27"/>
    </row>
    <row r="868">
      <c r="A868" s="27"/>
      <c r="B868" s="35"/>
      <c r="C868" s="36"/>
      <c r="D868" s="36"/>
      <c r="E868" s="37"/>
      <c r="F868" s="38"/>
      <c r="G868" s="34"/>
      <c r="H868" s="37"/>
      <c r="I868" s="27"/>
      <c r="J868" s="27"/>
      <c r="K868" s="27"/>
      <c r="L868" s="27"/>
      <c r="M868" s="27"/>
      <c r="N868" s="27"/>
      <c r="O868" s="27"/>
      <c r="P868" s="27"/>
      <c r="Q868" s="27"/>
    </row>
    <row r="869">
      <c r="A869" s="27"/>
      <c r="B869" s="35"/>
      <c r="C869" s="36"/>
      <c r="D869" s="36"/>
      <c r="E869" s="37"/>
      <c r="F869" s="38"/>
      <c r="G869" s="34"/>
      <c r="H869" s="37"/>
      <c r="I869" s="27"/>
      <c r="J869" s="27"/>
      <c r="K869" s="27"/>
      <c r="L869" s="27"/>
      <c r="M869" s="27"/>
      <c r="N869" s="27"/>
      <c r="O869" s="27"/>
      <c r="P869" s="27"/>
      <c r="Q869" s="27"/>
    </row>
    <row r="870">
      <c r="A870" s="27"/>
      <c r="B870" s="35"/>
      <c r="C870" s="36"/>
      <c r="D870" s="36"/>
      <c r="E870" s="37"/>
      <c r="F870" s="38"/>
      <c r="G870" s="34"/>
      <c r="H870" s="37"/>
      <c r="I870" s="27"/>
      <c r="J870" s="27"/>
      <c r="K870" s="27"/>
      <c r="L870" s="27"/>
      <c r="M870" s="27"/>
      <c r="N870" s="27"/>
      <c r="O870" s="27"/>
      <c r="P870" s="27"/>
      <c r="Q870" s="27"/>
    </row>
    <row r="871">
      <c r="A871" s="27"/>
      <c r="B871" s="35"/>
      <c r="C871" s="36"/>
      <c r="D871" s="36"/>
      <c r="E871" s="37"/>
      <c r="F871" s="38"/>
      <c r="G871" s="34"/>
      <c r="H871" s="37"/>
      <c r="I871" s="27"/>
      <c r="J871" s="27"/>
      <c r="K871" s="27"/>
      <c r="L871" s="27"/>
      <c r="M871" s="27"/>
      <c r="N871" s="27"/>
      <c r="O871" s="27"/>
      <c r="P871" s="27"/>
      <c r="Q871" s="27"/>
    </row>
    <row r="872">
      <c r="A872" s="27"/>
      <c r="B872" s="35"/>
      <c r="C872" s="36"/>
      <c r="D872" s="36"/>
      <c r="E872" s="37"/>
      <c r="F872" s="38"/>
      <c r="G872" s="34"/>
      <c r="H872" s="37"/>
      <c r="I872" s="27"/>
      <c r="J872" s="27"/>
      <c r="K872" s="27"/>
      <c r="L872" s="27"/>
      <c r="M872" s="27"/>
      <c r="N872" s="27"/>
      <c r="O872" s="27"/>
      <c r="P872" s="27"/>
      <c r="Q872" s="27"/>
    </row>
    <row r="873">
      <c r="A873" s="27"/>
      <c r="B873" s="35"/>
      <c r="C873" s="36"/>
      <c r="D873" s="36"/>
      <c r="E873" s="37"/>
      <c r="F873" s="38"/>
      <c r="G873" s="34"/>
      <c r="H873" s="37"/>
      <c r="I873" s="27"/>
      <c r="J873" s="27"/>
      <c r="K873" s="27"/>
      <c r="L873" s="27"/>
      <c r="M873" s="27"/>
      <c r="N873" s="27"/>
      <c r="O873" s="27"/>
      <c r="P873" s="27"/>
      <c r="Q873" s="27"/>
    </row>
    <row r="874">
      <c r="A874" s="27"/>
      <c r="B874" s="35"/>
      <c r="C874" s="36"/>
      <c r="D874" s="36"/>
      <c r="E874" s="37"/>
      <c r="F874" s="38"/>
      <c r="G874" s="34"/>
      <c r="H874" s="37"/>
      <c r="I874" s="27"/>
      <c r="J874" s="27"/>
      <c r="K874" s="27"/>
      <c r="L874" s="27"/>
      <c r="M874" s="27"/>
      <c r="N874" s="27"/>
      <c r="O874" s="27"/>
      <c r="P874" s="27"/>
      <c r="Q874" s="27"/>
    </row>
    <row r="875">
      <c r="A875" s="27"/>
      <c r="B875" s="35"/>
      <c r="C875" s="36"/>
      <c r="D875" s="36"/>
      <c r="E875" s="37"/>
      <c r="F875" s="38"/>
      <c r="G875" s="34"/>
      <c r="H875" s="37"/>
      <c r="I875" s="27"/>
      <c r="J875" s="27"/>
      <c r="K875" s="27"/>
      <c r="L875" s="27"/>
      <c r="M875" s="27"/>
      <c r="N875" s="27"/>
      <c r="O875" s="27"/>
      <c r="P875" s="27"/>
      <c r="Q875" s="27"/>
    </row>
    <row r="876">
      <c r="A876" s="27"/>
      <c r="B876" s="35"/>
      <c r="C876" s="36"/>
      <c r="D876" s="36"/>
      <c r="E876" s="37"/>
      <c r="F876" s="38"/>
      <c r="G876" s="34"/>
      <c r="H876" s="37"/>
      <c r="I876" s="27"/>
      <c r="J876" s="27"/>
      <c r="K876" s="27"/>
      <c r="L876" s="27"/>
      <c r="M876" s="27"/>
      <c r="N876" s="27"/>
      <c r="O876" s="27"/>
      <c r="P876" s="27"/>
      <c r="Q876" s="27"/>
    </row>
    <row r="877">
      <c r="A877" s="27"/>
      <c r="B877" s="35"/>
      <c r="C877" s="36"/>
      <c r="D877" s="36"/>
      <c r="E877" s="37"/>
      <c r="F877" s="38"/>
      <c r="G877" s="34"/>
      <c r="H877" s="37"/>
      <c r="I877" s="27"/>
      <c r="J877" s="27"/>
      <c r="K877" s="27"/>
      <c r="L877" s="27"/>
      <c r="M877" s="27"/>
      <c r="N877" s="27"/>
      <c r="O877" s="27"/>
      <c r="P877" s="27"/>
      <c r="Q877" s="27"/>
    </row>
    <row r="878">
      <c r="A878" s="27"/>
      <c r="B878" s="35"/>
      <c r="C878" s="36"/>
      <c r="D878" s="36"/>
      <c r="E878" s="37"/>
      <c r="F878" s="38"/>
      <c r="G878" s="34"/>
      <c r="H878" s="37"/>
      <c r="I878" s="27"/>
      <c r="J878" s="27"/>
      <c r="K878" s="27"/>
      <c r="L878" s="27"/>
      <c r="M878" s="27"/>
      <c r="N878" s="27"/>
      <c r="O878" s="27"/>
      <c r="P878" s="27"/>
      <c r="Q878" s="27"/>
    </row>
    <row r="879">
      <c r="B879" s="40"/>
      <c r="E879" s="41"/>
      <c r="F879" s="42"/>
      <c r="G879" s="43"/>
      <c r="H879" s="41"/>
    </row>
    <row r="880">
      <c r="B880" s="40"/>
      <c r="E880" s="41"/>
      <c r="F880" s="42"/>
      <c r="G880" s="43"/>
      <c r="H880" s="41"/>
    </row>
    <row r="881">
      <c r="B881" s="40"/>
      <c r="E881" s="41"/>
      <c r="F881" s="42"/>
      <c r="G881" s="43"/>
      <c r="H881" s="41"/>
    </row>
    <row r="882">
      <c r="B882" s="40"/>
      <c r="E882" s="41"/>
      <c r="F882" s="42"/>
      <c r="G882" s="43"/>
      <c r="H882" s="41"/>
    </row>
    <row r="883">
      <c r="B883" s="40"/>
      <c r="E883" s="41"/>
      <c r="F883" s="42"/>
      <c r="G883" s="43"/>
      <c r="H883" s="41"/>
    </row>
    <row r="884">
      <c r="B884" s="40"/>
      <c r="E884" s="41"/>
      <c r="F884" s="42"/>
      <c r="G884" s="43"/>
      <c r="H884" s="41"/>
    </row>
    <row r="885">
      <c r="B885" s="40"/>
      <c r="E885" s="41"/>
      <c r="F885" s="42"/>
      <c r="G885" s="43"/>
      <c r="H885" s="41"/>
    </row>
    <row r="886">
      <c r="B886" s="40"/>
      <c r="E886" s="41"/>
      <c r="F886" s="42"/>
      <c r="G886" s="43"/>
      <c r="H886" s="41"/>
    </row>
    <row r="887">
      <c r="B887" s="40"/>
      <c r="E887" s="41"/>
      <c r="F887" s="42"/>
      <c r="G887" s="43"/>
      <c r="H887" s="41"/>
    </row>
    <row r="888">
      <c r="B888" s="40"/>
      <c r="E888" s="41"/>
      <c r="F888" s="42"/>
      <c r="G888" s="43"/>
      <c r="H888" s="41"/>
    </row>
    <row r="889">
      <c r="B889" s="40"/>
      <c r="E889" s="41"/>
      <c r="F889" s="42"/>
      <c r="G889" s="43"/>
      <c r="H889" s="41"/>
    </row>
    <row r="890">
      <c r="B890" s="40"/>
      <c r="E890" s="41"/>
      <c r="F890" s="42"/>
      <c r="G890" s="43"/>
      <c r="H890" s="41"/>
    </row>
    <row r="891">
      <c r="B891" s="40"/>
      <c r="E891" s="41"/>
      <c r="F891" s="42"/>
      <c r="G891" s="43"/>
      <c r="H891" s="41"/>
    </row>
    <row r="892">
      <c r="B892" s="40"/>
      <c r="E892" s="41"/>
      <c r="F892" s="42"/>
      <c r="G892" s="43"/>
      <c r="H892" s="41"/>
    </row>
    <row r="893">
      <c r="B893" s="40"/>
      <c r="E893" s="41"/>
      <c r="F893" s="42"/>
      <c r="G893" s="43"/>
      <c r="H893" s="41"/>
    </row>
    <row r="894">
      <c r="B894" s="40"/>
      <c r="E894" s="41"/>
      <c r="F894" s="42"/>
      <c r="G894" s="43"/>
      <c r="H894" s="41"/>
    </row>
    <row r="895">
      <c r="B895" s="40"/>
      <c r="E895" s="41"/>
      <c r="F895" s="42"/>
      <c r="G895" s="43"/>
      <c r="H895" s="41"/>
    </row>
    <row r="896">
      <c r="B896" s="40"/>
      <c r="E896" s="41"/>
      <c r="F896" s="42"/>
      <c r="G896" s="43"/>
      <c r="H896" s="41"/>
    </row>
    <row r="897">
      <c r="B897" s="40"/>
      <c r="E897" s="41"/>
      <c r="F897" s="42"/>
      <c r="G897" s="43"/>
      <c r="H897" s="41"/>
    </row>
    <row r="898">
      <c r="B898" s="40"/>
      <c r="E898" s="41"/>
      <c r="F898" s="42"/>
      <c r="G898" s="43"/>
      <c r="H898" s="41"/>
    </row>
    <row r="899">
      <c r="B899" s="40"/>
      <c r="E899" s="41"/>
      <c r="F899" s="42"/>
      <c r="G899" s="43"/>
      <c r="H899" s="41"/>
    </row>
    <row r="900">
      <c r="B900" s="40"/>
      <c r="E900" s="41"/>
      <c r="F900" s="42"/>
      <c r="G900" s="43"/>
      <c r="H900" s="41"/>
    </row>
    <row r="901">
      <c r="B901" s="40"/>
      <c r="E901" s="41"/>
      <c r="F901" s="42"/>
      <c r="G901" s="43"/>
      <c r="H901" s="41"/>
    </row>
    <row r="902">
      <c r="B902" s="40"/>
      <c r="E902" s="41"/>
      <c r="F902" s="42"/>
      <c r="G902" s="43"/>
      <c r="H902" s="41"/>
    </row>
    <row r="903">
      <c r="B903" s="40"/>
      <c r="E903" s="41"/>
      <c r="F903" s="42"/>
      <c r="G903" s="43"/>
      <c r="H903" s="41"/>
    </row>
    <row r="904">
      <c r="B904" s="40"/>
      <c r="E904" s="41"/>
      <c r="F904" s="42"/>
      <c r="G904" s="43"/>
      <c r="H904" s="41"/>
    </row>
    <row r="905">
      <c r="B905" s="40"/>
      <c r="E905" s="41"/>
      <c r="F905" s="42"/>
      <c r="G905" s="43"/>
      <c r="H905" s="41"/>
    </row>
    <row r="906">
      <c r="B906" s="40"/>
      <c r="E906" s="41"/>
      <c r="F906" s="42"/>
      <c r="G906" s="43"/>
      <c r="H906" s="41"/>
    </row>
    <row r="907">
      <c r="B907" s="40"/>
      <c r="E907" s="41"/>
      <c r="F907" s="42"/>
      <c r="G907" s="43"/>
      <c r="H907" s="41"/>
    </row>
    <row r="908">
      <c r="B908" s="40"/>
      <c r="E908" s="41"/>
      <c r="F908" s="42"/>
      <c r="G908" s="43"/>
      <c r="H908" s="41"/>
    </row>
    <row r="909">
      <c r="B909" s="40"/>
      <c r="E909" s="41"/>
      <c r="F909" s="42"/>
      <c r="G909" s="43"/>
      <c r="H909" s="41"/>
    </row>
    <row r="910">
      <c r="B910" s="40"/>
      <c r="E910" s="41"/>
      <c r="F910" s="42"/>
      <c r="G910" s="43"/>
      <c r="H910" s="41"/>
    </row>
    <row r="911">
      <c r="B911" s="40"/>
      <c r="E911" s="41"/>
      <c r="F911" s="42"/>
      <c r="G911" s="43"/>
      <c r="H911" s="41"/>
    </row>
    <row r="912">
      <c r="B912" s="40"/>
      <c r="E912" s="41"/>
      <c r="F912" s="42"/>
      <c r="G912" s="43"/>
      <c r="H912" s="41"/>
    </row>
    <row r="913">
      <c r="B913" s="40"/>
      <c r="E913" s="41"/>
      <c r="F913" s="42"/>
      <c r="G913" s="43"/>
      <c r="H913" s="41"/>
    </row>
    <row r="914">
      <c r="B914" s="40"/>
      <c r="E914" s="41"/>
      <c r="F914" s="42"/>
      <c r="G914" s="43"/>
      <c r="H914" s="41"/>
    </row>
    <row r="915">
      <c r="B915" s="40"/>
      <c r="E915" s="41"/>
      <c r="F915" s="42"/>
      <c r="G915" s="43"/>
      <c r="H915" s="41"/>
    </row>
    <row r="916">
      <c r="B916" s="40"/>
      <c r="E916" s="41"/>
      <c r="F916" s="42"/>
      <c r="G916" s="43"/>
      <c r="H916" s="41"/>
    </row>
    <row r="917">
      <c r="B917" s="40"/>
      <c r="E917" s="41"/>
      <c r="F917" s="42"/>
      <c r="G917" s="43"/>
      <c r="H917" s="41"/>
    </row>
    <row r="918">
      <c r="B918" s="40"/>
      <c r="E918" s="41"/>
      <c r="F918" s="42"/>
      <c r="G918" s="43"/>
      <c r="H918" s="41"/>
    </row>
    <row r="919">
      <c r="B919" s="40"/>
      <c r="E919" s="41"/>
      <c r="F919" s="42"/>
      <c r="G919" s="43"/>
      <c r="H919" s="41"/>
    </row>
    <row r="920">
      <c r="B920" s="40"/>
      <c r="E920" s="41"/>
      <c r="F920" s="42"/>
      <c r="G920" s="43"/>
      <c r="H920" s="41"/>
    </row>
    <row r="921">
      <c r="B921" s="40"/>
      <c r="E921" s="41"/>
      <c r="F921" s="42"/>
      <c r="G921" s="43"/>
      <c r="H921" s="41"/>
    </row>
    <row r="922">
      <c r="B922" s="40"/>
      <c r="E922" s="41"/>
      <c r="F922" s="42"/>
      <c r="G922" s="43"/>
      <c r="H922" s="41"/>
    </row>
    <row r="923">
      <c r="B923" s="40"/>
      <c r="E923" s="41"/>
      <c r="F923" s="42"/>
      <c r="G923" s="43"/>
      <c r="H923" s="41"/>
    </row>
    <row r="924">
      <c r="B924" s="40"/>
      <c r="E924" s="41"/>
      <c r="F924" s="42"/>
      <c r="G924" s="43"/>
      <c r="H924" s="41"/>
    </row>
    <row r="925">
      <c r="B925" s="40"/>
      <c r="E925" s="41"/>
      <c r="F925" s="42"/>
      <c r="G925" s="43"/>
      <c r="H925" s="41"/>
    </row>
    <row r="926">
      <c r="B926" s="40"/>
      <c r="E926" s="41"/>
      <c r="F926" s="42"/>
      <c r="G926" s="43"/>
      <c r="H926" s="41"/>
    </row>
    <row r="927">
      <c r="B927" s="40"/>
      <c r="E927" s="41"/>
      <c r="F927" s="42"/>
      <c r="G927" s="43"/>
      <c r="H927" s="41"/>
    </row>
    <row r="928">
      <c r="B928" s="40"/>
      <c r="E928" s="41"/>
      <c r="F928" s="42"/>
      <c r="G928" s="43"/>
      <c r="H928" s="41"/>
    </row>
    <row r="929">
      <c r="B929" s="40"/>
      <c r="E929" s="41"/>
      <c r="F929" s="42"/>
      <c r="G929" s="43"/>
      <c r="H929" s="41"/>
    </row>
    <row r="930">
      <c r="B930" s="40"/>
      <c r="E930" s="41"/>
      <c r="F930" s="42"/>
      <c r="G930" s="43"/>
      <c r="H930" s="41"/>
    </row>
    <row r="931">
      <c r="B931" s="40"/>
      <c r="E931" s="41"/>
      <c r="F931" s="42"/>
      <c r="G931" s="43"/>
      <c r="H931" s="41"/>
    </row>
    <row r="932">
      <c r="B932" s="40"/>
      <c r="E932" s="41"/>
      <c r="F932" s="42"/>
      <c r="G932" s="43"/>
      <c r="H932" s="41"/>
    </row>
    <row r="933">
      <c r="B933" s="40"/>
      <c r="E933" s="41"/>
      <c r="F933" s="42"/>
      <c r="G933" s="43"/>
      <c r="H933" s="41"/>
    </row>
    <row r="934">
      <c r="B934" s="40"/>
      <c r="E934" s="41"/>
      <c r="F934" s="42"/>
      <c r="G934" s="43"/>
      <c r="H934" s="41"/>
    </row>
    <row r="935">
      <c r="B935" s="40"/>
      <c r="E935" s="41"/>
      <c r="F935" s="42"/>
      <c r="G935" s="43"/>
      <c r="H935" s="41"/>
    </row>
    <row r="936">
      <c r="B936" s="40"/>
      <c r="E936" s="41"/>
      <c r="F936" s="42"/>
      <c r="G936" s="43"/>
      <c r="H936" s="41"/>
    </row>
    <row r="937">
      <c r="B937" s="40"/>
      <c r="E937" s="41"/>
      <c r="F937" s="42"/>
      <c r="G937" s="43"/>
      <c r="H937" s="41"/>
    </row>
    <row r="938">
      <c r="B938" s="40"/>
      <c r="E938" s="41"/>
      <c r="F938" s="42"/>
      <c r="G938" s="43"/>
      <c r="H938" s="41"/>
    </row>
    <row r="939">
      <c r="B939" s="40"/>
      <c r="E939" s="41"/>
      <c r="F939" s="42"/>
      <c r="G939" s="43"/>
      <c r="H939" s="41"/>
    </row>
    <row r="940">
      <c r="B940" s="40"/>
      <c r="E940" s="41"/>
      <c r="F940" s="42"/>
      <c r="G940" s="43"/>
      <c r="H940" s="41"/>
    </row>
    <row r="941">
      <c r="B941" s="40"/>
      <c r="E941" s="41"/>
      <c r="F941" s="42"/>
      <c r="G941" s="43"/>
      <c r="H941" s="41"/>
    </row>
    <row r="942">
      <c r="B942" s="40"/>
      <c r="E942" s="41"/>
      <c r="F942" s="42"/>
      <c r="G942" s="43"/>
      <c r="H942" s="41"/>
    </row>
    <row r="943">
      <c r="B943" s="40"/>
      <c r="E943" s="41"/>
      <c r="F943" s="42"/>
      <c r="G943" s="43"/>
      <c r="H943" s="41"/>
    </row>
    <row r="944">
      <c r="B944" s="40"/>
      <c r="E944" s="41"/>
      <c r="F944" s="42"/>
      <c r="G944" s="43"/>
      <c r="H944" s="41"/>
    </row>
    <row r="945">
      <c r="B945" s="40"/>
      <c r="E945" s="41"/>
      <c r="F945" s="42"/>
      <c r="G945" s="43"/>
      <c r="H945" s="41"/>
    </row>
    <row r="946">
      <c r="B946" s="40"/>
      <c r="E946" s="41"/>
      <c r="F946" s="42"/>
      <c r="G946" s="43"/>
      <c r="H946" s="41"/>
    </row>
    <row r="947">
      <c r="B947" s="40"/>
      <c r="E947" s="41"/>
      <c r="F947" s="42"/>
      <c r="G947" s="43"/>
      <c r="H947" s="41"/>
    </row>
    <row r="948">
      <c r="B948" s="40"/>
      <c r="E948" s="41"/>
      <c r="F948" s="42"/>
      <c r="G948" s="43"/>
      <c r="H948" s="41"/>
    </row>
    <row r="949">
      <c r="B949" s="40"/>
      <c r="E949" s="41"/>
      <c r="F949" s="42"/>
      <c r="G949" s="43"/>
      <c r="H949" s="41"/>
    </row>
    <row r="950">
      <c r="B950" s="40"/>
      <c r="E950" s="41"/>
      <c r="F950" s="42"/>
      <c r="G950" s="43"/>
      <c r="H950" s="41"/>
    </row>
    <row r="951">
      <c r="B951" s="40"/>
      <c r="E951" s="41"/>
      <c r="F951" s="42"/>
      <c r="G951" s="43"/>
      <c r="H951" s="41"/>
    </row>
    <row r="952">
      <c r="B952" s="40"/>
      <c r="E952" s="41"/>
      <c r="F952" s="42"/>
      <c r="G952" s="43"/>
      <c r="H952" s="41"/>
    </row>
    <row r="953">
      <c r="B953" s="40"/>
      <c r="E953" s="41"/>
      <c r="F953" s="42"/>
      <c r="G953" s="43"/>
      <c r="H953" s="41"/>
    </row>
    <row r="954">
      <c r="B954" s="40"/>
      <c r="E954" s="41"/>
      <c r="F954" s="42"/>
      <c r="G954" s="43"/>
      <c r="H954" s="41"/>
    </row>
    <row r="955">
      <c r="B955" s="40"/>
      <c r="E955" s="41"/>
      <c r="F955" s="42"/>
      <c r="G955" s="43"/>
      <c r="H955" s="41"/>
    </row>
    <row r="956">
      <c r="B956" s="40"/>
      <c r="E956" s="41"/>
      <c r="F956" s="42"/>
      <c r="G956" s="43"/>
      <c r="H956" s="41"/>
    </row>
    <row r="957">
      <c r="B957" s="40"/>
      <c r="E957" s="41"/>
      <c r="F957" s="42"/>
      <c r="G957" s="43"/>
      <c r="H957" s="41"/>
    </row>
    <row r="958">
      <c r="B958" s="40"/>
      <c r="E958" s="41"/>
      <c r="F958" s="42"/>
      <c r="G958" s="43"/>
      <c r="H958" s="41"/>
    </row>
    <row r="959">
      <c r="B959" s="40"/>
      <c r="E959" s="41"/>
      <c r="F959" s="42"/>
      <c r="G959" s="43"/>
      <c r="H959" s="41"/>
    </row>
    <row r="960">
      <c r="B960" s="40"/>
      <c r="E960" s="41"/>
      <c r="F960" s="42"/>
      <c r="G960" s="43"/>
      <c r="H960" s="41"/>
    </row>
    <row r="961">
      <c r="B961" s="40"/>
      <c r="E961" s="41"/>
      <c r="F961" s="42"/>
      <c r="G961" s="43"/>
      <c r="H961" s="41"/>
    </row>
    <row r="962">
      <c r="B962" s="40"/>
      <c r="E962" s="41"/>
      <c r="F962" s="42"/>
      <c r="G962" s="43"/>
      <c r="H962" s="41"/>
    </row>
    <row r="963">
      <c r="B963" s="40"/>
      <c r="E963" s="41"/>
      <c r="F963" s="42"/>
      <c r="G963" s="43"/>
      <c r="H963" s="41"/>
    </row>
    <row r="964">
      <c r="B964" s="40"/>
      <c r="E964" s="41"/>
      <c r="F964" s="42"/>
      <c r="G964" s="43"/>
      <c r="H964" s="41"/>
    </row>
    <row r="965">
      <c r="B965" s="40"/>
      <c r="E965" s="41"/>
      <c r="F965" s="42"/>
      <c r="G965" s="43"/>
      <c r="H965" s="41"/>
    </row>
    <row r="966">
      <c r="B966" s="40"/>
      <c r="E966" s="41"/>
      <c r="F966" s="42"/>
      <c r="G966" s="43"/>
      <c r="H966" s="41"/>
    </row>
    <row r="967">
      <c r="B967" s="40"/>
      <c r="E967" s="41"/>
      <c r="F967" s="42"/>
      <c r="G967" s="43"/>
      <c r="H967" s="41"/>
    </row>
    <row r="968">
      <c r="B968" s="40"/>
      <c r="E968" s="41"/>
      <c r="F968" s="42"/>
      <c r="G968" s="43"/>
      <c r="H968" s="41"/>
    </row>
    <row r="969">
      <c r="B969" s="40"/>
      <c r="E969" s="41"/>
      <c r="F969" s="42"/>
      <c r="G969" s="43"/>
      <c r="H969" s="41"/>
    </row>
    <row r="970">
      <c r="B970" s="40"/>
      <c r="E970" s="41"/>
      <c r="F970" s="42"/>
      <c r="G970" s="43"/>
      <c r="H970" s="41"/>
    </row>
    <row r="971">
      <c r="B971" s="40"/>
      <c r="E971" s="41"/>
      <c r="F971" s="42"/>
      <c r="G971" s="43"/>
      <c r="H971" s="41"/>
    </row>
    <row r="972">
      <c r="B972" s="40"/>
      <c r="E972" s="41"/>
      <c r="F972" s="42"/>
      <c r="G972" s="43"/>
      <c r="H972" s="41"/>
    </row>
    <row r="973">
      <c r="B973" s="40"/>
      <c r="E973" s="41"/>
      <c r="F973" s="42"/>
      <c r="G973" s="43"/>
      <c r="H973" s="41"/>
    </row>
    <row r="974">
      <c r="B974" s="40"/>
      <c r="E974" s="41"/>
      <c r="F974" s="42"/>
      <c r="G974" s="43"/>
      <c r="H974" s="41"/>
    </row>
    <row r="975">
      <c r="B975" s="40"/>
      <c r="E975" s="41"/>
      <c r="F975" s="42"/>
      <c r="G975" s="43"/>
      <c r="H975" s="41"/>
    </row>
    <row r="976">
      <c r="B976" s="40"/>
      <c r="E976" s="41"/>
      <c r="F976" s="42"/>
      <c r="G976" s="43"/>
      <c r="H976" s="41"/>
    </row>
    <row r="977">
      <c r="B977" s="40"/>
      <c r="E977" s="41"/>
      <c r="F977" s="42"/>
      <c r="G977" s="43"/>
      <c r="H977" s="41"/>
    </row>
    <row r="978">
      <c r="B978" s="40"/>
      <c r="E978" s="41"/>
      <c r="F978" s="42"/>
      <c r="G978" s="43"/>
      <c r="H978" s="41"/>
    </row>
    <row r="979">
      <c r="B979" s="40"/>
      <c r="E979" s="41"/>
      <c r="F979" s="42"/>
      <c r="G979" s="43"/>
      <c r="H979" s="41"/>
    </row>
    <row r="980">
      <c r="B980" s="40"/>
      <c r="E980" s="41"/>
      <c r="F980" s="42"/>
      <c r="G980" s="43"/>
      <c r="H980" s="41"/>
    </row>
    <row r="981">
      <c r="B981" s="40"/>
      <c r="E981" s="41"/>
      <c r="F981" s="42"/>
      <c r="G981" s="43"/>
      <c r="H981" s="41"/>
    </row>
    <row r="982">
      <c r="B982" s="40"/>
      <c r="E982" s="41"/>
      <c r="F982" s="42"/>
      <c r="G982" s="43"/>
      <c r="H982" s="41"/>
    </row>
    <row r="983">
      <c r="B983" s="40"/>
      <c r="E983" s="41"/>
      <c r="F983" s="42"/>
      <c r="G983" s="43"/>
      <c r="H983" s="41"/>
    </row>
    <row r="984">
      <c r="B984" s="40"/>
      <c r="E984" s="41"/>
      <c r="F984" s="42"/>
      <c r="G984" s="43"/>
      <c r="H984" s="41"/>
    </row>
    <row r="985">
      <c r="B985" s="40"/>
      <c r="E985" s="41"/>
      <c r="F985" s="42"/>
      <c r="G985" s="43"/>
      <c r="H985" s="41"/>
    </row>
    <row r="986">
      <c r="B986" s="40"/>
      <c r="E986" s="41"/>
      <c r="F986" s="42"/>
      <c r="G986" s="43"/>
      <c r="H986" s="41"/>
    </row>
    <row r="987">
      <c r="B987" s="40"/>
      <c r="E987" s="41"/>
      <c r="F987" s="42"/>
      <c r="G987" s="43"/>
      <c r="H987" s="41"/>
    </row>
    <row r="988">
      <c r="B988" s="40"/>
      <c r="E988" s="41"/>
      <c r="F988" s="42"/>
      <c r="G988" s="43"/>
      <c r="H988" s="41"/>
    </row>
    <row r="989">
      <c r="B989" s="40"/>
      <c r="E989" s="41"/>
      <c r="F989" s="42"/>
      <c r="G989" s="43"/>
      <c r="H989" s="41"/>
    </row>
    <row r="990">
      <c r="B990" s="40"/>
      <c r="E990" s="41"/>
      <c r="F990" s="42"/>
      <c r="G990" s="43"/>
      <c r="H990" s="41"/>
    </row>
    <row r="991">
      <c r="B991" s="40"/>
      <c r="E991" s="41"/>
      <c r="F991" s="42"/>
      <c r="G991" s="43"/>
      <c r="H991" s="41"/>
    </row>
    <row r="992">
      <c r="B992" s="40"/>
      <c r="E992" s="41"/>
      <c r="F992" s="42"/>
      <c r="G992" s="43"/>
      <c r="H992" s="41"/>
    </row>
    <row r="993">
      <c r="B993" s="40"/>
      <c r="E993" s="41"/>
      <c r="F993" s="42"/>
      <c r="G993" s="43"/>
      <c r="H993" s="41"/>
    </row>
    <row r="994">
      <c r="B994" s="40"/>
      <c r="E994" s="41"/>
      <c r="F994" s="42"/>
      <c r="G994" s="43"/>
      <c r="H994" s="41"/>
    </row>
    <row r="995">
      <c r="B995" s="40"/>
      <c r="E995" s="41"/>
      <c r="F995" s="42"/>
      <c r="G995" s="43"/>
      <c r="H995" s="41"/>
    </row>
    <row r="996">
      <c r="B996" s="40"/>
      <c r="E996" s="41"/>
      <c r="F996" s="42"/>
      <c r="G996" s="43"/>
      <c r="H996" s="41"/>
    </row>
    <row r="997">
      <c r="B997" s="40"/>
      <c r="E997" s="41"/>
      <c r="F997" s="42"/>
      <c r="G997" s="43"/>
      <c r="H997" s="41"/>
    </row>
    <row r="998">
      <c r="B998" s="40"/>
      <c r="E998" s="41"/>
      <c r="F998" s="42"/>
      <c r="G998" s="43"/>
      <c r="H998" s="41"/>
    </row>
    <row r="999">
      <c r="B999" s="40"/>
      <c r="E999" s="41"/>
      <c r="F999" s="42"/>
      <c r="G999" s="43"/>
      <c r="H999" s="41"/>
    </row>
    <row r="1000">
      <c r="B1000" s="40"/>
      <c r="E1000" s="41"/>
      <c r="F1000" s="42"/>
      <c r="G1000" s="43"/>
      <c r="H1000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1" t="s">
        <v>8</v>
      </c>
    </row>
    <row r="2">
      <c r="A2" s="9">
        <v>45982.0</v>
      </c>
      <c r="B2" s="2"/>
      <c r="C2" s="1"/>
      <c r="D2" s="14"/>
      <c r="E2" s="11">
        <f t="shared" ref="E2:E61" si="1">IF(ISBLANK(A2), "",B2*C2)</f>
        <v>0</v>
      </c>
      <c r="F2" s="10" t="str">
        <f t="shared" ref="F2:F56" si="2">IF(D2=0, "", (E2-D2))</f>
        <v/>
      </c>
      <c r="G2" s="5"/>
      <c r="H2" s="5">
        <v>340121.0</v>
      </c>
      <c r="I2" s="8"/>
      <c r="J2" s="27"/>
      <c r="K2" s="27"/>
      <c r="L2" s="27"/>
      <c r="M2" s="27"/>
      <c r="N2" s="27"/>
      <c r="O2" s="27"/>
      <c r="P2" s="27"/>
    </row>
    <row r="3">
      <c r="A3" s="9">
        <v>45991.0</v>
      </c>
      <c r="B3" s="2"/>
      <c r="C3" s="1"/>
      <c r="D3" s="14"/>
      <c r="E3" s="11">
        <f t="shared" si="1"/>
        <v>0</v>
      </c>
      <c r="F3" s="10" t="str">
        <f t="shared" si="2"/>
        <v/>
      </c>
      <c r="G3" s="5">
        <v>250000.0</v>
      </c>
      <c r="H3" s="11">
        <f t="shared" ref="H3:H61" si="3">IF(ISBLANK(A3), "", H2 + E3 - G3)</f>
        <v>90121</v>
      </c>
      <c r="I3" s="8"/>
      <c r="J3" s="27"/>
      <c r="K3" s="27"/>
      <c r="L3" s="27"/>
      <c r="M3" s="27"/>
      <c r="N3" s="27"/>
      <c r="O3" s="27"/>
      <c r="P3" s="27"/>
    </row>
    <row r="4">
      <c r="A4" s="9">
        <v>45992.0</v>
      </c>
      <c r="B4" s="2">
        <v>10999.0</v>
      </c>
      <c r="C4" s="1">
        <v>4.55</v>
      </c>
      <c r="D4" s="14"/>
      <c r="E4" s="11">
        <f t="shared" si="1"/>
        <v>50045.45</v>
      </c>
      <c r="F4" s="10" t="str">
        <f t="shared" si="2"/>
        <v/>
      </c>
      <c r="G4" s="5"/>
      <c r="H4" s="11">
        <f t="shared" si="3"/>
        <v>140166.45</v>
      </c>
      <c r="I4" s="8"/>
      <c r="J4" s="27"/>
      <c r="K4" s="27"/>
      <c r="L4" s="27"/>
      <c r="M4" s="27"/>
      <c r="N4" s="27"/>
      <c r="O4" s="27"/>
      <c r="P4" s="27"/>
    </row>
    <row r="5">
      <c r="A5" s="9">
        <v>45995.0</v>
      </c>
      <c r="B5" s="2">
        <v>5300.0</v>
      </c>
      <c r="C5" s="1">
        <v>4.55</v>
      </c>
      <c r="D5" s="14"/>
      <c r="E5" s="11">
        <f t="shared" si="1"/>
        <v>24115</v>
      </c>
      <c r="F5" s="10" t="str">
        <f t="shared" si="2"/>
        <v/>
      </c>
      <c r="G5" s="11"/>
      <c r="H5" s="11">
        <f t="shared" si="3"/>
        <v>164281.45</v>
      </c>
      <c r="I5" s="8"/>
      <c r="J5" s="27"/>
      <c r="K5" s="27"/>
      <c r="L5" s="27"/>
      <c r="M5" s="27"/>
      <c r="N5" s="27"/>
      <c r="O5" s="27"/>
      <c r="P5" s="27"/>
    </row>
    <row r="6">
      <c r="A6" s="9">
        <v>45996.0</v>
      </c>
      <c r="B6" s="13"/>
      <c r="C6" s="8"/>
      <c r="D6" s="1"/>
      <c r="E6" s="11">
        <f t="shared" si="1"/>
        <v>0</v>
      </c>
      <c r="F6" s="10" t="str">
        <f t="shared" si="2"/>
        <v/>
      </c>
      <c r="G6" s="5">
        <v>80000.0</v>
      </c>
      <c r="H6" s="11">
        <f t="shared" si="3"/>
        <v>84281.45</v>
      </c>
      <c r="I6" s="1" t="s">
        <v>15</v>
      </c>
      <c r="J6" s="27"/>
      <c r="K6" s="27"/>
      <c r="L6" s="27"/>
      <c r="M6" s="27"/>
      <c r="N6" s="27"/>
      <c r="O6" s="27"/>
      <c r="P6" s="27"/>
    </row>
    <row r="7">
      <c r="A7" s="9">
        <v>46002.0</v>
      </c>
      <c r="B7" s="2">
        <v>18000.0</v>
      </c>
      <c r="C7" s="1">
        <v>4.53</v>
      </c>
      <c r="D7" s="14"/>
      <c r="E7" s="11">
        <f t="shared" si="1"/>
        <v>81540</v>
      </c>
      <c r="F7" s="10" t="str">
        <f t="shared" si="2"/>
        <v/>
      </c>
      <c r="G7" s="11"/>
      <c r="H7" s="11">
        <f t="shared" si="3"/>
        <v>165821.45</v>
      </c>
      <c r="I7" s="8"/>
      <c r="J7" s="27"/>
      <c r="K7" s="27"/>
      <c r="L7" s="27"/>
      <c r="M7" s="27"/>
      <c r="N7" s="27"/>
      <c r="O7" s="27"/>
      <c r="P7" s="27"/>
    </row>
    <row r="8">
      <c r="A8" s="9">
        <v>46003.0</v>
      </c>
      <c r="B8" s="2">
        <v>5500.0</v>
      </c>
      <c r="C8" s="1">
        <v>4.55</v>
      </c>
      <c r="D8" s="1"/>
      <c r="E8" s="11">
        <f t="shared" si="1"/>
        <v>25025</v>
      </c>
      <c r="F8" s="10" t="str">
        <f t="shared" si="2"/>
        <v/>
      </c>
      <c r="G8" s="5"/>
      <c r="H8" s="11">
        <f t="shared" si="3"/>
        <v>190846.45</v>
      </c>
      <c r="I8" s="5"/>
      <c r="J8" s="29"/>
      <c r="K8" s="27"/>
      <c r="L8" s="27"/>
      <c r="M8" s="27"/>
      <c r="N8" s="27"/>
      <c r="O8" s="27"/>
      <c r="P8" s="27"/>
    </row>
    <row r="9">
      <c r="A9" s="9">
        <v>46004.0</v>
      </c>
      <c r="B9" s="2">
        <v>7900.0</v>
      </c>
      <c r="C9" s="1">
        <v>4.55</v>
      </c>
      <c r="D9" s="14"/>
      <c r="E9" s="11">
        <f t="shared" si="1"/>
        <v>35945</v>
      </c>
      <c r="F9" s="10" t="str">
        <f t="shared" si="2"/>
        <v/>
      </c>
      <c r="G9" s="11"/>
      <c r="H9" s="11">
        <f t="shared" si="3"/>
        <v>226791.45</v>
      </c>
      <c r="I9" s="8"/>
      <c r="J9" s="27"/>
      <c r="K9" s="27"/>
      <c r="L9" s="27"/>
      <c r="M9" s="27"/>
      <c r="N9" s="27"/>
      <c r="O9" s="27"/>
      <c r="P9" s="27"/>
    </row>
    <row r="10">
      <c r="A10" s="9">
        <v>46004.0</v>
      </c>
      <c r="B10" s="2">
        <v>4800.0</v>
      </c>
      <c r="C10" s="1">
        <v>4.55</v>
      </c>
      <c r="D10" s="14"/>
      <c r="E10" s="11">
        <f t="shared" si="1"/>
        <v>21840</v>
      </c>
      <c r="F10" s="10" t="str">
        <f t="shared" si="2"/>
        <v/>
      </c>
      <c r="G10" s="11"/>
      <c r="H10" s="11">
        <f t="shared" si="3"/>
        <v>248631.45</v>
      </c>
      <c r="I10" s="8"/>
      <c r="J10" s="27"/>
      <c r="K10" s="27"/>
      <c r="L10" s="27"/>
      <c r="M10" s="27"/>
      <c r="N10" s="27"/>
      <c r="O10" s="27"/>
      <c r="P10" s="27"/>
    </row>
    <row r="11">
      <c r="A11" s="9">
        <v>46006.0</v>
      </c>
      <c r="B11" s="2">
        <v>800.0</v>
      </c>
      <c r="C11" s="1">
        <v>4.55</v>
      </c>
      <c r="D11" s="14"/>
      <c r="E11" s="11">
        <f t="shared" si="1"/>
        <v>3640</v>
      </c>
      <c r="F11" s="10" t="str">
        <f t="shared" si="2"/>
        <v/>
      </c>
      <c r="G11" s="11"/>
      <c r="H11" s="11">
        <f t="shared" si="3"/>
        <v>252271.45</v>
      </c>
      <c r="I11" s="8"/>
      <c r="J11" s="27"/>
      <c r="K11" s="27"/>
      <c r="L11" s="27"/>
      <c r="M11" s="27"/>
      <c r="N11" s="27"/>
      <c r="O11" s="27"/>
      <c r="P11" s="27"/>
    </row>
    <row r="12">
      <c r="A12" s="9">
        <v>46007.0</v>
      </c>
      <c r="B12" s="2">
        <v>12000.0</v>
      </c>
      <c r="C12" s="1">
        <v>4.6</v>
      </c>
      <c r="D12" s="14"/>
      <c r="E12" s="11">
        <f t="shared" si="1"/>
        <v>55200</v>
      </c>
      <c r="F12" s="10" t="str">
        <f t="shared" si="2"/>
        <v/>
      </c>
      <c r="G12" s="11"/>
      <c r="H12" s="11">
        <f t="shared" si="3"/>
        <v>307471.45</v>
      </c>
      <c r="I12" s="8"/>
      <c r="J12" s="27"/>
      <c r="K12" s="27"/>
      <c r="L12" s="27"/>
      <c r="M12" s="27"/>
      <c r="N12" s="27"/>
      <c r="O12" s="27"/>
      <c r="P12" s="27"/>
    </row>
    <row r="13">
      <c r="A13" s="9">
        <v>46007.0</v>
      </c>
      <c r="B13" s="2">
        <v>12409.0</v>
      </c>
      <c r="C13" s="1">
        <v>4.6</v>
      </c>
      <c r="D13" s="14"/>
      <c r="E13" s="11">
        <f t="shared" si="1"/>
        <v>57081.4</v>
      </c>
      <c r="F13" s="10" t="str">
        <f t="shared" si="2"/>
        <v/>
      </c>
      <c r="G13" s="11"/>
      <c r="H13" s="11">
        <f t="shared" si="3"/>
        <v>364552.85</v>
      </c>
      <c r="I13" s="8"/>
      <c r="J13" s="27"/>
      <c r="K13" s="27"/>
      <c r="L13" s="27"/>
      <c r="M13" s="27"/>
      <c r="N13" s="27"/>
      <c r="O13" s="27"/>
      <c r="P13" s="27"/>
    </row>
    <row r="14">
      <c r="A14" s="9">
        <v>46007.0</v>
      </c>
      <c r="B14" s="2">
        <v>2699.0</v>
      </c>
      <c r="C14" s="1">
        <v>4.6</v>
      </c>
      <c r="D14" s="14"/>
      <c r="E14" s="11">
        <f t="shared" si="1"/>
        <v>12415.4</v>
      </c>
      <c r="F14" s="10" t="str">
        <f t="shared" si="2"/>
        <v/>
      </c>
      <c r="G14" s="11"/>
      <c r="H14" s="11">
        <f t="shared" si="3"/>
        <v>376968.25</v>
      </c>
      <c r="I14" s="8"/>
      <c r="J14" s="27"/>
      <c r="K14" s="27"/>
      <c r="L14" s="27"/>
      <c r="M14" s="27"/>
      <c r="N14" s="27"/>
      <c r="O14" s="27"/>
      <c r="P14" s="27"/>
    </row>
    <row r="15">
      <c r="A15" s="9">
        <v>46008.0</v>
      </c>
      <c r="B15" s="2">
        <v>1000.0</v>
      </c>
      <c r="C15" s="1">
        <v>4.6</v>
      </c>
      <c r="D15" s="14"/>
      <c r="E15" s="11">
        <f t="shared" si="1"/>
        <v>4600</v>
      </c>
      <c r="F15" s="10" t="str">
        <f t="shared" si="2"/>
        <v/>
      </c>
      <c r="G15" s="11"/>
      <c r="H15" s="11">
        <f t="shared" si="3"/>
        <v>381568.25</v>
      </c>
      <c r="I15" s="8"/>
      <c r="J15" s="27"/>
      <c r="K15" s="27"/>
      <c r="L15" s="27"/>
      <c r="M15" s="27"/>
      <c r="N15" s="27"/>
      <c r="O15" s="27"/>
      <c r="P15" s="27"/>
    </row>
    <row r="16">
      <c r="A16" s="9">
        <v>46008.0</v>
      </c>
      <c r="B16" s="13"/>
      <c r="C16" s="8"/>
      <c r="D16" s="1"/>
      <c r="E16" s="11">
        <f t="shared" si="1"/>
        <v>0</v>
      </c>
      <c r="F16" s="10" t="str">
        <f t="shared" si="2"/>
        <v/>
      </c>
      <c r="G16" s="5">
        <v>120000.0</v>
      </c>
      <c r="H16" s="11">
        <f t="shared" si="3"/>
        <v>261568.25</v>
      </c>
      <c r="I16" s="1" t="s">
        <v>15</v>
      </c>
      <c r="J16" s="27"/>
      <c r="K16" s="27"/>
      <c r="L16" s="27"/>
      <c r="M16" s="27"/>
      <c r="N16" s="27"/>
      <c r="O16" s="27"/>
      <c r="P16" s="27"/>
    </row>
    <row r="17">
      <c r="A17" s="9">
        <v>46009.0</v>
      </c>
      <c r="B17" s="2">
        <v>11700.0</v>
      </c>
      <c r="C17" s="1">
        <v>4.6</v>
      </c>
      <c r="D17" s="14"/>
      <c r="E17" s="11">
        <f t="shared" si="1"/>
        <v>53820</v>
      </c>
      <c r="F17" s="10" t="str">
        <f t="shared" si="2"/>
        <v/>
      </c>
      <c r="G17" s="11"/>
      <c r="H17" s="11">
        <f t="shared" si="3"/>
        <v>315388.25</v>
      </c>
      <c r="I17" s="8"/>
      <c r="J17" s="27"/>
      <c r="K17" s="27"/>
      <c r="L17" s="27"/>
      <c r="M17" s="27"/>
      <c r="N17" s="27"/>
      <c r="O17" s="27"/>
      <c r="P17" s="27"/>
    </row>
    <row r="18">
      <c r="A18" s="9">
        <v>46010.0</v>
      </c>
      <c r="B18" s="2">
        <v>8099.0</v>
      </c>
      <c r="C18" s="1">
        <v>4.6</v>
      </c>
      <c r="D18" s="14"/>
      <c r="E18" s="11">
        <f t="shared" si="1"/>
        <v>37255.4</v>
      </c>
      <c r="F18" s="10" t="str">
        <f t="shared" si="2"/>
        <v/>
      </c>
      <c r="G18" s="11"/>
      <c r="H18" s="11">
        <f t="shared" si="3"/>
        <v>352643.65</v>
      </c>
      <c r="I18" s="8"/>
      <c r="J18" s="27"/>
      <c r="K18" s="27"/>
      <c r="L18" s="27"/>
      <c r="M18" s="27"/>
      <c r="N18" s="27"/>
      <c r="O18" s="27"/>
      <c r="P18" s="27"/>
    </row>
    <row r="19">
      <c r="A19" s="9">
        <v>46013.0</v>
      </c>
      <c r="B19" s="13"/>
      <c r="C19" s="8"/>
      <c r="D19" s="1"/>
      <c r="E19" s="11">
        <f t="shared" si="1"/>
        <v>0</v>
      </c>
      <c r="F19" s="10" t="str">
        <f t="shared" si="2"/>
        <v/>
      </c>
      <c r="G19" s="5">
        <v>200000.0</v>
      </c>
      <c r="H19" s="11">
        <f t="shared" si="3"/>
        <v>152643.65</v>
      </c>
      <c r="I19" s="1" t="s">
        <v>17</v>
      </c>
      <c r="J19" s="27"/>
      <c r="K19" s="27"/>
      <c r="L19" s="27"/>
      <c r="M19" s="27"/>
      <c r="N19" s="27"/>
      <c r="O19" s="27"/>
      <c r="P19" s="27"/>
    </row>
    <row r="20">
      <c r="A20" s="9">
        <v>46013.0</v>
      </c>
      <c r="B20" s="2">
        <v>9500.0</v>
      </c>
      <c r="C20" s="1">
        <v>4.6</v>
      </c>
      <c r="D20" s="14"/>
      <c r="E20" s="11">
        <f t="shared" si="1"/>
        <v>43700</v>
      </c>
      <c r="F20" s="10" t="str">
        <f t="shared" si="2"/>
        <v/>
      </c>
      <c r="G20" s="11"/>
      <c r="H20" s="11">
        <f t="shared" si="3"/>
        <v>196343.65</v>
      </c>
      <c r="I20" s="8"/>
      <c r="J20" s="27"/>
      <c r="K20" s="27"/>
      <c r="L20" s="27"/>
      <c r="M20" s="27"/>
      <c r="N20" s="27"/>
      <c r="O20" s="27"/>
      <c r="P20" s="27"/>
    </row>
    <row r="21">
      <c r="A21" s="9">
        <v>46013.0</v>
      </c>
      <c r="B21" s="2">
        <v>2000.0</v>
      </c>
      <c r="C21" s="1">
        <v>4.6</v>
      </c>
      <c r="D21" s="14"/>
      <c r="E21" s="11">
        <f t="shared" si="1"/>
        <v>9200</v>
      </c>
      <c r="F21" s="10" t="str">
        <f t="shared" si="2"/>
        <v/>
      </c>
      <c r="G21" s="11"/>
      <c r="H21" s="11">
        <f t="shared" si="3"/>
        <v>205543.65</v>
      </c>
      <c r="I21" s="8"/>
      <c r="J21" s="27"/>
      <c r="K21" s="27"/>
      <c r="L21" s="27"/>
      <c r="M21" s="27"/>
      <c r="N21" s="27"/>
      <c r="O21" s="27"/>
      <c r="P21" s="27"/>
    </row>
    <row r="22">
      <c r="A22" s="9">
        <v>46015.0</v>
      </c>
      <c r="B22" s="2">
        <v>11000.0</v>
      </c>
      <c r="C22" s="1">
        <v>4.6</v>
      </c>
      <c r="D22" s="14"/>
      <c r="E22" s="11">
        <f t="shared" si="1"/>
        <v>50600</v>
      </c>
      <c r="F22" s="10" t="str">
        <f t="shared" si="2"/>
        <v/>
      </c>
      <c r="G22" s="11"/>
      <c r="H22" s="11">
        <f t="shared" si="3"/>
        <v>256143.65</v>
      </c>
      <c r="I22" s="8"/>
      <c r="J22" s="27"/>
      <c r="K22" s="27"/>
      <c r="L22" s="27"/>
      <c r="M22" s="27"/>
      <c r="N22" s="27"/>
      <c r="O22" s="27"/>
      <c r="P22" s="27"/>
    </row>
    <row r="23">
      <c r="A23" s="9">
        <v>46015.0</v>
      </c>
      <c r="B23" s="2">
        <v>6800.0</v>
      </c>
      <c r="C23" s="1">
        <v>4.6</v>
      </c>
      <c r="D23" s="14"/>
      <c r="E23" s="11">
        <f t="shared" si="1"/>
        <v>31280</v>
      </c>
      <c r="F23" s="10" t="str">
        <f t="shared" si="2"/>
        <v/>
      </c>
      <c r="G23" s="11"/>
      <c r="H23" s="11">
        <f t="shared" si="3"/>
        <v>287423.65</v>
      </c>
      <c r="I23" s="8"/>
      <c r="J23" s="27"/>
      <c r="K23" s="27"/>
      <c r="L23" s="27"/>
      <c r="M23" s="27"/>
      <c r="N23" s="27"/>
      <c r="O23" s="27"/>
      <c r="P23" s="27"/>
    </row>
    <row r="24">
      <c r="A24" s="9">
        <v>46015.0</v>
      </c>
      <c r="B24" s="2">
        <v>11800.0</v>
      </c>
      <c r="C24" s="1">
        <v>4.6</v>
      </c>
      <c r="D24" s="14"/>
      <c r="E24" s="11">
        <f t="shared" si="1"/>
        <v>54280</v>
      </c>
      <c r="F24" s="10" t="str">
        <f t="shared" si="2"/>
        <v/>
      </c>
      <c r="G24" s="11"/>
      <c r="H24" s="11">
        <f t="shared" si="3"/>
        <v>341703.65</v>
      </c>
      <c r="I24" s="8"/>
      <c r="J24" s="27"/>
      <c r="K24" s="27"/>
      <c r="L24" s="27"/>
      <c r="M24" s="27"/>
      <c r="N24" s="27"/>
      <c r="O24" s="27"/>
      <c r="P24" s="27"/>
    </row>
    <row r="25">
      <c r="A25" s="9">
        <v>46015.0</v>
      </c>
      <c r="B25" s="2">
        <v>10800.0</v>
      </c>
      <c r="C25" s="1">
        <v>4.6</v>
      </c>
      <c r="D25" s="14"/>
      <c r="E25" s="11">
        <f t="shared" si="1"/>
        <v>49680</v>
      </c>
      <c r="F25" s="10" t="str">
        <f t="shared" si="2"/>
        <v/>
      </c>
      <c r="G25" s="11"/>
      <c r="H25" s="11">
        <f t="shared" si="3"/>
        <v>391383.65</v>
      </c>
      <c r="I25" s="8"/>
      <c r="J25" s="27"/>
      <c r="K25" s="27"/>
      <c r="L25" s="27"/>
      <c r="M25" s="27"/>
      <c r="N25" s="27"/>
      <c r="O25" s="27"/>
      <c r="P25" s="27"/>
    </row>
    <row r="26">
      <c r="A26" s="9">
        <v>46017.0</v>
      </c>
      <c r="B26" s="2"/>
      <c r="C26" s="8"/>
      <c r="D26" s="1"/>
      <c r="E26" s="11">
        <f t="shared" si="1"/>
        <v>0</v>
      </c>
      <c r="F26" s="10" t="str">
        <f t="shared" si="2"/>
        <v/>
      </c>
      <c r="G26" s="5">
        <v>25000.0</v>
      </c>
      <c r="H26" s="11">
        <f t="shared" si="3"/>
        <v>366383.65</v>
      </c>
      <c r="I26" s="1" t="s">
        <v>22</v>
      </c>
      <c r="J26" s="27"/>
      <c r="K26" s="27"/>
      <c r="L26" s="27"/>
      <c r="M26" s="27"/>
      <c r="N26" s="27"/>
      <c r="O26" s="27"/>
      <c r="P26" s="27"/>
    </row>
    <row r="27">
      <c r="A27" s="9">
        <v>46017.0</v>
      </c>
      <c r="B27" s="13"/>
      <c r="C27" s="8"/>
      <c r="D27" s="1"/>
      <c r="E27" s="11">
        <f t="shared" si="1"/>
        <v>0</v>
      </c>
      <c r="F27" s="10" t="str">
        <f t="shared" si="2"/>
        <v/>
      </c>
      <c r="G27" s="5">
        <v>22554.0</v>
      </c>
      <c r="H27" s="11">
        <f t="shared" si="3"/>
        <v>343829.65</v>
      </c>
      <c r="I27" s="1" t="s">
        <v>22</v>
      </c>
      <c r="J27" s="27"/>
      <c r="K27" s="27"/>
      <c r="L27" s="27"/>
      <c r="M27" s="27"/>
      <c r="N27" s="27"/>
      <c r="O27" s="27"/>
      <c r="P27" s="27"/>
    </row>
    <row r="28">
      <c r="A28" s="9">
        <v>46017.0</v>
      </c>
      <c r="B28" s="13"/>
      <c r="C28" s="8"/>
      <c r="D28" s="1"/>
      <c r="E28" s="11">
        <f t="shared" si="1"/>
        <v>0</v>
      </c>
      <c r="F28" s="10" t="str">
        <f t="shared" si="2"/>
        <v/>
      </c>
      <c r="G28" s="5">
        <v>14600.0</v>
      </c>
      <c r="H28" s="11">
        <f t="shared" si="3"/>
        <v>329229.65</v>
      </c>
      <c r="I28" s="1" t="s">
        <v>22</v>
      </c>
      <c r="J28" s="27"/>
      <c r="K28" s="27"/>
      <c r="L28" s="27"/>
      <c r="M28" s="27"/>
      <c r="N28" s="27"/>
      <c r="O28" s="27"/>
      <c r="P28" s="27"/>
    </row>
    <row r="29">
      <c r="A29" s="9">
        <v>46019.0</v>
      </c>
      <c r="B29" s="13"/>
      <c r="C29" s="8"/>
      <c r="D29" s="1"/>
      <c r="E29" s="11">
        <f t="shared" si="1"/>
        <v>0</v>
      </c>
      <c r="F29" s="10" t="str">
        <f t="shared" si="2"/>
        <v/>
      </c>
      <c r="G29" s="5">
        <v>196000.0</v>
      </c>
      <c r="H29" s="11">
        <f t="shared" si="3"/>
        <v>133229.65</v>
      </c>
      <c r="I29" s="1" t="s">
        <v>17</v>
      </c>
      <c r="J29" s="27"/>
      <c r="K29" s="27"/>
      <c r="L29" s="27"/>
      <c r="M29" s="27"/>
      <c r="N29" s="27"/>
      <c r="O29" s="27"/>
      <c r="P29" s="27"/>
    </row>
    <row r="30">
      <c r="A30" s="9">
        <v>46020.0</v>
      </c>
      <c r="B30" s="2">
        <v>3680.0</v>
      </c>
      <c r="C30" s="1">
        <v>4.61</v>
      </c>
      <c r="D30" s="14"/>
      <c r="E30" s="11">
        <f t="shared" si="1"/>
        <v>16964.8</v>
      </c>
      <c r="F30" s="10" t="str">
        <f t="shared" si="2"/>
        <v/>
      </c>
      <c r="G30" s="11"/>
      <c r="H30" s="11">
        <f t="shared" si="3"/>
        <v>150194.45</v>
      </c>
      <c r="I30" s="8"/>
      <c r="J30" s="27"/>
      <c r="K30" s="27"/>
      <c r="L30" s="27"/>
      <c r="M30" s="27"/>
      <c r="N30" s="27"/>
      <c r="O30" s="27"/>
      <c r="P30" s="27"/>
    </row>
    <row r="31">
      <c r="A31" s="9">
        <v>46025.0</v>
      </c>
      <c r="B31" s="2">
        <v>4599.0</v>
      </c>
      <c r="C31" s="1">
        <v>4.63</v>
      </c>
      <c r="D31" s="14"/>
      <c r="E31" s="11">
        <f t="shared" si="1"/>
        <v>21293.37</v>
      </c>
      <c r="F31" s="10" t="str">
        <f t="shared" si="2"/>
        <v/>
      </c>
      <c r="G31" s="11"/>
      <c r="H31" s="11">
        <f t="shared" si="3"/>
        <v>171487.82</v>
      </c>
      <c r="I31" s="8"/>
      <c r="J31" s="27"/>
      <c r="K31" s="27"/>
      <c r="L31" s="27"/>
      <c r="M31" s="27"/>
      <c r="N31" s="27"/>
      <c r="O31" s="27"/>
      <c r="P31" s="27"/>
    </row>
    <row r="32">
      <c r="A32" s="9">
        <v>46029.0</v>
      </c>
      <c r="B32" s="2">
        <v>19999.0</v>
      </c>
      <c r="C32" s="1">
        <v>4.65</v>
      </c>
      <c r="D32" s="14"/>
      <c r="E32" s="11">
        <f t="shared" si="1"/>
        <v>92995.35</v>
      </c>
      <c r="F32" s="10" t="str">
        <f t="shared" si="2"/>
        <v/>
      </c>
      <c r="G32" s="11"/>
      <c r="H32" s="11">
        <f t="shared" si="3"/>
        <v>264483.17</v>
      </c>
      <c r="I32" s="8"/>
      <c r="J32" s="27"/>
      <c r="K32" s="27"/>
      <c r="L32" s="27"/>
      <c r="M32" s="27"/>
      <c r="N32" s="27"/>
      <c r="O32" s="27"/>
      <c r="P32" s="27"/>
    </row>
    <row r="33">
      <c r="A33" s="9">
        <v>46029.0</v>
      </c>
      <c r="B33" s="2">
        <v>3280.0</v>
      </c>
      <c r="C33" s="1">
        <v>4.65</v>
      </c>
      <c r="D33" s="14"/>
      <c r="E33" s="11">
        <f t="shared" si="1"/>
        <v>15252</v>
      </c>
      <c r="F33" s="10" t="str">
        <f t="shared" si="2"/>
        <v/>
      </c>
      <c r="G33" s="11"/>
      <c r="H33" s="11">
        <f t="shared" si="3"/>
        <v>279735.17</v>
      </c>
      <c r="I33" s="8"/>
      <c r="J33" s="27"/>
      <c r="K33" s="27"/>
      <c r="L33" s="27"/>
      <c r="M33" s="27"/>
      <c r="N33" s="27"/>
      <c r="O33" s="27"/>
      <c r="P33" s="27"/>
    </row>
    <row r="34">
      <c r="A34" s="9">
        <v>46030.0</v>
      </c>
      <c r="B34" s="2">
        <v>3223.0</v>
      </c>
      <c r="C34" s="1">
        <v>4.67</v>
      </c>
      <c r="D34" s="14"/>
      <c r="E34" s="11">
        <f t="shared" si="1"/>
        <v>15051.41</v>
      </c>
      <c r="F34" s="10" t="str">
        <f t="shared" si="2"/>
        <v/>
      </c>
      <c r="G34" s="11"/>
      <c r="H34" s="11">
        <f t="shared" si="3"/>
        <v>294786.58</v>
      </c>
      <c r="I34" s="8"/>
      <c r="J34" s="27"/>
      <c r="K34" s="27"/>
      <c r="L34" s="27"/>
      <c r="M34" s="27"/>
      <c r="N34" s="27"/>
      <c r="O34" s="27"/>
      <c r="P34" s="27"/>
    </row>
    <row r="35">
      <c r="A35" s="9">
        <v>46030.0</v>
      </c>
      <c r="B35" s="2">
        <v>3580.0</v>
      </c>
      <c r="C35" s="1">
        <v>4.67</v>
      </c>
      <c r="D35" s="14"/>
      <c r="E35" s="11">
        <f t="shared" si="1"/>
        <v>16718.6</v>
      </c>
      <c r="F35" s="10" t="str">
        <f t="shared" si="2"/>
        <v/>
      </c>
      <c r="G35" s="11"/>
      <c r="H35" s="11">
        <f t="shared" si="3"/>
        <v>311505.18</v>
      </c>
      <c r="I35" s="8"/>
      <c r="J35" s="27"/>
      <c r="K35" s="27"/>
      <c r="L35" s="27"/>
      <c r="M35" s="27"/>
      <c r="N35" s="27"/>
      <c r="O35" s="27"/>
      <c r="P35" s="27"/>
    </row>
    <row r="36">
      <c r="A36" s="9">
        <v>46033.0</v>
      </c>
      <c r="B36" s="13"/>
      <c r="C36" s="8"/>
      <c r="D36" s="1"/>
      <c r="E36" s="11">
        <f t="shared" si="1"/>
        <v>0</v>
      </c>
      <c r="F36" s="10" t="str">
        <f t="shared" si="2"/>
        <v/>
      </c>
      <c r="G36" s="5">
        <v>100000.0</v>
      </c>
      <c r="H36" s="11">
        <f t="shared" si="3"/>
        <v>211505.18</v>
      </c>
      <c r="I36" s="1" t="s">
        <v>17</v>
      </c>
      <c r="J36" s="27"/>
      <c r="K36" s="27"/>
      <c r="L36" s="27"/>
      <c r="M36" s="27"/>
      <c r="N36" s="27"/>
      <c r="O36" s="27"/>
      <c r="P36" s="27"/>
    </row>
    <row r="37">
      <c r="A37" s="9">
        <v>46034.0</v>
      </c>
      <c r="B37" s="2">
        <v>6050.0</v>
      </c>
      <c r="C37" s="1">
        <v>4.69</v>
      </c>
      <c r="D37" s="14"/>
      <c r="E37" s="11">
        <f t="shared" si="1"/>
        <v>28374.5</v>
      </c>
      <c r="F37" s="10" t="str">
        <f t="shared" si="2"/>
        <v/>
      </c>
      <c r="G37" s="11"/>
      <c r="H37" s="11">
        <f t="shared" si="3"/>
        <v>239879.68</v>
      </c>
      <c r="I37" s="8"/>
      <c r="J37" s="27"/>
      <c r="K37" s="27"/>
      <c r="L37" s="27"/>
      <c r="M37" s="27"/>
      <c r="N37" s="27"/>
      <c r="O37" s="27"/>
      <c r="P37" s="27"/>
    </row>
    <row r="38">
      <c r="A38" s="9">
        <v>46034.0</v>
      </c>
      <c r="B38" s="2">
        <v>9100.0</v>
      </c>
      <c r="C38" s="1">
        <v>4.69</v>
      </c>
      <c r="D38" s="14"/>
      <c r="E38" s="11">
        <f t="shared" si="1"/>
        <v>42679</v>
      </c>
      <c r="F38" s="10" t="str">
        <f t="shared" si="2"/>
        <v/>
      </c>
      <c r="G38" s="11"/>
      <c r="H38" s="11">
        <f t="shared" si="3"/>
        <v>282558.68</v>
      </c>
      <c r="I38" s="8"/>
      <c r="J38" s="27"/>
      <c r="K38" s="27"/>
      <c r="L38" s="27"/>
      <c r="M38" s="27"/>
      <c r="N38" s="27"/>
      <c r="O38" s="27"/>
      <c r="P38" s="27"/>
    </row>
    <row r="39">
      <c r="A39" s="9">
        <v>46034.0</v>
      </c>
      <c r="B39" s="2">
        <v>4280.0</v>
      </c>
      <c r="C39" s="1">
        <v>4.69</v>
      </c>
      <c r="D39" s="14"/>
      <c r="E39" s="11">
        <f t="shared" si="1"/>
        <v>20073.2</v>
      </c>
      <c r="F39" s="10" t="str">
        <f t="shared" si="2"/>
        <v/>
      </c>
      <c r="G39" s="11"/>
      <c r="H39" s="11">
        <f t="shared" si="3"/>
        <v>302631.88</v>
      </c>
      <c r="I39" s="8"/>
      <c r="J39" s="27"/>
      <c r="K39" s="27"/>
      <c r="L39" s="27"/>
      <c r="M39" s="27"/>
      <c r="N39" s="27"/>
      <c r="O39" s="27"/>
      <c r="P39" s="27"/>
    </row>
    <row r="40">
      <c r="A40" s="9">
        <v>46034.0</v>
      </c>
      <c r="B40" s="13"/>
      <c r="C40" s="8"/>
      <c r="D40" s="1"/>
      <c r="E40" s="11">
        <f t="shared" si="1"/>
        <v>0</v>
      </c>
      <c r="F40" s="10" t="str">
        <f t="shared" si="2"/>
        <v/>
      </c>
      <c r="G40" s="5">
        <v>130000.0</v>
      </c>
      <c r="H40" s="11">
        <f t="shared" si="3"/>
        <v>172631.88</v>
      </c>
      <c r="I40" s="1" t="s">
        <v>25</v>
      </c>
      <c r="J40" s="27"/>
      <c r="K40" s="27"/>
      <c r="L40" s="27"/>
      <c r="M40" s="27"/>
      <c r="N40" s="27"/>
      <c r="O40" s="27"/>
      <c r="P40" s="27"/>
    </row>
    <row r="41">
      <c r="A41" s="9">
        <v>46038.0</v>
      </c>
      <c r="B41" s="2">
        <v>10699.0</v>
      </c>
      <c r="C41" s="1">
        <v>4.69</v>
      </c>
      <c r="D41" s="14"/>
      <c r="E41" s="11">
        <f t="shared" si="1"/>
        <v>50178.31</v>
      </c>
      <c r="F41" s="10" t="str">
        <f t="shared" si="2"/>
        <v/>
      </c>
      <c r="G41" s="11"/>
      <c r="H41" s="11">
        <f t="shared" si="3"/>
        <v>222810.19</v>
      </c>
      <c r="I41" s="8"/>
      <c r="J41" s="27"/>
      <c r="K41" s="27"/>
      <c r="L41" s="27"/>
      <c r="M41" s="27"/>
      <c r="N41" s="27"/>
      <c r="O41" s="27"/>
      <c r="P41" s="27"/>
    </row>
    <row r="42">
      <c r="A42" s="9">
        <v>46038.0</v>
      </c>
      <c r="B42" s="2">
        <v>5600.0</v>
      </c>
      <c r="C42" s="1">
        <v>4.69</v>
      </c>
      <c r="D42" s="14"/>
      <c r="E42" s="11">
        <f t="shared" si="1"/>
        <v>26264</v>
      </c>
      <c r="F42" s="10" t="str">
        <f t="shared" si="2"/>
        <v/>
      </c>
      <c r="G42" s="11"/>
      <c r="H42" s="11">
        <f t="shared" si="3"/>
        <v>249074.19</v>
      </c>
      <c r="I42" s="8"/>
      <c r="J42" s="27"/>
      <c r="K42" s="27"/>
      <c r="L42" s="27"/>
      <c r="M42" s="27"/>
      <c r="N42" s="27"/>
      <c r="O42" s="27"/>
      <c r="P42" s="27"/>
    </row>
    <row r="43">
      <c r="A43" s="9">
        <v>46042.0</v>
      </c>
      <c r="B43" s="2">
        <v>4103.0</v>
      </c>
      <c r="C43" s="1">
        <v>4.67</v>
      </c>
      <c r="D43" s="14"/>
      <c r="E43" s="11">
        <f t="shared" si="1"/>
        <v>19161.01</v>
      </c>
      <c r="F43" s="10" t="str">
        <f t="shared" si="2"/>
        <v/>
      </c>
      <c r="G43" s="11"/>
      <c r="H43" s="11">
        <f t="shared" si="3"/>
        <v>268235.2</v>
      </c>
      <c r="I43" s="8"/>
      <c r="J43" s="27"/>
      <c r="K43" s="27"/>
      <c r="L43" s="27"/>
      <c r="M43" s="27"/>
      <c r="N43" s="27"/>
      <c r="O43" s="27"/>
      <c r="P43" s="27"/>
    </row>
    <row r="44">
      <c r="A44" s="9">
        <v>46044.0</v>
      </c>
      <c r="B44" s="13"/>
      <c r="C44" s="8"/>
      <c r="D44" s="1"/>
      <c r="E44" s="11">
        <f t="shared" si="1"/>
        <v>0</v>
      </c>
      <c r="F44" s="10" t="str">
        <f t="shared" si="2"/>
        <v/>
      </c>
      <c r="G44" s="5">
        <v>120000.0</v>
      </c>
      <c r="H44" s="11">
        <f t="shared" si="3"/>
        <v>148235.2</v>
      </c>
      <c r="I44" s="1" t="s">
        <v>17</v>
      </c>
      <c r="J44" s="27"/>
      <c r="K44" s="27"/>
      <c r="L44" s="27"/>
      <c r="M44" s="27"/>
      <c r="N44" s="27"/>
      <c r="O44" s="27"/>
      <c r="P44" s="27"/>
    </row>
    <row r="45">
      <c r="A45" s="9">
        <v>46045.0</v>
      </c>
      <c r="B45" s="2">
        <v>8999.0</v>
      </c>
      <c r="C45" s="1">
        <v>4.67</v>
      </c>
      <c r="D45" s="14"/>
      <c r="E45" s="11">
        <f t="shared" si="1"/>
        <v>42025.33</v>
      </c>
      <c r="F45" s="10" t="str">
        <f t="shared" si="2"/>
        <v/>
      </c>
      <c r="G45" s="11"/>
      <c r="H45" s="11">
        <f t="shared" si="3"/>
        <v>190260.53</v>
      </c>
      <c r="I45" s="8"/>
      <c r="J45" s="27"/>
      <c r="K45" s="27"/>
      <c r="L45" s="27"/>
      <c r="M45" s="27"/>
      <c r="N45" s="27"/>
      <c r="O45" s="27"/>
      <c r="P45" s="27"/>
    </row>
    <row r="46">
      <c r="A46" s="9">
        <v>46045.0</v>
      </c>
      <c r="B46" s="2">
        <v>5100.0</v>
      </c>
      <c r="C46" s="1">
        <v>4.67</v>
      </c>
      <c r="D46" s="14"/>
      <c r="E46" s="11">
        <f t="shared" si="1"/>
        <v>23817</v>
      </c>
      <c r="F46" s="10" t="str">
        <f t="shared" si="2"/>
        <v/>
      </c>
      <c r="G46" s="11"/>
      <c r="H46" s="11">
        <f t="shared" si="3"/>
        <v>214077.53</v>
      </c>
      <c r="I46" s="8"/>
      <c r="J46" s="27"/>
      <c r="K46" s="27"/>
      <c r="L46" s="27"/>
      <c r="M46" s="27"/>
      <c r="N46" s="27"/>
      <c r="O46" s="27"/>
      <c r="P46" s="27"/>
    </row>
    <row r="47">
      <c r="A47" s="9">
        <v>46048.0</v>
      </c>
      <c r="B47" s="2">
        <v>9880.0</v>
      </c>
      <c r="C47" s="1">
        <v>4.67</v>
      </c>
      <c r="D47" s="14"/>
      <c r="E47" s="11">
        <f t="shared" si="1"/>
        <v>46139.6</v>
      </c>
      <c r="F47" s="10" t="str">
        <f t="shared" si="2"/>
        <v/>
      </c>
      <c r="G47" s="11"/>
      <c r="H47" s="11">
        <f t="shared" si="3"/>
        <v>260217.13</v>
      </c>
      <c r="I47" s="8"/>
      <c r="J47" s="27"/>
      <c r="K47" s="27"/>
      <c r="L47" s="27"/>
      <c r="M47" s="27"/>
      <c r="N47" s="27"/>
      <c r="O47" s="27"/>
      <c r="P47" s="27"/>
    </row>
    <row r="48">
      <c r="A48" s="9">
        <v>46048.0</v>
      </c>
      <c r="B48" s="2">
        <v>13798.0</v>
      </c>
      <c r="C48" s="1">
        <v>4.67</v>
      </c>
      <c r="D48" s="14"/>
      <c r="E48" s="11">
        <f t="shared" si="1"/>
        <v>64436.66</v>
      </c>
      <c r="F48" s="10" t="str">
        <f t="shared" si="2"/>
        <v/>
      </c>
      <c r="G48" s="11"/>
      <c r="H48" s="11">
        <f t="shared" si="3"/>
        <v>324653.79</v>
      </c>
      <c r="I48" s="8"/>
      <c r="J48" s="27"/>
      <c r="K48" s="27"/>
      <c r="L48" s="27"/>
      <c r="M48" s="27"/>
      <c r="N48" s="27"/>
      <c r="O48" s="27"/>
      <c r="P48" s="27"/>
    </row>
    <row r="49">
      <c r="A49" s="9">
        <v>46050.0</v>
      </c>
      <c r="B49" s="2">
        <v>4999.0</v>
      </c>
      <c r="C49" s="1">
        <v>4.67</v>
      </c>
      <c r="D49" s="14"/>
      <c r="E49" s="11">
        <f t="shared" si="1"/>
        <v>23345.33</v>
      </c>
      <c r="F49" s="10" t="str">
        <f t="shared" si="2"/>
        <v/>
      </c>
      <c r="G49" s="11"/>
      <c r="H49" s="11">
        <f t="shared" si="3"/>
        <v>347999.12</v>
      </c>
      <c r="I49" s="8"/>
      <c r="J49" s="27"/>
      <c r="K49" s="27"/>
      <c r="L49" s="27"/>
      <c r="M49" s="27"/>
      <c r="N49" s="27"/>
      <c r="O49" s="27"/>
      <c r="P49" s="27"/>
    </row>
    <row r="50">
      <c r="A50" s="9">
        <v>46050.0</v>
      </c>
      <c r="B50" s="2">
        <v>2900.0</v>
      </c>
      <c r="C50" s="1">
        <v>4.67</v>
      </c>
      <c r="D50" s="14"/>
      <c r="E50" s="11">
        <f t="shared" si="1"/>
        <v>13543</v>
      </c>
      <c r="F50" s="10" t="str">
        <f t="shared" si="2"/>
        <v/>
      </c>
      <c r="G50" s="11"/>
      <c r="H50" s="11">
        <f t="shared" si="3"/>
        <v>361542.12</v>
      </c>
      <c r="I50" s="8"/>
      <c r="J50" s="27"/>
      <c r="K50" s="27"/>
      <c r="L50" s="27"/>
      <c r="M50" s="27"/>
      <c r="N50" s="27"/>
      <c r="O50" s="27"/>
      <c r="P50" s="27"/>
    </row>
    <row r="51">
      <c r="A51" s="9">
        <v>46050.0</v>
      </c>
      <c r="B51" s="2">
        <v>2980.0</v>
      </c>
      <c r="C51" s="1">
        <v>4.67</v>
      </c>
      <c r="D51" s="14"/>
      <c r="E51" s="11">
        <f t="shared" si="1"/>
        <v>13916.6</v>
      </c>
      <c r="F51" s="10" t="str">
        <f t="shared" si="2"/>
        <v/>
      </c>
      <c r="G51" s="11"/>
      <c r="H51" s="11">
        <f t="shared" si="3"/>
        <v>375458.72</v>
      </c>
      <c r="I51" s="8"/>
      <c r="J51" s="27"/>
      <c r="K51" s="27"/>
      <c r="L51" s="27"/>
      <c r="M51" s="27"/>
      <c r="N51" s="27"/>
      <c r="O51" s="27"/>
      <c r="P51" s="27"/>
    </row>
    <row r="52">
      <c r="A52" s="9">
        <v>46050.0</v>
      </c>
      <c r="B52" s="13"/>
      <c r="C52" s="8"/>
      <c r="D52" s="1"/>
      <c r="E52" s="11">
        <f t="shared" si="1"/>
        <v>0</v>
      </c>
      <c r="F52" s="10" t="str">
        <f t="shared" si="2"/>
        <v/>
      </c>
      <c r="G52" s="5">
        <v>100000.0</v>
      </c>
      <c r="H52" s="11">
        <f t="shared" si="3"/>
        <v>275458.72</v>
      </c>
      <c r="I52" s="1" t="s">
        <v>17</v>
      </c>
      <c r="J52" s="27"/>
      <c r="K52" s="27"/>
      <c r="L52" s="27"/>
      <c r="M52" s="27"/>
      <c r="N52" s="27"/>
      <c r="O52" s="27"/>
      <c r="P52" s="27"/>
    </row>
    <row r="53">
      <c r="A53" s="9">
        <v>46050.0</v>
      </c>
      <c r="B53" s="2">
        <v>2891.0</v>
      </c>
      <c r="C53" s="1">
        <v>4.67</v>
      </c>
      <c r="D53" s="14"/>
      <c r="E53" s="11">
        <f t="shared" si="1"/>
        <v>13500.97</v>
      </c>
      <c r="F53" s="10" t="str">
        <f t="shared" si="2"/>
        <v/>
      </c>
      <c r="G53" s="11"/>
      <c r="H53" s="11">
        <f t="shared" si="3"/>
        <v>288959.69</v>
      </c>
      <c r="I53" s="8"/>
      <c r="J53" s="27"/>
      <c r="K53" s="27"/>
      <c r="L53" s="27"/>
      <c r="M53" s="27"/>
      <c r="N53" s="27"/>
      <c r="O53" s="27"/>
      <c r="P53" s="27"/>
    </row>
    <row r="54">
      <c r="A54" s="9">
        <v>46052.0</v>
      </c>
      <c r="B54" s="2">
        <v>9910.0</v>
      </c>
      <c r="C54" s="1">
        <v>4.67</v>
      </c>
      <c r="D54" s="14"/>
      <c r="E54" s="11">
        <f t="shared" si="1"/>
        <v>46279.7</v>
      </c>
      <c r="F54" s="10" t="str">
        <f t="shared" si="2"/>
        <v/>
      </c>
      <c r="G54" s="11"/>
      <c r="H54" s="11">
        <f t="shared" si="3"/>
        <v>335239.39</v>
      </c>
      <c r="I54" s="8"/>
      <c r="J54" s="27"/>
      <c r="K54" s="27"/>
      <c r="L54" s="27"/>
      <c r="M54" s="27"/>
      <c r="N54" s="27"/>
      <c r="O54" s="27"/>
      <c r="P54" s="27"/>
    </row>
    <row r="55">
      <c r="A55" s="9">
        <v>46052.0</v>
      </c>
      <c r="B55" s="2">
        <v>7000.0</v>
      </c>
      <c r="C55" s="1">
        <v>4.67</v>
      </c>
      <c r="D55" s="14"/>
      <c r="E55" s="11">
        <f t="shared" si="1"/>
        <v>32690</v>
      </c>
      <c r="F55" s="10" t="str">
        <f t="shared" si="2"/>
        <v/>
      </c>
      <c r="G55" s="11"/>
      <c r="H55" s="11">
        <f t="shared" si="3"/>
        <v>367929.39</v>
      </c>
      <c r="I55" s="8"/>
      <c r="J55" s="27"/>
      <c r="K55" s="27"/>
      <c r="L55" s="27"/>
      <c r="M55" s="27"/>
      <c r="N55" s="27"/>
      <c r="O55" s="27"/>
      <c r="P55" s="27"/>
    </row>
    <row r="56">
      <c r="A56" s="9">
        <v>46055.0</v>
      </c>
      <c r="B56" s="13"/>
      <c r="C56" s="8"/>
      <c r="D56" s="1"/>
      <c r="E56" s="11">
        <f t="shared" si="1"/>
        <v>0</v>
      </c>
      <c r="F56" s="10" t="str">
        <f t="shared" si="2"/>
        <v/>
      </c>
      <c r="G56" s="5">
        <v>50000.0</v>
      </c>
      <c r="H56" s="11">
        <f t="shared" si="3"/>
        <v>317929.39</v>
      </c>
      <c r="I56" s="1" t="s">
        <v>17</v>
      </c>
      <c r="J56" s="27"/>
      <c r="K56" s="27"/>
      <c r="L56" s="27"/>
      <c r="M56" s="27"/>
      <c r="N56" s="27"/>
      <c r="O56" s="27"/>
      <c r="P56" s="27"/>
    </row>
    <row r="57">
      <c r="A57" s="9">
        <v>46056.0</v>
      </c>
      <c r="B57" s="13"/>
      <c r="C57" s="8"/>
      <c r="D57" s="1"/>
      <c r="E57" s="11">
        <f t="shared" si="1"/>
        <v>0</v>
      </c>
      <c r="F57" s="10" t="str">
        <f>IF(D57=0, "", (E57-D57)*B57)</f>
        <v/>
      </c>
      <c r="G57" s="5">
        <v>180000.0</v>
      </c>
      <c r="H57" s="11">
        <f t="shared" si="3"/>
        <v>137929.39</v>
      </c>
      <c r="I57" s="1" t="s">
        <v>17</v>
      </c>
      <c r="J57" s="27"/>
      <c r="K57" s="27"/>
      <c r="L57" s="27"/>
      <c r="M57" s="27"/>
      <c r="N57" s="27"/>
      <c r="O57" s="27"/>
      <c r="P57" s="27"/>
    </row>
    <row r="58">
      <c r="A58" s="9">
        <v>46068.0</v>
      </c>
      <c r="B58" s="2">
        <v>3300.0</v>
      </c>
      <c r="C58" s="1">
        <v>4.7</v>
      </c>
      <c r="D58" s="1">
        <v>4.63</v>
      </c>
      <c r="E58" s="11">
        <f t="shared" si="1"/>
        <v>15510</v>
      </c>
      <c r="F58" s="10">
        <f t="shared" ref="F58:F61" si="4">IF(D58=0, "", (C58-D58)*B58)</f>
        <v>231</v>
      </c>
      <c r="G58" s="11"/>
      <c r="H58" s="11">
        <f t="shared" si="3"/>
        <v>153439.39</v>
      </c>
      <c r="I58" s="8"/>
      <c r="J58" s="27"/>
      <c r="K58" s="27"/>
      <c r="L58" s="27"/>
      <c r="M58" s="27"/>
      <c r="N58" s="27"/>
      <c r="O58" s="27"/>
      <c r="P58" s="27"/>
    </row>
    <row r="59">
      <c r="A59" s="9">
        <v>46069.0</v>
      </c>
      <c r="B59" s="13"/>
      <c r="C59" s="8"/>
      <c r="D59" s="14"/>
      <c r="E59" s="11">
        <f t="shared" si="1"/>
        <v>0</v>
      </c>
      <c r="F59" s="10" t="str">
        <f t="shared" si="4"/>
        <v/>
      </c>
      <c r="G59" s="5">
        <v>60000.0</v>
      </c>
      <c r="H59" s="11">
        <f t="shared" si="3"/>
        <v>93439.39</v>
      </c>
      <c r="I59" s="8"/>
      <c r="J59" s="27"/>
      <c r="K59" s="27"/>
      <c r="L59" s="27"/>
      <c r="M59" s="27"/>
      <c r="N59" s="27"/>
      <c r="O59" s="27"/>
      <c r="P59" s="27"/>
    </row>
    <row r="60">
      <c r="A60" s="9">
        <v>46070.0</v>
      </c>
      <c r="B60" s="2">
        <v>10500.0</v>
      </c>
      <c r="C60" s="1">
        <v>4.7</v>
      </c>
      <c r="D60" s="1">
        <v>4.63</v>
      </c>
      <c r="E60" s="11">
        <f t="shared" si="1"/>
        <v>49350</v>
      </c>
      <c r="F60" s="10">
        <f t="shared" si="4"/>
        <v>735</v>
      </c>
      <c r="G60" s="11"/>
      <c r="H60" s="11">
        <f t="shared" si="3"/>
        <v>142789.39</v>
      </c>
      <c r="I60" s="8"/>
      <c r="J60" s="27"/>
      <c r="K60" s="27"/>
      <c r="L60" s="27"/>
      <c r="M60" s="27"/>
      <c r="N60" s="27"/>
      <c r="O60" s="27"/>
      <c r="P60" s="27"/>
    </row>
    <row r="61">
      <c r="A61" s="9">
        <v>46071.0</v>
      </c>
      <c r="B61" s="2">
        <v>5500.0</v>
      </c>
      <c r="C61" s="1">
        <v>4.7</v>
      </c>
      <c r="D61" s="1">
        <v>4.64</v>
      </c>
      <c r="E61" s="11">
        <f t="shared" si="1"/>
        <v>25850</v>
      </c>
      <c r="F61" s="10">
        <f t="shared" si="4"/>
        <v>330</v>
      </c>
      <c r="G61" s="11"/>
      <c r="H61" s="11">
        <f t="shared" si="3"/>
        <v>168639.39</v>
      </c>
      <c r="I61" s="8"/>
      <c r="J61" s="27"/>
      <c r="K61" s="27"/>
      <c r="L61" s="27"/>
      <c r="M61" s="27"/>
      <c r="N61" s="27"/>
      <c r="O61" s="27"/>
      <c r="P61" s="27"/>
    </row>
    <row r="62">
      <c r="A62" s="17" t="s">
        <v>38</v>
      </c>
      <c r="B62" s="2">
        <v>6639.0</v>
      </c>
      <c r="C62" s="1">
        <v>4.7</v>
      </c>
      <c r="D62" s="1">
        <v>4.64</v>
      </c>
      <c r="E62" s="5">
        <v>31203.300000000003</v>
      </c>
      <c r="F62" s="4">
        <v>398.34000000000333</v>
      </c>
      <c r="G62" s="5"/>
      <c r="H62" s="5">
        <v>199842.3</v>
      </c>
      <c r="I62" s="8"/>
      <c r="J62" s="27"/>
      <c r="K62" s="27"/>
      <c r="L62" s="27"/>
      <c r="M62" s="27"/>
      <c r="N62" s="27"/>
      <c r="O62" s="27"/>
      <c r="P62" s="27"/>
    </row>
    <row r="63">
      <c r="A63" s="17" t="s">
        <v>38</v>
      </c>
      <c r="B63" s="2">
        <v>5229.0</v>
      </c>
      <c r="C63" s="20">
        <v>4.7</v>
      </c>
      <c r="D63" s="1">
        <v>4.64</v>
      </c>
      <c r="E63" s="5">
        <v>24576.3</v>
      </c>
      <c r="F63" s="4">
        <v>313.7400000000026</v>
      </c>
      <c r="G63" s="11"/>
      <c r="H63" s="5">
        <v>224418.3</v>
      </c>
      <c r="I63" s="8"/>
      <c r="J63" s="27"/>
      <c r="K63" s="27"/>
      <c r="L63" s="27"/>
      <c r="M63" s="27"/>
      <c r="N63" s="27"/>
      <c r="O63" s="27"/>
      <c r="P63" s="27"/>
    </row>
    <row r="64">
      <c r="A64" s="17" t="s">
        <v>38</v>
      </c>
      <c r="B64" s="2"/>
      <c r="C64" s="20"/>
      <c r="D64" s="1"/>
      <c r="E64" s="5"/>
      <c r="F64" s="4"/>
      <c r="G64" s="5">
        <v>0.0</v>
      </c>
      <c r="H64" s="5">
        <v>224418.0</v>
      </c>
      <c r="I64" s="8"/>
      <c r="J64" s="27"/>
      <c r="K64" s="27"/>
      <c r="L64" s="27"/>
      <c r="M64" s="27"/>
      <c r="N64" s="27"/>
      <c r="O64" s="27"/>
      <c r="P64" s="27"/>
    </row>
    <row r="65">
      <c r="A65" s="17" t="s">
        <v>38</v>
      </c>
      <c r="B65" s="2"/>
      <c r="C65" s="20"/>
      <c r="D65" s="1"/>
      <c r="E65" s="5"/>
      <c r="F65" s="4"/>
      <c r="G65" s="5">
        <v>100000.0</v>
      </c>
      <c r="H65" s="5">
        <v>124418.0</v>
      </c>
      <c r="I65" s="8"/>
      <c r="J65" s="27"/>
      <c r="K65" s="27"/>
      <c r="L65" s="27"/>
      <c r="M65" s="27"/>
      <c r="N65" s="27"/>
      <c r="O65" s="27"/>
      <c r="P65" s="27"/>
    </row>
    <row r="66">
      <c r="A66" s="17" t="s">
        <v>38</v>
      </c>
      <c r="B66" s="13"/>
      <c r="C66" s="8"/>
      <c r="D66" s="14"/>
      <c r="E66" s="11"/>
      <c r="F66" s="10"/>
      <c r="G66" s="5">
        <v>0.0</v>
      </c>
      <c r="H66" s="5">
        <v>124418.0</v>
      </c>
      <c r="I66" s="8"/>
      <c r="J66" s="27"/>
      <c r="K66" s="27"/>
      <c r="L66" s="27"/>
      <c r="M66" s="27"/>
      <c r="N66" s="27"/>
      <c r="O66" s="27"/>
      <c r="P66" s="27"/>
    </row>
    <row r="67">
      <c r="A67" s="17" t="s">
        <v>38</v>
      </c>
      <c r="B67" s="13"/>
      <c r="C67" s="8"/>
      <c r="D67" s="14"/>
      <c r="E67" s="11"/>
      <c r="F67" s="10"/>
      <c r="G67" s="5">
        <v>20000.0</v>
      </c>
      <c r="H67" s="5">
        <v>104418.0</v>
      </c>
      <c r="I67" s="8"/>
      <c r="J67" s="27"/>
      <c r="K67" s="27"/>
      <c r="L67" s="27"/>
      <c r="M67" s="27"/>
      <c r="N67" s="27"/>
      <c r="O67" s="27"/>
      <c r="P67" s="27"/>
    </row>
    <row r="68">
      <c r="A68" s="17" t="s">
        <v>40</v>
      </c>
      <c r="B68" s="2">
        <v>3810.0</v>
      </c>
      <c r="C68" s="20">
        <v>4.7</v>
      </c>
      <c r="D68" s="1">
        <v>4.59</v>
      </c>
      <c r="E68" s="5">
        <v>17907.0</v>
      </c>
      <c r="F68" s="4">
        <v>419.1000000000012</v>
      </c>
      <c r="G68" s="11"/>
      <c r="H68" s="5">
        <v>122325.0</v>
      </c>
      <c r="I68" s="8"/>
      <c r="J68" s="27"/>
      <c r="K68" s="27"/>
      <c r="L68" s="27"/>
      <c r="M68" s="27"/>
      <c r="N68" s="27"/>
      <c r="O68" s="27"/>
      <c r="P68" s="27"/>
    </row>
    <row r="69">
      <c r="A69" s="17" t="s">
        <v>44</v>
      </c>
      <c r="B69" s="2">
        <v>24480.0</v>
      </c>
      <c r="C69" s="20">
        <v>4.73</v>
      </c>
      <c r="D69" s="1">
        <v>4.67</v>
      </c>
      <c r="E69" s="5">
        <v>115790.40000000001</v>
      </c>
      <c r="F69" s="4">
        <v>1468.8000000000122</v>
      </c>
      <c r="G69" s="11"/>
      <c r="H69" s="5">
        <v>238115.40000000002</v>
      </c>
      <c r="I69" s="8"/>
      <c r="J69" s="27"/>
      <c r="K69" s="27"/>
      <c r="L69" s="27"/>
      <c r="M69" s="27"/>
      <c r="N69" s="27"/>
      <c r="O69" s="27"/>
      <c r="P69" s="27"/>
    </row>
    <row r="70">
      <c r="A70" s="17" t="s">
        <v>45</v>
      </c>
      <c r="B70" s="13"/>
      <c r="C70" s="8"/>
      <c r="D70" s="14"/>
      <c r="E70" s="11"/>
      <c r="F70" s="10"/>
      <c r="G70" s="5">
        <v>50000.0</v>
      </c>
      <c r="H70" s="5">
        <v>188115.40000000002</v>
      </c>
      <c r="I70" s="8"/>
      <c r="J70" s="27"/>
      <c r="K70" s="27"/>
      <c r="L70" s="27"/>
      <c r="M70" s="27"/>
      <c r="N70" s="27"/>
      <c r="O70" s="27"/>
      <c r="P70" s="27"/>
    </row>
    <row r="71">
      <c r="A71" s="17" t="s">
        <v>50</v>
      </c>
      <c r="B71" s="2">
        <v>15300.0</v>
      </c>
      <c r="C71" s="20">
        <v>4.74</v>
      </c>
      <c r="D71" s="1">
        <v>4.65</v>
      </c>
      <c r="E71" s="5">
        <v>72522.0</v>
      </c>
      <c r="F71" s="4">
        <v>1376.9999999999977</v>
      </c>
      <c r="G71" s="11"/>
      <c r="H71" s="5">
        <v>260637.40000000002</v>
      </c>
      <c r="I71" s="8"/>
      <c r="J71" s="27"/>
      <c r="K71" s="27"/>
      <c r="L71" s="27"/>
      <c r="M71" s="27"/>
      <c r="N71" s="27"/>
      <c r="O71" s="27"/>
      <c r="P71" s="27"/>
    </row>
    <row r="72">
      <c r="A72" s="17" t="s">
        <v>50</v>
      </c>
      <c r="B72" s="2">
        <v>6570.0</v>
      </c>
      <c r="C72" s="20">
        <v>4.74</v>
      </c>
      <c r="D72" s="1">
        <v>4.68</v>
      </c>
      <c r="E72" s="5">
        <v>31141.800000000003</v>
      </c>
      <c r="F72" s="4">
        <v>394.2000000000033</v>
      </c>
      <c r="G72" s="11"/>
      <c r="H72" s="5">
        <v>291779.2</v>
      </c>
      <c r="I72" s="8"/>
      <c r="J72" s="27"/>
      <c r="K72" s="27"/>
      <c r="L72" s="27"/>
      <c r="M72" s="27"/>
      <c r="N72" s="27"/>
      <c r="O72" s="27"/>
      <c r="P72" s="27"/>
    </row>
    <row r="73">
      <c r="A73" s="17" t="s">
        <v>52</v>
      </c>
      <c r="B73" s="2">
        <v>47181.0</v>
      </c>
      <c r="C73" s="20">
        <v>4.72</v>
      </c>
      <c r="D73" s="1">
        <v>4.68</v>
      </c>
      <c r="E73" s="5">
        <v>222694.31999999998</v>
      </c>
      <c r="F73" s="4">
        <v>1887.2400000000016</v>
      </c>
      <c r="G73" s="11"/>
      <c r="H73" s="5">
        <v>514473.52</v>
      </c>
      <c r="I73" s="8"/>
      <c r="J73" s="27"/>
      <c r="K73" s="27"/>
      <c r="L73" s="27"/>
      <c r="M73" s="27"/>
      <c r="N73" s="27"/>
      <c r="O73" s="27"/>
      <c r="P73" s="27"/>
    </row>
    <row r="74">
      <c r="A74" s="17" t="s">
        <v>52</v>
      </c>
      <c r="B74" s="2">
        <v>13033.0</v>
      </c>
      <c r="C74" s="20">
        <v>4.72</v>
      </c>
      <c r="D74" s="1">
        <v>4.68</v>
      </c>
      <c r="E74" s="5">
        <v>61515.759999999995</v>
      </c>
      <c r="F74" s="4">
        <v>521.3200000000005</v>
      </c>
      <c r="G74" s="11"/>
      <c r="H74" s="5">
        <v>575989.28</v>
      </c>
      <c r="I74" s="8"/>
      <c r="J74" s="27"/>
      <c r="K74" s="27"/>
      <c r="L74" s="27"/>
      <c r="M74" s="27"/>
      <c r="N74" s="27"/>
      <c r="O74" s="27"/>
      <c r="P74" s="27"/>
    </row>
    <row r="75">
      <c r="A75" s="17" t="s">
        <v>54</v>
      </c>
      <c r="B75" s="2">
        <v>9000.0</v>
      </c>
      <c r="C75" s="20">
        <v>4.72</v>
      </c>
      <c r="D75" s="1">
        <v>4.67</v>
      </c>
      <c r="E75" s="5">
        <v>42480.0</v>
      </c>
      <c r="F75" s="4">
        <v>449.9999999999984</v>
      </c>
      <c r="G75" s="11"/>
      <c r="H75" s="5">
        <v>618469.28</v>
      </c>
      <c r="I75" s="8"/>
      <c r="J75" s="27"/>
      <c r="K75" s="27"/>
      <c r="L75" s="27"/>
      <c r="M75" s="27"/>
      <c r="N75" s="27"/>
      <c r="O75" s="27"/>
      <c r="P75" s="27"/>
    </row>
    <row r="76">
      <c r="A76" s="17" t="s">
        <v>54</v>
      </c>
      <c r="B76" s="2">
        <v>15000.0</v>
      </c>
      <c r="C76" s="20">
        <v>4.71</v>
      </c>
      <c r="D76" s="1">
        <v>4.67</v>
      </c>
      <c r="E76" s="5">
        <v>70650.0</v>
      </c>
      <c r="F76" s="4">
        <v>600.0000000000006</v>
      </c>
      <c r="G76" s="11"/>
      <c r="H76" s="5">
        <v>689119.28</v>
      </c>
      <c r="I76" s="8"/>
      <c r="J76" s="27"/>
      <c r="K76" s="27"/>
      <c r="L76" s="27"/>
      <c r="M76" s="27"/>
      <c r="N76" s="27"/>
      <c r="O76" s="27"/>
      <c r="P76" s="27"/>
    </row>
    <row r="77">
      <c r="A77" s="17" t="s">
        <v>54</v>
      </c>
      <c r="B77" s="13"/>
      <c r="C77" s="8"/>
      <c r="D77" s="14"/>
      <c r="E77" s="11"/>
      <c r="F77" s="10"/>
      <c r="G77" s="5">
        <v>340000.0</v>
      </c>
      <c r="H77" s="5">
        <v>349119.28</v>
      </c>
      <c r="I77" s="8"/>
      <c r="J77" s="27"/>
      <c r="K77" s="27"/>
      <c r="L77" s="27"/>
      <c r="M77" s="27"/>
      <c r="N77" s="27"/>
      <c r="O77" s="27"/>
      <c r="P77" s="27"/>
    </row>
    <row r="78">
      <c r="A78" s="17" t="s">
        <v>57</v>
      </c>
      <c r="B78" s="2">
        <v>10160.0</v>
      </c>
      <c r="C78" s="20">
        <v>4.71</v>
      </c>
      <c r="D78" s="1">
        <v>4.66</v>
      </c>
      <c r="E78" s="5">
        <v>47853.6</v>
      </c>
      <c r="F78" s="4">
        <v>507.9999999999982</v>
      </c>
      <c r="G78" s="11"/>
      <c r="H78" s="5">
        <v>396972.88</v>
      </c>
      <c r="I78" s="8"/>
      <c r="J78" s="27"/>
      <c r="K78" s="27"/>
      <c r="L78" s="27"/>
      <c r="M78" s="27"/>
      <c r="N78" s="27"/>
      <c r="O78" s="27"/>
      <c r="P78" s="27"/>
    </row>
    <row r="79">
      <c r="A79" s="17" t="s">
        <v>59</v>
      </c>
      <c r="B79" s="13"/>
      <c r="C79" s="8"/>
      <c r="D79" s="14"/>
      <c r="E79" s="11"/>
      <c r="F79" s="10"/>
      <c r="G79" s="5">
        <v>120000.0</v>
      </c>
      <c r="H79" s="5">
        <v>276972.88</v>
      </c>
      <c r="I79" s="8"/>
      <c r="J79" s="27"/>
      <c r="K79" s="27"/>
      <c r="L79" s="27"/>
      <c r="M79" s="27"/>
      <c r="N79" s="27"/>
      <c r="O79" s="27"/>
      <c r="P79" s="27"/>
    </row>
    <row r="80">
      <c r="A80" s="17" t="s">
        <v>60</v>
      </c>
      <c r="B80" s="2">
        <v>9700.0</v>
      </c>
      <c r="C80" s="20">
        <v>4.73</v>
      </c>
      <c r="D80" s="1">
        <v>4.68</v>
      </c>
      <c r="E80" s="5">
        <v>45881.00000000001</v>
      </c>
      <c r="F80" s="4">
        <v>485.0000000000069</v>
      </c>
      <c r="G80" s="11"/>
      <c r="H80" s="5">
        <v>322853.88</v>
      </c>
      <c r="I80" s="8"/>
      <c r="J80" s="27"/>
      <c r="K80" s="27"/>
      <c r="L80" s="27"/>
      <c r="M80" s="27"/>
      <c r="N80" s="27"/>
      <c r="O80" s="27"/>
      <c r="P80" s="27"/>
    </row>
    <row r="81">
      <c r="A81" s="17" t="s">
        <v>64</v>
      </c>
      <c r="B81" s="2">
        <v>11192.0</v>
      </c>
      <c r="C81" s="20">
        <v>4.74</v>
      </c>
      <c r="D81" s="1">
        <v>4.68</v>
      </c>
      <c r="E81" s="5">
        <v>53050.08</v>
      </c>
      <c r="F81" s="4">
        <v>671.5200000000056</v>
      </c>
      <c r="G81" s="11"/>
      <c r="H81" s="5">
        <v>375903.96</v>
      </c>
      <c r="I81" s="8"/>
      <c r="J81" s="27"/>
      <c r="K81" s="27"/>
      <c r="L81" s="27"/>
      <c r="M81" s="27"/>
      <c r="N81" s="27"/>
      <c r="O81" s="27"/>
      <c r="P81" s="27"/>
    </row>
    <row r="82">
      <c r="A82" s="17" t="s">
        <v>65</v>
      </c>
      <c r="B82" s="2">
        <v>3980.0</v>
      </c>
      <c r="C82" s="20">
        <v>4.73</v>
      </c>
      <c r="D82" s="1">
        <v>4.68</v>
      </c>
      <c r="E82" s="5">
        <v>18825.4</v>
      </c>
      <c r="F82" s="4">
        <v>199.00000000000284</v>
      </c>
      <c r="G82" s="11"/>
      <c r="H82" s="5">
        <v>394729.36000000004</v>
      </c>
      <c r="I82" s="8"/>
      <c r="J82" s="27"/>
      <c r="K82" s="27"/>
      <c r="L82" s="27"/>
      <c r="M82" s="27"/>
      <c r="N82" s="27"/>
      <c r="O82" s="27"/>
      <c r="P82" s="27"/>
    </row>
    <row r="83">
      <c r="A83" s="17" t="s">
        <v>66</v>
      </c>
      <c r="B83" s="2">
        <v>5282.0</v>
      </c>
      <c r="C83" s="20">
        <v>4.73</v>
      </c>
      <c r="D83" s="1">
        <v>4.68</v>
      </c>
      <c r="E83" s="5">
        <v>24983.86</v>
      </c>
      <c r="F83" s="4">
        <v>264.1000000000038</v>
      </c>
      <c r="G83" s="11"/>
      <c r="H83" s="5">
        <v>419713.22000000003</v>
      </c>
      <c r="I83" s="8"/>
      <c r="J83" s="27"/>
      <c r="K83" s="27"/>
      <c r="L83" s="27"/>
      <c r="M83" s="27"/>
      <c r="N83" s="27"/>
      <c r="O83" s="27"/>
      <c r="P83" s="27"/>
    </row>
    <row r="84">
      <c r="A84" s="17" t="s">
        <v>67</v>
      </c>
      <c r="B84" s="13"/>
      <c r="C84" s="8"/>
      <c r="D84" s="14"/>
      <c r="E84" s="11"/>
      <c r="F84" s="10"/>
      <c r="G84" s="5">
        <v>190000.0</v>
      </c>
      <c r="H84" s="5">
        <v>229713.22000000003</v>
      </c>
      <c r="I84" s="8"/>
      <c r="J84" s="27"/>
      <c r="K84" s="27"/>
      <c r="L84" s="27"/>
      <c r="M84" s="27"/>
      <c r="N84" s="27"/>
      <c r="O84" s="27"/>
      <c r="P84" s="27"/>
    </row>
    <row r="85">
      <c r="A85" s="17" t="s">
        <v>67</v>
      </c>
      <c r="B85" s="2">
        <v>14900.0</v>
      </c>
      <c r="C85" s="20">
        <v>4.73</v>
      </c>
      <c r="D85" s="1">
        <v>4.67</v>
      </c>
      <c r="E85" s="5">
        <v>70477.0</v>
      </c>
      <c r="F85" s="4">
        <v>894.0000000000074</v>
      </c>
      <c r="G85" s="11"/>
      <c r="H85" s="5">
        <v>300190.22000000003</v>
      </c>
      <c r="I85" s="8"/>
      <c r="J85" s="27"/>
      <c r="K85" s="27"/>
      <c r="L85" s="27"/>
      <c r="M85" s="27"/>
      <c r="N85" s="27"/>
      <c r="O85" s="27"/>
      <c r="P85" s="27"/>
    </row>
    <row r="86">
      <c r="A86" s="17" t="s">
        <v>67</v>
      </c>
      <c r="B86" s="2">
        <v>3599.0</v>
      </c>
      <c r="C86" s="20">
        <v>4.73</v>
      </c>
      <c r="D86" s="1">
        <v>4.67</v>
      </c>
      <c r="E86" s="5">
        <v>17023.27</v>
      </c>
      <c r="F86" s="4">
        <v>215.9400000000018</v>
      </c>
      <c r="G86" s="11"/>
      <c r="H86" s="5">
        <v>317213.49000000005</v>
      </c>
      <c r="I86" s="8"/>
      <c r="J86" s="27"/>
      <c r="K86" s="27"/>
      <c r="L86" s="27"/>
      <c r="M86" s="27"/>
      <c r="N86" s="27"/>
      <c r="O86" s="27"/>
      <c r="P86" s="27"/>
    </row>
    <row r="87">
      <c r="A87" s="17" t="s">
        <v>69</v>
      </c>
      <c r="B87" s="2">
        <v>4650.0</v>
      </c>
      <c r="C87" s="20">
        <v>4.73</v>
      </c>
      <c r="D87" s="1">
        <v>4.66</v>
      </c>
      <c r="E87" s="5">
        <v>21994.500000000004</v>
      </c>
      <c r="F87" s="4">
        <v>325.5000000000013</v>
      </c>
      <c r="G87" s="11"/>
      <c r="H87" s="5">
        <v>339207.99000000005</v>
      </c>
      <c r="I87" s="8"/>
      <c r="J87" s="27"/>
      <c r="K87" s="27"/>
      <c r="L87" s="27"/>
      <c r="M87" s="27"/>
      <c r="N87" s="27"/>
      <c r="O87" s="27"/>
      <c r="P87" s="27"/>
    </row>
    <row r="88">
      <c r="A88" s="17" t="s">
        <v>70</v>
      </c>
      <c r="B88" s="2">
        <v>8900.0</v>
      </c>
      <c r="C88" s="20">
        <v>4.73</v>
      </c>
      <c r="D88" s="1">
        <v>4.66</v>
      </c>
      <c r="E88" s="5">
        <v>42097.00000000001</v>
      </c>
      <c r="F88" s="4">
        <v>623.0000000000025</v>
      </c>
      <c r="G88" s="11"/>
      <c r="H88" s="5">
        <v>381304.99000000005</v>
      </c>
      <c r="I88" s="8"/>
      <c r="J88" s="27"/>
      <c r="K88" s="27"/>
      <c r="L88" s="27"/>
      <c r="M88" s="27"/>
      <c r="N88" s="27"/>
      <c r="O88" s="27"/>
      <c r="P88" s="27"/>
    </row>
    <row r="89">
      <c r="A89" s="17" t="s">
        <v>70</v>
      </c>
      <c r="B89" s="2">
        <v>22999.0</v>
      </c>
      <c r="C89" s="20">
        <v>4.73</v>
      </c>
      <c r="D89" s="1">
        <v>4.67</v>
      </c>
      <c r="E89" s="5">
        <v>108785.27</v>
      </c>
      <c r="F89" s="4">
        <v>1379.9400000000114</v>
      </c>
      <c r="G89" s="11"/>
      <c r="H89" s="5">
        <v>490090.26000000007</v>
      </c>
      <c r="I89" s="8"/>
      <c r="J89" s="27"/>
      <c r="K89" s="27"/>
      <c r="L89" s="27"/>
      <c r="M89" s="27"/>
      <c r="N89" s="27"/>
      <c r="O89" s="27"/>
      <c r="P89" s="27"/>
    </row>
    <row r="90">
      <c r="A90" s="30" t="s">
        <v>72</v>
      </c>
      <c r="B90" s="31">
        <v>2299.0</v>
      </c>
      <c r="C90" s="44">
        <v>4.73</v>
      </c>
      <c r="D90" s="25">
        <v>4.69</v>
      </c>
      <c r="E90" s="28">
        <v>10874.27</v>
      </c>
      <c r="F90" s="33">
        <v>91.96000000000008</v>
      </c>
      <c r="G90" s="34"/>
      <c r="H90" s="28">
        <v>500964.5300000001</v>
      </c>
      <c r="I90" s="27"/>
      <c r="J90" s="27"/>
      <c r="K90" s="27"/>
      <c r="L90" s="27"/>
      <c r="M90" s="27"/>
      <c r="N90" s="27"/>
      <c r="O90" s="27"/>
      <c r="P90" s="27"/>
    </row>
    <row r="91">
      <c r="A91" s="30" t="s">
        <v>72</v>
      </c>
      <c r="B91" s="35"/>
      <c r="C91" s="27"/>
      <c r="D91" s="36"/>
      <c r="E91" s="34"/>
      <c r="F91" s="38"/>
      <c r="G91" s="28">
        <v>150000.0</v>
      </c>
      <c r="H91" s="28">
        <v>350964.5300000001</v>
      </c>
      <c r="I91" s="27"/>
      <c r="J91" s="27"/>
      <c r="K91" s="27"/>
      <c r="L91" s="27"/>
      <c r="M91" s="27"/>
      <c r="N91" s="27"/>
      <c r="O91" s="27"/>
      <c r="P91" s="27"/>
    </row>
    <row r="92">
      <c r="A92" s="30" t="s">
        <v>73</v>
      </c>
      <c r="B92" s="31">
        <v>16280.0</v>
      </c>
      <c r="C92" s="44">
        <v>4.73</v>
      </c>
      <c r="D92" s="25">
        <v>4.69</v>
      </c>
      <c r="E92" s="28">
        <v>77004.40000000001</v>
      </c>
      <c r="F92" s="33">
        <v>651.2000000000006</v>
      </c>
      <c r="G92" s="34"/>
      <c r="H92" s="28">
        <v>427968.9300000001</v>
      </c>
      <c r="I92" s="27"/>
      <c r="J92" s="27"/>
      <c r="K92" s="27"/>
      <c r="L92" s="27"/>
      <c r="M92" s="27"/>
      <c r="N92" s="27"/>
      <c r="O92" s="27"/>
      <c r="P92" s="27"/>
    </row>
    <row r="93">
      <c r="A93" s="30" t="s">
        <v>75</v>
      </c>
      <c r="B93" s="35"/>
      <c r="C93" s="27"/>
      <c r="D93" s="36"/>
      <c r="E93" s="34"/>
      <c r="F93" s="38"/>
      <c r="G93" s="28">
        <v>150000.0</v>
      </c>
      <c r="H93" s="28">
        <v>277968.9300000001</v>
      </c>
      <c r="I93" s="27"/>
      <c r="J93" s="27"/>
      <c r="K93" s="27"/>
      <c r="L93" s="27"/>
      <c r="M93" s="27"/>
      <c r="N93" s="27"/>
      <c r="O93" s="27"/>
      <c r="P93" s="27"/>
    </row>
    <row r="94">
      <c r="A94" s="30" t="s">
        <v>88</v>
      </c>
      <c r="B94" s="31">
        <v>8999.0</v>
      </c>
      <c r="C94" s="44">
        <v>4.73</v>
      </c>
      <c r="D94" s="25">
        <v>4.63</v>
      </c>
      <c r="E94" s="28">
        <v>42565.270000000004</v>
      </c>
      <c r="F94" s="33">
        <v>899.9000000000048</v>
      </c>
      <c r="G94" s="34"/>
      <c r="H94" s="28">
        <v>320534.2000000001</v>
      </c>
      <c r="I94" s="27"/>
      <c r="J94" s="27"/>
      <c r="K94" s="27"/>
      <c r="L94" s="27"/>
      <c r="M94" s="27"/>
      <c r="N94" s="27"/>
      <c r="O94" s="27"/>
      <c r="P94" s="27"/>
    </row>
    <row r="95">
      <c r="A95" s="30" t="s">
        <v>89</v>
      </c>
      <c r="B95" s="31">
        <v>7579.0</v>
      </c>
      <c r="C95" s="44">
        <v>4.73</v>
      </c>
      <c r="D95" s="25">
        <v>4.63</v>
      </c>
      <c r="E95" s="28">
        <v>35848.670000000006</v>
      </c>
      <c r="F95" s="33">
        <v>757.9000000000041</v>
      </c>
      <c r="G95" s="34"/>
      <c r="H95" s="28">
        <v>356382.8700000001</v>
      </c>
      <c r="I95" s="27"/>
      <c r="J95" s="27"/>
      <c r="K95" s="27"/>
      <c r="L95" s="27"/>
      <c r="M95" s="27"/>
      <c r="N95" s="27"/>
      <c r="O95" s="27"/>
      <c r="P95" s="27"/>
    </row>
    <row r="96">
      <c r="A96" s="30" t="s">
        <v>77</v>
      </c>
      <c r="B96" s="31">
        <v>16045.0</v>
      </c>
      <c r="C96" s="44">
        <v>4.73</v>
      </c>
      <c r="D96" s="25">
        <v>4.63</v>
      </c>
      <c r="E96" s="28">
        <v>75892.85</v>
      </c>
      <c r="F96" s="33">
        <v>1604.5000000000086</v>
      </c>
      <c r="G96" s="34"/>
      <c r="H96" s="28">
        <v>432275.7200000001</v>
      </c>
      <c r="I96" s="27"/>
      <c r="J96" s="27"/>
      <c r="K96" s="27"/>
      <c r="L96" s="27"/>
      <c r="M96" s="27"/>
      <c r="N96" s="27"/>
      <c r="O96" s="27"/>
      <c r="P96" s="27"/>
    </row>
    <row r="97">
      <c r="A97" s="30" t="s">
        <v>78</v>
      </c>
      <c r="B97" s="31">
        <v>7999.0</v>
      </c>
      <c r="C97" s="44">
        <v>4.73</v>
      </c>
      <c r="D97" s="25">
        <v>4.63</v>
      </c>
      <c r="E97" s="28">
        <v>37835.270000000004</v>
      </c>
      <c r="F97" s="33">
        <v>799.9000000000043</v>
      </c>
      <c r="G97" s="34"/>
      <c r="H97" s="28">
        <v>470110.9900000001</v>
      </c>
      <c r="I97" s="27"/>
      <c r="J97" s="27"/>
      <c r="K97" s="27"/>
      <c r="L97" s="27"/>
      <c r="M97" s="27"/>
      <c r="N97" s="27"/>
      <c r="O97" s="27"/>
      <c r="P97" s="27"/>
    </row>
    <row r="98">
      <c r="A98" s="30" t="s">
        <v>90</v>
      </c>
      <c r="B98" s="35"/>
      <c r="C98" s="27"/>
      <c r="D98" s="36"/>
      <c r="E98" s="34"/>
      <c r="F98" s="38"/>
      <c r="G98" s="28">
        <v>200000.0</v>
      </c>
      <c r="H98" s="28">
        <v>270110.9900000001</v>
      </c>
      <c r="I98" s="27"/>
      <c r="J98" s="27"/>
      <c r="K98" s="27"/>
      <c r="L98" s="27"/>
      <c r="M98" s="27"/>
      <c r="N98" s="27"/>
      <c r="O98" s="27"/>
      <c r="P98" s="27"/>
    </row>
    <row r="99">
      <c r="A99" s="30" t="s">
        <v>81</v>
      </c>
      <c r="B99" s="31">
        <v>1499.0</v>
      </c>
      <c r="C99" s="44">
        <v>4.73</v>
      </c>
      <c r="D99" s="25">
        <v>4.69</v>
      </c>
      <c r="E99" s="28">
        <v>7090.27</v>
      </c>
      <c r="F99" s="33">
        <v>59.96000000000005</v>
      </c>
      <c r="G99" s="34"/>
      <c r="H99" s="28">
        <v>277201.2600000001</v>
      </c>
      <c r="I99" s="27"/>
      <c r="J99" s="27"/>
      <c r="K99" s="27"/>
      <c r="L99" s="27"/>
      <c r="M99" s="27"/>
      <c r="N99" s="27"/>
      <c r="O99" s="27"/>
      <c r="P99" s="27"/>
    </row>
    <row r="100">
      <c r="A100" s="30" t="s">
        <v>85</v>
      </c>
      <c r="B100" s="35"/>
      <c r="C100" s="27"/>
      <c r="D100" s="36"/>
      <c r="E100" s="34"/>
      <c r="F100" s="38"/>
      <c r="G100" s="28">
        <v>80000.0</v>
      </c>
      <c r="H100" s="28">
        <v>197201.26000000013</v>
      </c>
      <c r="I100" s="27"/>
      <c r="J100" s="27"/>
      <c r="K100" s="27"/>
      <c r="L100" s="27"/>
      <c r="M100" s="27"/>
      <c r="N100" s="27"/>
      <c r="O100" s="27"/>
      <c r="P100" s="27"/>
    </row>
    <row r="101">
      <c r="A101" s="27"/>
      <c r="B101" s="35"/>
      <c r="C101" s="27"/>
      <c r="D101" s="36"/>
      <c r="E101" s="34"/>
      <c r="F101" s="38"/>
      <c r="G101" s="34"/>
      <c r="H101" s="34"/>
      <c r="I101" s="27"/>
      <c r="J101" s="27"/>
      <c r="K101" s="27"/>
      <c r="L101" s="27"/>
      <c r="M101" s="27"/>
      <c r="N101" s="27"/>
      <c r="O101" s="27"/>
      <c r="P101" s="27"/>
    </row>
    <row r="102">
      <c r="A102" s="27"/>
      <c r="B102" s="35"/>
      <c r="C102" s="27"/>
      <c r="D102" s="36"/>
      <c r="E102" s="34"/>
      <c r="F102" s="38"/>
      <c r="G102" s="34"/>
      <c r="H102" s="34"/>
      <c r="I102" s="27"/>
      <c r="J102" s="27"/>
      <c r="K102" s="27"/>
      <c r="L102" s="27"/>
      <c r="M102" s="27"/>
      <c r="N102" s="27"/>
      <c r="O102" s="27"/>
      <c r="P102" s="27"/>
    </row>
    <row r="103">
      <c r="A103" s="27"/>
      <c r="B103" s="35"/>
      <c r="C103" s="27"/>
      <c r="D103" s="36"/>
      <c r="E103" s="34"/>
      <c r="F103" s="38"/>
      <c r="G103" s="34"/>
      <c r="H103" s="34"/>
      <c r="I103" s="27"/>
      <c r="J103" s="27"/>
      <c r="K103" s="27"/>
      <c r="L103" s="27"/>
      <c r="M103" s="27"/>
      <c r="N103" s="27"/>
      <c r="O103" s="27"/>
      <c r="P103" s="27"/>
    </row>
    <row r="104">
      <c r="A104" s="27"/>
      <c r="B104" s="35"/>
      <c r="C104" s="27"/>
      <c r="D104" s="36"/>
      <c r="E104" s="34"/>
      <c r="F104" s="38"/>
      <c r="G104" s="34"/>
      <c r="H104" s="34"/>
      <c r="I104" s="27"/>
      <c r="J104" s="27"/>
      <c r="K104" s="27"/>
      <c r="L104" s="27"/>
      <c r="M104" s="27"/>
      <c r="N104" s="27"/>
      <c r="O104" s="27"/>
      <c r="P104" s="27"/>
    </row>
    <row r="105">
      <c r="A105" s="27"/>
      <c r="B105" s="35"/>
      <c r="C105" s="27"/>
      <c r="D105" s="36"/>
      <c r="E105" s="34"/>
      <c r="F105" s="38"/>
      <c r="G105" s="34"/>
      <c r="H105" s="34"/>
      <c r="I105" s="27"/>
      <c r="J105" s="27"/>
      <c r="K105" s="27"/>
      <c r="L105" s="27"/>
      <c r="M105" s="27"/>
      <c r="N105" s="27"/>
      <c r="O105" s="27"/>
      <c r="P105" s="27"/>
    </row>
    <row r="106">
      <c r="A106" s="27"/>
      <c r="B106" s="35"/>
      <c r="C106" s="27"/>
      <c r="D106" s="36"/>
      <c r="E106" s="34"/>
      <c r="F106" s="38"/>
      <c r="G106" s="34"/>
      <c r="H106" s="34"/>
      <c r="I106" s="27"/>
      <c r="J106" s="27"/>
      <c r="K106" s="27"/>
      <c r="L106" s="27"/>
      <c r="M106" s="27"/>
      <c r="N106" s="27"/>
      <c r="O106" s="27"/>
      <c r="P106" s="27"/>
    </row>
    <row r="107">
      <c r="A107" s="27"/>
      <c r="B107" s="35"/>
      <c r="C107" s="27"/>
      <c r="D107" s="36"/>
      <c r="E107" s="34"/>
      <c r="F107" s="38"/>
      <c r="G107" s="34"/>
      <c r="H107" s="34"/>
      <c r="I107" s="27"/>
      <c r="J107" s="27"/>
      <c r="K107" s="27"/>
      <c r="L107" s="27"/>
      <c r="M107" s="27"/>
      <c r="N107" s="27"/>
      <c r="O107" s="27"/>
      <c r="P107" s="27"/>
    </row>
    <row r="108">
      <c r="A108" s="27"/>
      <c r="B108" s="35"/>
      <c r="C108" s="27"/>
      <c r="D108" s="36"/>
      <c r="E108" s="34"/>
      <c r="F108" s="38"/>
      <c r="G108" s="34"/>
      <c r="H108" s="34"/>
      <c r="I108" s="27"/>
      <c r="J108" s="27"/>
      <c r="K108" s="27"/>
      <c r="L108" s="27"/>
      <c r="M108" s="27"/>
      <c r="N108" s="27"/>
      <c r="O108" s="27"/>
      <c r="P108" s="27"/>
    </row>
    <row r="109">
      <c r="A109" s="27"/>
      <c r="B109" s="35"/>
      <c r="C109" s="27"/>
      <c r="D109" s="36"/>
      <c r="E109" s="34"/>
      <c r="F109" s="38"/>
      <c r="G109" s="34"/>
      <c r="H109" s="34"/>
      <c r="I109" s="27"/>
      <c r="J109" s="27"/>
      <c r="K109" s="27"/>
      <c r="L109" s="27"/>
      <c r="M109" s="27"/>
      <c r="N109" s="27"/>
      <c r="O109" s="27"/>
      <c r="P109" s="27"/>
    </row>
    <row r="110">
      <c r="A110" s="27"/>
      <c r="B110" s="35"/>
      <c r="C110" s="27"/>
      <c r="D110" s="36"/>
      <c r="E110" s="34"/>
      <c r="F110" s="38"/>
      <c r="G110" s="34"/>
      <c r="H110" s="34"/>
      <c r="I110" s="27"/>
      <c r="J110" s="27"/>
      <c r="K110" s="27"/>
      <c r="L110" s="27"/>
      <c r="M110" s="27"/>
      <c r="N110" s="27"/>
      <c r="O110" s="27"/>
      <c r="P110" s="27"/>
    </row>
    <row r="111">
      <c r="A111" s="27"/>
      <c r="B111" s="35"/>
      <c r="C111" s="27"/>
      <c r="D111" s="36"/>
      <c r="E111" s="34"/>
      <c r="F111" s="38"/>
      <c r="G111" s="34"/>
      <c r="H111" s="34"/>
      <c r="I111" s="27"/>
      <c r="J111" s="27"/>
      <c r="K111" s="27"/>
      <c r="L111" s="27"/>
      <c r="M111" s="27"/>
      <c r="N111" s="27"/>
      <c r="O111" s="27"/>
      <c r="P111" s="27"/>
    </row>
    <row r="112">
      <c r="A112" s="27"/>
      <c r="B112" s="35"/>
      <c r="C112" s="27"/>
      <c r="D112" s="36"/>
      <c r="E112" s="34"/>
      <c r="F112" s="38"/>
      <c r="G112" s="34"/>
      <c r="H112" s="34"/>
      <c r="I112" s="27"/>
      <c r="J112" s="27"/>
      <c r="K112" s="27"/>
      <c r="L112" s="27"/>
      <c r="M112" s="27"/>
      <c r="N112" s="27"/>
      <c r="O112" s="27"/>
      <c r="P112" s="27"/>
    </row>
    <row r="113">
      <c r="A113" s="27"/>
      <c r="B113" s="35"/>
      <c r="C113" s="27"/>
      <c r="D113" s="36"/>
      <c r="E113" s="34"/>
      <c r="F113" s="38"/>
      <c r="G113" s="34"/>
      <c r="H113" s="34"/>
      <c r="I113" s="27"/>
      <c r="J113" s="27"/>
      <c r="K113" s="27"/>
      <c r="L113" s="27"/>
      <c r="M113" s="27"/>
      <c r="N113" s="27"/>
      <c r="O113" s="27"/>
      <c r="P113" s="27"/>
    </row>
    <row r="114">
      <c r="A114" s="27"/>
      <c r="B114" s="35"/>
      <c r="C114" s="27"/>
      <c r="D114" s="36"/>
      <c r="E114" s="34"/>
      <c r="F114" s="38"/>
      <c r="G114" s="34"/>
      <c r="H114" s="34"/>
      <c r="I114" s="27"/>
      <c r="J114" s="27"/>
      <c r="K114" s="27"/>
      <c r="L114" s="27"/>
      <c r="M114" s="27"/>
      <c r="N114" s="27"/>
      <c r="O114" s="27"/>
      <c r="P114" s="27"/>
    </row>
    <row r="115">
      <c r="A115" s="27"/>
      <c r="B115" s="35"/>
      <c r="C115" s="27"/>
      <c r="D115" s="36"/>
      <c r="E115" s="34"/>
      <c r="F115" s="38"/>
      <c r="G115" s="34"/>
      <c r="H115" s="34"/>
      <c r="I115" s="27"/>
      <c r="J115" s="27"/>
      <c r="K115" s="27"/>
      <c r="L115" s="27"/>
      <c r="M115" s="27"/>
      <c r="N115" s="27"/>
      <c r="O115" s="27"/>
      <c r="P115" s="27"/>
    </row>
    <row r="116">
      <c r="A116" s="27"/>
      <c r="B116" s="35"/>
      <c r="C116" s="27"/>
      <c r="D116" s="36"/>
      <c r="E116" s="34"/>
      <c r="F116" s="38"/>
      <c r="G116" s="34"/>
      <c r="H116" s="34"/>
      <c r="I116" s="27"/>
      <c r="J116" s="27"/>
      <c r="K116" s="27"/>
      <c r="L116" s="27"/>
      <c r="M116" s="27"/>
      <c r="N116" s="27"/>
      <c r="O116" s="27"/>
      <c r="P116" s="27"/>
    </row>
    <row r="117">
      <c r="A117" s="27"/>
      <c r="B117" s="35"/>
      <c r="C117" s="27"/>
      <c r="D117" s="36"/>
      <c r="E117" s="34"/>
      <c r="F117" s="38"/>
      <c r="G117" s="34"/>
      <c r="H117" s="34"/>
      <c r="I117" s="27"/>
      <c r="J117" s="27"/>
      <c r="K117" s="27"/>
      <c r="L117" s="27"/>
      <c r="M117" s="27"/>
      <c r="N117" s="27"/>
      <c r="O117" s="27"/>
      <c r="P117" s="27"/>
    </row>
    <row r="118">
      <c r="A118" s="27"/>
      <c r="B118" s="35"/>
      <c r="C118" s="27"/>
      <c r="D118" s="36"/>
      <c r="E118" s="34"/>
      <c r="F118" s="38"/>
      <c r="G118" s="34"/>
      <c r="H118" s="34"/>
      <c r="I118" s="27"/>
      <c r="J118" s="27"/>
      <c r="K118" s="27"/>
      <c r="L118" s="27"/>
      <c r="M118" s="27"/>
      <c r="N118" s="27"/>
      <c r="O118" s="27"/>
      <c r="P118" s="27"/>
    </row>
    <row r="119">
      <c r="A119" s="27"/>
      <c r="B119" s="35"/>
      <c r="C119" s="27"/>
      <c r="D119" s="36"/>
      <c r="E119" s="34"/>
      <c r="F119" s="38"/>
      <c r="G119" s="34"/>
      <c r="H119" s="34"/>
      <c r="I119" s="27"/>
      <c r="J119" s="27"/>
      <c r="K119" s="27"/>
      <c r="L119" s="27"/>
      <c r="M119" s="27"/>
      <c r="N119" s="27"/>
      <c r="O119" s="27"/>
      <c r="P119" s="27"/>
    </row>
    <row r="120">
      <c r="A120" s="27"/>
      <c r="B120" s="35"/>
      <c r="C120" s="27"/>
      <c r="D120" s="36"/>
      <c r="E120" s="34"/>
      <c r="F120" s="38"/>
      <c r="G120" s="34"/>
      <c r="H120" s="34"/>
      <c r="I120" s="27"/>
      <c r="J120" s="27"/>
      <c r="K120" s="27"/>
      <c r="L120" s="27"/>
      <c r="M120" s="27"/>
      <c r="N120" s="27"/>
      <c r="O120" s="27"/>
      <c r="P120" s="27"/>
    </row>
    <row r="121">
      <c r="A121" s="27"/>
      <c r="B121" s="35"/>
      <c r="C121" s="27"/>
      <c r="D121" s="36"/>
      <c r="E121" s="34"/>
      <c r="F121" s="38"/>
      <c r="G121" s="34"/>
      <c r="H121" s="34"/>
      <c r="I121" s="27"/>
      <c r="J121" s="27"/>
      <c r="K121" s="27"/>
      <c r="L121" s="27"/>
      <c r="M121" s="27"/>
      <c r="N121" s="27"/>
      <c r="O121" s="27"/>
      <c r="P121" s="27"/>
    </row>
    <row r="122">
      <c r="A122" s="27"/>
      <c r="B122" s="35"/>
      <c r="C122" s="27"/>
      <c r="D122" s="36"/>
      <c r="E122" s="34"/>
      <c r="F122" s="38"/>
      <c r="G122" s="34"/>
      <c r="H122" s="34"/>
      <c r="I122" s="27"/>
      <c r="J122" s="27"/>
      <c r="K122" s="27"/>
      <c r="L122" s="27"/>
      <c r="M122" s="27"/>
      <c r="N122" s="27"/>
      <c r="O122" s="27"/>
      <c r="P122" s="27"/>
    </row>
    <row r="123">
      <c r="A123" s="27"/>
      <c r="B123" s="35"/>
      <c r="C123" s="27"/>
      <c r="D123" s="36"/>
      <c r="E123" s="34"/>
      <c r="F123" s="38"/>
      <c r="G123" s="34"/>
      <c r="H123" s="34"/>
      <c r="I123" s="27"/>
      <c r="J123" s="27"/>
      <c r="K123" s="27"/>
      <c r="L123" s="27"/>
      <c r="M123" s="27"/>
      <c r="N123" s="27"/>
      <c r="O123" s="27"/>
      <c r="P123" s="27"/>
    </row>
    <row r="124">
      <c r="A124" s="27"/>
      <c r="B124" s="35"/>
      <c r="C124" s="27"/>
      <c r="D124" s="36"/>
      <c r="E124" s="34"/>
      <c r="F124" s="38"/>
      <c r="G124" s="34"/>
      <c r="H124" s="34"/>
      <c r="I124" s="27"/>
      <c r="J124" s="27"/>
      <c r="K124" s="27"/>
      <c r="L124" s="27"/>
      <c r="M124" s="27"/>
      <c r="N124" s="27"/>
      <c r="O124" s="27"/>
      <c r="P124" s="27"/>
    </row>
    <row r="125">
      <c r="A125" s="27"/>
      <c r="B125" s="35"/>
      <c r="C125" s="27"/>
      <c r="D125" s="36"/>
      <c r="E125" s="34"/>
      <c r="F125" s="38"/>
      <c r="G125" s="34"/>
      <c r="H125" s="34"/>
      <c r="I125" s="27"/>
      <c r="J125" s="27"/>
      <c r="K125" s="27"/>
      <c r="L125" s="27"/>
      <c r="M125" s="27"/>
      <c r="N125" s="27"/>
      <c r="O125" s="27"/>
      <c r="P125" s="27"/>
    </row>
    <row r="126">
      <c r="A126" s="27"/>
      <c r="B126" s="35"/>
      <c r="C126" s="27"/>
      <c r="D126" s="36"/>
      <c r="E126" s="34"/>
      <c r="F126" s="38"/>
      <c r="G126" s="34"/>
      <c r="H126" s="34"/>
      <c r="I126" s="27"/>
      <c r="J126" s="27"/>
      <c r="K126" s="27"/>
      <c r="L126" s="27"/>
      <c r="M126" s="27"/>
      <c r="N126" s="27"/>
      <c r="O126" s="27"/>
      <c r="P126" s="27"/>
    </row>
    <row r="127">
      <c r="A127" s="27"/>
      <c r="B127" s="35"/>
      <c r="C127" s="27"/>
      <c r="D127" s="36"/>
      <c r="E127" s="34"/>
      <c r="F127" s="38"/>
      <c r="G127" s="34"/>
      <c r="H127" s="34"/>
      <c r="I127" s="27"/>
      <c r="J127" s="27"/>
      <c r="K127" s="27"/>
      <c r="L127" s="27"/>
      <c r="M127" s="27"/>
      <c r="N127" s="27"/>
      <c r="O127" s="27"/>
      <c r="P127" s="27"/>
    </row>
    <row r="128">
      <c r="A128" s="27"/>
      <c r="B128" s="35"/>
      <c r="C128" s="27"/>
      <c r="D128" s="36"/>
      <c r="E128" s="34"/>
      <c r="F128" s="38"/>
      <c r="G128" s="34"/>
      <c r="H128" s="34"/>
      <c r="I128" s="27"/>
      <c r="J128" s="27"/>
      <c r="K128" s="27"/>
      <c r="L128" s="27"/>
      <c r="M128" s="27"/>
      <c r="N128" s="27"/>
      <c r="O128" s="27"/>
      <c r="P128" s="27"/>
    </row>
    <row r="129">
      <c r="A129" s="27"/>
      <c r="B129" s="35"/>
      <c r="C129" s="27"/>
      <c r="D129" s="36"/>
      <c r="E129" s="34"/>
      <c r="F129" s="38"/>
      <c r="G129" s="34"/>
      <c r="H129" s="34"/>
      <c r="I129" s="27"/>
      <c r="J129" s="27"/>
      <c r="K129" s="27"/>
      <c r="L129" s="27"/>
      <c r="M129" s="27"/>
      <c r="N129" s="27"/>
      <c r="O129" s="27"/>
      <c r="P129" s="27"/>
    </row>
    <row r="130">
      <c r="A130" s="27"/>
      <c r="B130" s="35"/>
      <c r="C130" s="27"/>
      <c r="D130" s="36"/>
      <c r="E130" s="34"/>
      <c r="F130" s="38"/>
      <c r="G130" s="34"/>
      <c r="H130" s="34"/>
      <c r="I130" s="27"/>
      <c r="J130" s="27"/>
      <c r="K130" s="27"/>
      <c r="L130" s="27"/>
      <c r="M130" s="27"/>
      <c r="N130" s="27"/>
      <c r="O130" s="27"/>
      <c r="P130" s="27"/>
    </row>
    <row r="131">
      <c r="A131" s="27"/>
      <c r="B131" s="35"/>
      <c r="C131" s="27"/>
      <c r="D131" s="36"/>
      <c r="E131" s="34"/>
      <c r="F131" s="38"/>
      <c r="G131" s="34"/>
      <c r="H131" s="34"/>
      <c r="I131" s="27"/>
      <c r="J131" s="27"/>
      <c r="K131" s="27"/>
      <c r="L131" s="27"/>
      <c r="M131" s="27"/>
      <c r="N131" s="27"/>
      <c r="O131" s="27"/>
      <c r="P131" s="27"/>
    </row>
    <row r="132">
      <c r="A132" s="27"/>
      <c r="B132" s="35"/>
      <c r="C132" s="27"/>
      <c r="D132" s="36"/>
      <c r="E132" s="34"/>
      <c r="F132" s="38"/>
      <c r="G132" s="34"/>
      <c r="H132" s="34"/>
      <c r="I132" s="27"/>
      <c r="J132" s="27"/>
      <c r="K132" s="27"/>
      <c r="L132" s="27"/>
      <c r="M132" s="27"/>
      <c r="N132" s="27"/>
      <c r="O132" s="27"/>
      <c r="P132" s="27"/>
    </row>
    <row r="133">
      <c r="A133" s="27"/>
      <c r="B133" s="35"/>
      <c r="C133" s="27"/>
      <c r="D133" s="36"/>
      <c r="E133" s="34"/>
      <c r="F133" s="38"/>
      <c r="G133" s="34"/>
      <c r="H133" s="34"/>
      <c r="I133" s="27"/>
      <c r="J133" s="27"/>
      <c r="K133" s="27"/>
      <c r="L133" s="27"/>
      <c r="M133" s="27"/>
      <c r="N133" s="27"/>
      <c r="O133" s="27"/>
      <c r="P133" s="27"/>
    </row>
    <row r="134">
      <c r="A134" s="27"/>
      <c r="B134" s="35"/>
      <c r="C134" s="27"/>
      <c r="D134" s="36"/>
      <c r="E134" s="34"/>
      <c r="F134" s="38"/>
      <c r="G134" s="34"/>
      <c r="H134" s="34"/>
      <c r="I134" s="27"/>
      <c r="J134" s="27"/>
      <c r="K134" s="27"/>
      <c r="L134" s="27"/>
      <c r="M134" s="27"/>
      <c r="N134" s="27"/>
      <c r="O134" s="27"/>
      <c r="P134" s="27"/>
    </row>
    <row r="135">
      <c r="A135" s="27"/>
      <c r="B135" s="35"/>
      <c r="C135" s="27"/>
      <c r="D135" s="36"/>
      <c r="E135" s="34"/>
      <c r="F135" s="38"/>
      <c r="G135" s="34"/>
      <c r="H135" s="34"/>
      <c r="I135" s="27"/>
      <c r="J135" s="27"/>
      <c r="K135" s="27"/>
      <c r="L135" s="27"/>
      <c r="M135" s="27"/>
      <c r="N135" s="27"/>
      <c r="O135" s="27"/>
      <c r="P135" s="27"/>
    </row>
    <row r="136">
      <c r="A136" s="27"/>
      <c r="B136" s="35"/>
      <c r="C136" s="27"/>
      <c r="D136" s="36"/>
      <c r="E136" s="34"/>
      <c r="F136" s="38"/>
      <c r="G136" s="34"/>
      <c r="H136" s="34"/>
      <c r="I136" s="27"/>
      <c r="J136" s="27"/>
      <c r="K136" s="27"/>
      <c r="L136" s="27"/>
      <c r="M136" s="27"/>
      <c r="N136" s="27"/>
      <c r="O136" s="27"/>
      <c r="P136" s="27"/>
    </row>
    <row r="137">
      <c r="A137" s="27"/>
      <c r="B137" s="35"/>
      <c r="C137" s="27"/>
      <c r="D137" s="36"/>
      <c r="E137" s="34"/>
      <c r="F137" s="38"/>
      <c r="G137" s="34"/>
      <c r="H137" s="34"/>
      <c r="I137" s="27"/>
      <c r="J137" s="27"/>
      <c r="K137" s="27"/>
      <c r="L137" s="27"/>
      <c r="M137" s="27"/>
      <c r="N137" s="27"/>
      <c r="O137" s="27"/>
      <c r="P137" s="27"/>
    </row>
    <row r="138">
      <c r="A138" s="27"/>
      <c r="B138" s="35"/>
      <c r="C138" s="27"/>
      <c r="D138" s="36"/>
      <c r="E138" s="34"/>
      <c r="F138" s="38"/>
      <c r="G138" s="34"/>
      <c r="H138" s="34"/>
      <c r="I138" s="27"/>
      <c r="J138" s="27"/>
      <c r="K138" s="27"/>
      <c r="L138" s="27"/>
      <c r="M138" s="27"/>
      <c r="N138" s="27"/>
      <c r="O138" s="27"/>
      <c r="P138" s="27"/>
    </row>
    <row r="139">
      <c r="A139" s="27"/>
      <c r="B139" s="35"/>
      <c r="C139" s="27"/>
      <c r="D139" s="36"/>
      <c r="E139" s="34"/>
      <c r="F139" s="38"/>
      <c r="G139" s="34"/>
      <c r="H139" s="34"/>
      <c r="I139" s="27"/>
      <c r="J139" s="27"/>
      <c r="K139" s="27"/>
      <c r="L139" s="27"/>
      <c r="M139" s="27"/>
      <c r="N139" s="27"/>
      <c r="O139" s="27"/>
      <c r="P139" s="27"/>
    </row>
    <row r="140">
      <c r="A140" s="27"/>
      <c r="B140" s="35"/>
      <c r="C140" s="27"/>
      <c r="D140" s="36"/>
      <c r="E140" s="34"/>
      <c r="F140" s="38"/>
      <c r="G140" s="34"/>
      <c r="H140" s="34"/>
      <c r="I140" s="27"/>
      <c r="J140" s="27"/>
      <c r="K140" s="27"/>
      <c r="L140" s="27"/>
      <c r="M140" s="27"/>
      <c r="N140" s="27"/>
      <c r="O140" s="27"/>
      <c r="P140" s="27"/>
    </row>
    <row r="141">
      <c r="A141" s="27"/>
      <c r="B141" s="35"/>
      <c r="C141" s="27"/>
      <c r="D141" s="36"/>
      <c r="E141" s="34"/>
      <c r="F141" s="38"/>
      <c r="G141" s="34"/>
      <c r="H141" s="34"/>
      <c r="I141" s="27"/>
      <c r="J141" s="27"/>
      <c r="K141" s="27"/>
      <c r="L141" s="27"/>
      <c r="M141" s="27"/>
      <c r="N141" s="27"/>
      <c r="O141" s="27"/>
      <c r="P141" s="27"/>
    </row>
    <row r="142">
      <c r="A142" s="27"/>
      <c r="B142" s="35"/>
      <c r="C142" s="27"/>
      <c r="D142" s="36"/>
      <c r="E142" s="34"/>
      <c r="F142" s="38"/>
      <c r="G142" s="34"/>
      <c r="H142" s="34"/>
      <c r="I142" s="27"/>
      <c r="J142" s="27"/>
      <c r="K142" s="27"/>
      <c r="L142" s="27"/>
      <c r="M142" s="27"/>
      <c r="N142" s="27"/>
      <c r="O142" s="27"/>
      <c r="P142" s="27"/>
    </row>
    <row r="143">
      <c r="A143" s="27"/>
      <c r="B143" s="35"/>
      <c r="C143" s="27"/>
      <c r="D143" s="36"/>
      <c r="E143" s="34"/>
      <c r="F143" s="38"/>
      <c r="G143" s="34"/>
      <c r="H143" s="34"/>
      <c r="I143" s="27"/>
      <c r="J143" s="27"/>
      <c r="K143" s="27"/>
      <c r="L143" s="27"/>
      <c r="M143" s="27"/>
      <c r="N143" s="27"/>
      <c r="O143" s="27"/>
      <c r="P143" s="27"/>
    </row>
    <row r="144">
      <c r="A144" s="27"/>
      <c r="B144" s="35"/>
      <c r="C144" s="27"/>
      <c r="D144" s="36"/>
      <c r="E144" s="34"/>
      <c r="F144" s="38"/>
      <c r="G144" s="34"/>
      <c r="H144" s="34"/>
      <c r="I144" s="27"/>
      <c r="J144" s="27"/>
      <c r="K144" s="27"/>
      <c r="L144" s="27"/>
      <c r="M144" s="27"/>
      <c r="N144" s="27"/>
      <c r="O144" s="27"/>
      <c r="P144" s="27"/>
    </row>
    <row r="145">
      <c r="A145" s="27"/>
      <c r="B145" s="35"/>
      <c r="C145" s="27"/>
      <c r="D145" s="36"/>
      <c r="E145" s="34"/>
      <c r="F145" s="38"/>
      <c r="G145" s="34"/>
      <c r="H145" s="34"/>
      <c r="I145" s="27"/>
      <c r="J145" s="27"/>
      <c r="K145" s="27"/>
      <c r="L145" s="27"/>
      <c r="M145" s="27"/>
      <c r="N145" s="27"/>
      <c r="O145" s="27"/>
      <c r="P145" s="27"/>
    </row>
    <row r="146">
      <c r="A146" s="27"/>
      <c r="B146" s="35"/>
      <c r="C146" s="27"/>
      <c r="D146" s="36"/>
      <c r="E146" s="34"/>
      <c r="F146" s="38"/>
      <c r="G146" s="34"/>
      <c r="H146" s="34"/>
      <c r="I146" s="27"/>
      <c r="J146" s="27"/>
      <c r="K146" s="27"/>
      <c r="L146" s="27"/>
      <c r="M146" s="27"/>
      <c r="N146" s="27"/>
      <c r="O146" s="27"/>
      <c r="P146" s="27"/>
    </row>
    <row r="147">
      <c r="A147" s="27"/>
      <c r="B147" s="35"/>
      <c r="C147" s="27"/>
      <c r="D147" s="36"/>
      <c r="E147" s="34"/>
      <c r="F147" s="38"/>
      <c r="G147" s="34"/>
      <c r="H147" s="34"/>
      <c r="I147" s="27"/>
      <c r="J147" s="27"/>
      <c r="K147" s="27"/>
      <c r="L147" s="27"/>
      <c r="M147" s="27"/>
      <c r="N147" s="27"/>
      <c r="O147" s="27"/>
      <c r="P147" s="27"/>
    </row>
    <row r="148">
      <c r="A148" s="27"/>
      <c r="B148" s="35"/>
      <c r="C148" s="27"/>
      <c r="D148" s="36"/>
      <c r="E148" s="34"/>
      <c r="F148" s="38"/>
      <c r="G148" s="34"/>
      <c r="H148" s="34"/>
      <c r="I148" s="27"/>
      <c r="J148" s="27"/>
      <c r="K148" s="27"/>
      <c r="L148" s="27"/>
      <c r="M148" s="27"/>
      <c r="N148" s="27"/>
      <c r="O148" s="27"/>
      <c r="P148" s="27"/>
    </row>
    <row r="149">
      <c r="A149" s="27"/>
      <c r="B149" s="35"/>
      <c r="C149" s="27"/>
      <c r="D149" s="36"/>
      <c r="E149" s="34"/>
      <c r="F149" s="38"/>
      <c r="G149" s="34"/>
      <c r="H149" s="34"/>
      <c r="I149" s="27"/>
      <c r="J149" s="27"/>
      <c r="K149" s="27"/>
      <c r="L149" s="27"/>
      <c r="M149" s="27"/>
      <c r="N149" s="27"/>
      <c r="O149" s="27"/>
      <c r="P149" s="27"/>
    </row>
    <row r="150">
      <c r="A150" s="27"/>
      <c r="B150" s="35"/>
      <c r="C150" s="27"/>
      <c r="D150" s="36"/>
      <c r="E150" s="34"/>
      <c r="F150" s="38"/>
      <c r="G150" s="34"/>
      <c r="H150" s="34"/>
      <c r="I150" s="27"/>
      <c r="J150" s="27"/>
      <c r="K150" s="27"/>
      <c r="L150" s="27"/>
      <c r="M150" s="27"/>
      <c r="N150" s="27"/>
      <c r="O150" s="27"/>
      <c r="P150" s="27"/>
    </row>
    <row r="151">
      <c r="A151" s="27"/>
      <c r="B151" s="35"/>
      <c r="C151" s="27"/>
      <c r="D151" s="36"/>
      <c r="E151" s="34"/>
      <c r="F151" s="38"/>
      <c r="G151" s="34"/>
      <c r="H151" s="34"/>
      <c r="I151" s="27"/>
      <c r="J151" s="27"/>
      <c r="K151" s="27"/>
      <c r="L151" s="27"/>
      <c r="M151" s="27"/>
      <c r="N151" s="27"/>
      <c r="O151" s="27"/>
      <c r="P151" s="27"/>
    </row>
    <row r="152">
      <c r="A152" s="27"/>
      <c r="B152" s="35"/>
      <c r="C152" s="27"/>
      <c r="D152" s="36"/>
      <c r="E152" s="34"/>
      <c r="F152" s="38"/>
      <c r="G152" s="34"/>
      <c r="H152" s="34"/>
      <c r="I152" s="27"/>
      <c r="J152" s="27"/>
      <c r="K152" s="27"/>
      <c r="L152" s="27"/>
      <c r="M152" s="27"/>
      <c r="N152" s="27"/>
      <c r="O152" s="27"/>
      <c r="P152" s="27"/>
    </row>
    <row r="153">
      <c r="A153" s="27"/>
      <c r="B153" s="35"/>
      <c r="C153" s="27"/>
      <c r="D153" s="36"/>
      <c r="E153" s="34"/>
      <c r="F153" s="38"/>
      <c r="G153" s="34"/>
      <c r="H153" s="34"/>
      <c r="I153" s="27"/>
      <c r="J153" s="27"/>
      <c r="K153" s="27"/>
      <c r="L153" s="27"/>
      <c r="M153" s="27"/>
      <c r="N153" s="27"/>
      <c r="O153" s="27"/>
      <c r="P153" s="27"/>
    </row>
    <row r="154">
      <c r="A154" s="27"/>
      <c r="B154" s="35"/>
      <c r="C154" s="27"/>
      <c r="D154" s="36"/>
      <c r="E154" s="34"/>
      <c r="F154" s="38"/>
      <c r="G154" s="34"/>
      <c r="H154" s="34"/>
      <c r="I154" s="27"/>
      <c r="J154" s="27"/>
      <c r="K154" s="27"/>
      <c r="L154" s="27"/>
      <c r="M154" s="27"/>
      <c r="N154" s="27"/>
      <c r="O154" s="27"/>
      <c r="P154" s="27"/>
    </row>
    <row r="155">
      <c r="A155" s="27"/>
      <c r="B155" s="35"/>
      <c r="C155" s="27"/>
      <c r="D155" s="36"/>
      <c r="E155" s="34"/>
      <c r="F155" s="38"/>
      <c r="G155" s="34"/>
      <c r="H155" s="34"/>
      <c r="I155" s="27"/>
      <c r="J155" s="27"/>
      <c r="K155" s="27"/>
      <c r="L155" s="27"/>
      <c r="M155" s="27"/>
      <c r="N155" s="27"/>
      <c r="O155" s="27"/>
      <c r="P155" s="27"/>
    </row>
    <row r="156">
      <c r="A156" s="27"/>
      <c r="B156" s="35"/>
      <c r="C156" s="27"/>
      <c r="D156" s="36"/>
      <c r="E156" s="34"/>
      <c r="F156" s="38"/>
      <c r="G156" s="34"/>
      <c r="H156" s="34"/>
      <c r="I156" s="27"/>
      <c r="J156" s="27"/>
      <c r="K156" s="27"/>
      <c r="L156" s="27"/>
      <c r="M156" s="27"/>
      <c r="N156" s="27"/>
      <c r="O156" s="27"/>
      <c r="P156" s="27"/>
    </row>
    <row r="157">
      <c r="A157" s="27"/>
      <c r="B157" s="35"/>
      <c r="C157" s="27"/>
      <c r="D157" s="36"/>
      <c r="E157" s="34"/>
      <c r="F157" s="38"/>
      <c r="G157" s="34"/>
      <c r="H157" s="34"/>
      <c r="I157" s="27"/>
      <c r="J157" s="27"/>
      <c r="K157" s="27"/>
      <c r="L157" s="27"/>
      <c r="M157" s="27"/>
      <c r="N157" s="27"/>
      <c r="O157" s="27"/>
      <c r="P157" s="27"/>
    </row>
    <row r="158">
      <c r="A158" s="27"/>
      <c r="B158" s="35"/>
      <c r="C158" s="27"/>
      <c r="D158" s="36"/>
      <c r="E158" s="34"/>
      <c r="F158" s="38"/>
      <c r="G158" s="34"/>
      <c r="H158" s="34"/>
      <c r="I158" s="27"/>
      <c r="J158" s="27"/>
      <c r="K158" s="27"/>
      <c r="L158" s="27"/>
      <c r="M158" s="27"/>
      <c r="N158" s="27"/>
      <c r="O158" s="27"/>
      <c r="P158" s="27"/>
    </row>
    <row r="159">
      <c r="A159" s="27"/>
      <c r="B159" s="35"/>
      <c r="C159" s="27"/>
      <c r="D159" s="36"/>
      <c r="E159" s="34"/>
      <c r="F159" s="38"/>
      <c r="G159" s="34"/>
      <c r="H159" s="34"/>
      <c r="I159" s="27"/>
      <c r="J159" s="27"/>
      <c r="K159" s="27"/>
      <c r="L159" s="27"/>
      <c r="M159" s="27"/>
      <c r="N159" s="27"/>
      <c r="O159" s="27"/>
      <c r="P159" s="27"/>
    </row>
    <row r="160">
      <c r="A160" s="27"/>
      <c r="B160" s="35"/>
      <c r="C160" s="27"/>
      <c r="D160" s="36"/>
      <c r="E160" s="34"/>
      <c r="F160" s="38"/>
      <c r="G160" s="34"/>
      <c r="H160" s="34"/>
      <c r="I160" s="27"/>
      <c r="J160" s="27"/>
      <c r="K160" s="27"/>
      <c r="L160" s="27"/>
      <c r="M160" s="27"/>
      <c r="N160" s="27"/>
      <c r="O160" s="27"/>
      <c r="P160" s="27"/>
    </row>
    <row r="161">
      <c r="A161" s="27"/>
      <c r="B161" s="35"/>
      <c r="C161" s="27"/>
      <c r="D161" s="36"/>
      <c r="E161" s="34"/>
      <c r="F161" s="38"/>
      <c r="G161" s="34"/>
      <c r="H161" s="34"/>
      <c r="I161" s="27"/>
      <c r="J161" s="27"/>
      <c r="K161" s="27"/>
      <c r="L161" s="27"/>
      <c r="M161" s="27"/>
      <c r="N161" s="27"/>
      <c r="O161" s="27"/>
      <c r="P161" s="27"/>
    </row>
    <row r="162">
      <c r="A162" s="27"/>
      <c r="B162" s="35"/>
      <c r="C162" s="27"/>
      <c r="D162" s="36"/>
      <c r="E162" s="34"/>
      <c r="F162" s="38"/>
      <c r="G162" s="34"/>
      <c r="H162" s="34"/>
      <c r="I162" s="27"/>
      <c r="J162" s="27"/>
      <c r="K162" s="27"/>
      <c r="L162" s="27"/>
      <c r="M162" s="27"/>
      <c r="N162" s="27"/>
      <c r="O162" s="27"/>
      <c r="P162" s="27"/>
    </row>
    <row r="163">
      <c r="A163" s="27"/>
      <c r="B163" s="35"/>
      <c r="C163" s="27"/>
      <c r="D163" s="36"/>
      <c r="E163" s="34"/>
      <c r="F163" s="38"/>
      <c r="G163" s="34"/>
      <c r="H163" s="34"/>
      <c r="I163" s="27"/>
      <c r="J163" s="27"/>
      <c r="K163" s="27"/>
      <c r="L163" s="27"/>
      <c r="M163" s="27"/>
      <c r="N163" s="27"/>
      <c r="O163" s="27"/>
      <c r="P163" s="27"/>
    </row>
    <row r="164">
      <c r="A164" s="27"/>
      <c r="B164" s="35"/>
      <c r="C164" s="27"/>
      <c r="D164" s="36"/>
      <c r="E164" s="34"/>
      <c r="F164" s="38"/>
      <c r="G164" s="34"/>
      <c r="H164" s="34"/>
      <c r="I164" s="27"/>
      <c r="J164" s="27"/>
      <c r="K164" s="27"/>
      <c r="L164" s="27"/>
      <c r="M164" s="27"/>
      <c r="N164" s="27"/>
      <c r="O164" s="27"/>
      <c r="P164" s="27"/>
    </row>
    <row r="165">
      <c r="A165" s="27"/>
      <c r="B165" s="35"/>
      <c r="C165" s="27"/>
      <c r="D165" s="36"/>
      <c r="E165" s="34"/>
      <c r="F165" s="38"/>
      <c r="G165" s="34"/>
      <c r="H165" s="34"/>
      <c r="I165" s="27"/>
      <c r="J165" s="27"/>
      <c r="K165" s="27"/>
      <c r="L165" s="27"/>
      <c r="M165" s="27"/>
      <c r="N165" s="27"/>
      <c r="O165" s="27"/>
      <c r="P165" s="27"/>
    </row>
    <row r="166">
      <c r="A166" s="27"/>
      <c r="B166" s="35"/>
      <c r="C166" s="27"/>
      <c r="D166" s="36"/>
      <c r="E166" s="34"/>
      <c r="F166" s="38"/>
      <c r="G166" s="34"/>
      <c r="H166" s="34"/>
      <c r="I166" s="27"/>
      <c r="J166" s="27"/>
      <c r="K166" s="27"/>
      <c r="L166" s="27"/>
      <c r="M166" s="27"/>
      <c r="N166" s="27"/>
      <c r="O166" s="27"/>
      <c r="P166" s="27"/>
    </row>
    <row r="167">
      <c r="A167" s="27"/>
      <c r="B167" s="35"/>
      <c r="C167" s="27"/>
      <c r="D167" s="36"/>
      <c r="E167" s="34"/>
      <c r="F167" s="38"/>
      <c r="G167" s="34"/>
      <c r="H167" s="34"/>
      <c r="I167" s="27"/>
      <c r="J167" s="27"/>
      <c r="K167" s="27"/>
      <c r="L167" s="27"/>
      <c r="M167" s="27"/>
      <c r="N167" s="27"/>
      <c r="O167" s="27"/>
      <c r="P167" s="27"/>
    </row>
    <row r="168">
      <c r="A168" s="27"/>
      <c r="B168" s="35"/>
      <c r="C168" s="27"/>
      <c r="D168" s="36"/>
      <c r="E168" s="34"/>
      <c r="F168" s="38"/>
      <c r="G168" s="34"/>
      <c r="H168" s="34"/>
      <c r="I168" s="27"/>
      <c r="J168" s="27"/>
      <c r="K168" s="27"/>
      <c r="L168" s="27"/>
      <c r="M168" s="27"/>
      <c r="N168" s="27"/>
      <c r="O168" s="27"/>
      <c r="P168" s="27"/>
    </row>
    <row r="169">
      <c r="A169" s="27"/>
      <c r="B169" s="35"/>
      <c r="C169" s="27"/>
      <c r="D169" s="36"/>
      <c r="E169" s="34"/>
      <c r="F169" s="38"/>
      <c r="G169" s="34"/>
      <c r="H169" s="34"/>
      <c r="I169" s="27"/>
      <c r="J169" s="27"/>
      <c r="K169" s="27"/>
      <c r="L169" s="27"/>
      <c r="M169" s="27"/>
      <c r="N169" s="27"/>
      <c r="O169" s="27"/>
      <c r="P169" s="27"/>
    </row>
    <row r="170">
      <c r="A170" s="27"/>
      <c r="B170" s="35"/>
      <c r="C170" s="27"/>
      <c r="D170" s="36"/>
      <c r="E170" s="34"/>
      <c r="F170" s="38"/>
      <c r="G170" s="34"/>
      <c r="H170" s="34"/>
      <c r="I170" s="27"/>
      <c r="J170" s="27"/>
      <c r="K170" s="27"/>
      <c r="L170" s="27"/>
      <c r="M170" s="27"/>
      <c r="N170" s="27"/>
      <c r="O170" s="27"/>
      <c r="P170" s="27"/>
    </row>
    <row r="171">
      <c r="A171" s="27"/>
      <c r="B171" s="35"/>
      <c r="C171" s="27"/>
      <c r="D171" s="36"/>
      <c r="E171" s="34"/>
      <c r="F171" s="38"/>
      <c r="G171" s="34"/>
      <c r="H171" s="34"/>
      <c r="I171" s="27"/>
      <c r="J171" s="27"/>
      <c r="K171" s="27"/>
      <c r="L171" s="27"/>
      <c r="M171" s="27"/>
      <c r="N171" s="27"/>
      <c r="O171" s="27"/>
      <c r="P171" s="27"/>
    </row>
    <row r="172">
      <c r="A172" s="27"/>
      <c r="B172" s="35"/>
      <c r="C172" s="27"/>
      <c r="D172" s="36"/>
      <c r="E172" s="34"/>
      <c r="F172" s="38"/>
      <c r="G172" s="34"/>
      <c r="H172" s="34"/>
      <c r="I172" s="27"/>
      <c r="J172" s="27"/>
      <c r="K172" s="27"/>
      <c r="L172" s="27"/>
      <c r="M172" s="27"/>
      <c r="N172" s="27"/>
      <c r="O172" s="27"/>
      <c r="P172" s="27"/>
    </row>
    <row r="173">
      <c r="A173" s="27"/>
      <c r="B173" s="35"/>
      <c r="C173" s="27"/>
      <c r="D173" s="36"/>
      <c r="E173" s="34"/>
      <c r="F173" s="38"/>
      <c r="G173" s="34"/>
      <c r="H173" s="34"/>
      <c r="I173" s="27"/>
      <c r="J173" s="27"/>
      <c r="K173" s="27"/>
      <c r="L173" s="27"/>
      <c r="M173" s="27"/>
      <c r="N173" s="27"/>
      <c r="O173" s="27"/>
      <c r="P173" s="27"/>
    </row>
    <row r="174">
      <c r="A174" s="27"/>
      <c r="B174" s="35"/>
      <c r="C174" s="27"/>
      <c r="D174" s="36"/>
      <c r="E174" s="34"/>
      <c r="F174" s="38"/>
      <c r="G174" s="34"/>
      <c r="H174" s="34"/>
      <c r="I174" s="27"/>
      <c r="J174" s="27"/>
      <c r="K174" s="27"/>
      <c r="L174" s="27"/>
      <c r="M174" s="27"/>
      <c r="N174" s="27"/>
      <c r="O174" s="27"/>
      <c r="P174" s="27"/>
    </row>
    <row r="175">
      <c r="A175" s="27"/>
      <c r="B175" s="35"/>
      <c r="C175" s="27"/>
      <c r="D175" s="36"/>
      <c r="E175" s="34"/>
      <c r="F175" s="38"/>
      <c r="G175" s="34"/>
      <c r="H175" s="34"/>
      <c r="I175" s="27"/>
      <c r="J175" s="27"/>
      <c r="K175" s="27"/>
      <c r="L175" s="27"/>
      <c r="M175" s="27"/>
      <c r="N175" s="27"/>
      <c r="O175" s="27"/>
      <c r="P175" s="27"/>
    </row>
    <row r="176">
      <c r="A176" s="27"/>
      <c r="B176" s="35"/>
      <c r="C176" s="27"/>
      <c r="D176" s="36"/>
      <c r="E176" s="34"/>
      <c r="F176" s="38"/>
      <c r="G176" s="34"/>
      <c r="H176" s="34"/>
      <c r="I176" s="27"/>
      <c r="J176" s="27"/>
      <c r="K176" s="27"/>
      <c r="L176" s="27"/>
      <c r="M176" s="27"/>
      <c r="N176" s="27"/>
      <c r="O176" s="27"/>
      <c r="P176" s="27"/>
    </row>
    <row r="177">
      <c r="A177" s="27"/>
      <c r="B177" s="35"/>
      <c r="C177" s="27"/>
      <c r="D177" s="36"/>
      <c r="E177" s="34"/>
      <c r="F177" s="38"/>
      <c r="G177" s="34"/>
      <c r="H177" s="34"/>
      <c r="I177" s="27"/>
      <c r="J177" s="27"/>
      <c r="K177" s="27"/>
      <c r="L177" s="27"/>
      <c r="M177" s="27"/>
      <c r="N177" s="27"/>
      <c r="O177" s="27"/>
      <c r="P177" s="27"/>
    </row>
    <row r="178">
      <c r="A178" s="27"/>
      <c r="B178" s="35"/>
      <c r="C178" s="27"/>
      <c r="D178" s="36"/>
      <c r="E178" s="34"/>
      <c r="F178" s="38"/>
      <c r="G178" s="34"/>
      <c r="H178" s="34"/>
      <c r="I178" s="27"/>
      <c r="J178" s="27"/>
      <c r="K178" s="27"/>
      <c r="L178" s="27"/>
      <c r="M178" s="27"/>
      <c r="N178" s="27"/>
      <c r="O178" s="27"/>
      <c r="P178" s="27"/>
    </row>
    <row r="179">
      <c r="A179" s="27"/>
      <c r="B179" s="35"/>
      <c r="C179" s="27"/>
      <c r="D179" s="36"/>
      <c r="E179" s="34"/>
      <c r="F179" s="38"/>
      <c r="G179" s="34"/>
      <c r="H179" s="34"/>
      <c r="I179" s="27"/>
      <c r="J179" s="27"/>
      <c r="K179" s="27"/>
      <c r="L179" s="27"/>
      <c r="M179" s="27"/>
      <c r="N179" s="27"/>
      <c r="O179" s="27"/>
      <c r="P179" s="27"/>
    </row>
    <row r="180">
      <c r="A180" s="27"/>
      <c r="B180" s="35"/>
      <c r="C180" s="27"/>
      <c r="D180" s="36"/>
      <c r="E180" s="34"/>
      <c r="F180" s="38"/>
      <c r="G180" s="34"/>
      <c r="H180" s="34"/>
      <c r="I180" s="27"/>
      <c r="J180" s="27"/>
      <c r="K180" s="27"/>
      <c r="L180" s="27"/>
      <c r="M180" s="27"/>
      <c r="N180" s="27"/>
      <c r="O180" s="27"/>
      <c r="P180" s="27"/>
    </row>
    <row r="181">
      <c r="A181" s="27"/>
      <c r="B181" s="35"/>
      <c r="C181" s="27"/>
      <c r="D181" s="36"/>
      <c r="E181" s="34"/>
      <c r="F181" s="38"/>
      <c r="G181" s="34"/>
      <c r="H181" s="34"/>
      <c r="I181" s="27"/>
      <c r="J181" s="27"/>
      <c r="K181" s="27"/>
      <c r="L181" s="27"/>
      <c r="M181" s="27"/>
      <c r="N181" s="27"/>
      <c r="O181" s="27"/>
      <c r="P181" s="27"/>
    </row>
    <row r="182">
      <c r="A182" s="27"/>
      <c r="B182" s="35"/>
      <c r="C182" s="27"/>
      <c r="D182" s="36"/>
      <c r="E182" s="34"/>
      <c r="F182" s="38"/>
      <c r="G182" s="34"/>
      <c r="H182" s="34"/>
      <c r="I182" s="27"/>
      <c r="J182" s="27"/>
      <c r="K182" s="27"/>
      <c r="L182" s="27"/>
      <c r="M182" s="27"/>
      <c r="N182" s="27"/>
      <c r="O182" s="27"/>
      <c r="P182" s="27"/>
    </row>
    <row r="183">
      <c r="A183" s="27"/>
      <c r="B183" s="35"/>
      <c r="C183" s="27"/>
      <c r="D183" s="36"/>
      <c r="E183" s="34"/>
      <c r="F183" s="38"/>
      <c r="G183" s="34"/>
      <c r="H183" s="34"/>
      <c r="I183" s="27"/>
      <c r="J183" s="27"/>
      <c r="K183" s="27"/>
      <c r="L183" s="27"/>
      <c r="M183" s="27"/>
      <c r="N183" s="27"/>
      <c r="O183" s="27"/>
      <c r="P183" s="27"/>
    </row>
    <row r="184">
      <c r="A184" s="27"/>
      <c r="B184" s="35"/>
      <c r="C184" s="27"/>
      <c r="D184" s="36"/>
      <c r="E184" s="34"/>
      <c r="F184" s="38"/>
      <c r="G184" s="34"/>
      <c r="H184" s="34"/>
      <c r="I184" s="27"/>
      <c r="J184" s="27"/>
      <c r="K184" s="27"/>
      <c r="L184" s="27"/>
      <c r="M184" s="27"/>
      <c r="N184" s="27"/>
      <c r="O184" s="27"/>
      <c r="P184" s="27"/>
    </row>
    <row r="185">
      <c r="A185" s="27"/>
      <c r="B185" s="35"/>
      <c r="C185" s="27"/>
      <c r="D185" s="36"/>
      <c r="E185" s="34"/>
      <c r="F185" s="38"/>
      <c r="G185" s="34"/>
      <c r="H185" s="34"/>
      <c r="I185" s="27"/>
      <c r="J185" s="27"/>
      <c r="K185" s="27"/>
      <c r="L185" s="27"/>
      <c r="M185" s="27"/>
      <c r="N185" s="27"/>
      <c r="O185" s="27"/>
      <c r="P185" s="27"/>
    </row>
    <row r="186">
      <c r="A186" s="27"/>
      <c r="B186" s="35"/>
      <c r="C186" s="27"/>
      <c r="D186" s="36"/>
      <c r="E186" s="34"/>
      <c r="F186" s="38"/>
      <c r="G186" s="34"/>
      <c r="H186" s="34"/>
      <c r="I186" s="27"/>
      <c r="J186" s="27"/>
      <c r="K186" s="27"/>
      <c r="L186" s="27"/>
      <c r="M186" s="27"/>
      <c r="N186" s="27"/>
      <c r="O186" s="27"/>
      <c r="P186" s="27"/>
    </row>
    <row r="187">
      <c r="A187" s="27"/>
      <c r="B187" s="35"/>
      <c r="C187" s="27"/>
      <c r="D187" s="36"/>
      <c r="E187" s="34"/>
      <c r="F187" s="38"/>
      <c r="G187" s="34"/>
      <c r="H187" s="34"/>
      <c r="I187" s="27"/>
      <c r="J187" s="27"/>
      <c r="K187" s="27"/>
      <c r="L187" s="27"/>
      <c r="M187" s="27"/>
      <c r="N187" s="27"/>
      <c r="O187" s="27"/>
      <c r="P187" s="27"/>
    </row>
    <row r="188">
      <c r="A188" s="27"/>
      <c r="B188" s="35"/>
      <c r="C188" s="27"/>
      <c r="D188" s="36"/>
      <c r="E188" s="34"/>
      <c r="F188" s="38"/>
      <c r="G188" s="34"/>
      <c r="H188" s="34"/>
      <c r="I188" s="27"/>
      <c r="J188" s="27"/>
      <c r="K188" s="27"/>
      <c r="L188" s="27"/>
      <c r="M188" s="27"/>
      <c r="N188" s="27"/>
      <c r="O188" s="27"/>
      <c r="P188" s="27"/>
    </row>
    <row r="189">
      <c r="A189" s="27"/>
      <c r="B189" s="35"/>
      <c r="C189" s="27"/>
      <c r="D189" s="36"/>
      <c r="E189" s="34"/>
      <c r="F189" s="38"/>
      <c r="G189" s="34"/>
      <c r="H189" s="34"/>
      <c r="I189" s="27"/>
      <c r="J189" s="27"/>
      <c r="K189" s="27"/>
      <c r="L189" s="27"/>
      <c r="M189" s="27"/>
      <c r="N189" s="27"/>
      <c r="O189" s="27"/>
      <c r="P189" s="27"/>
    </row>
    <row r="190">
      <c r="A190" s="27"/>
      <c r="B190" s="35"/>
      <c r="C190" s="27"/>
      <c r="D190" s="36"/>
      <c r="E190" s="34"/>
      <c r="F190" s="38"/>
      <c r="G190" s="34"/>
      <c r="H190" s="34"/>
      <c r="I190" s="27"/>
      <c r="J190" s="27"/>
      <c r="K190" s="27"/>
      <c r="L190" s="27"/>
      <c r="M190" s="27"/>
      <c r="N190" s="27"/>
      <c r="O190" s="27"/>
      <c r="P190" s="27"/>
    </row>
    <row r="191">
      <c r="A191" s="27"/>
      <c r="B191" s="35"/>
      <c r="C191" s="27"/>
      <c r="D191" s="36"/>
      <c r="E191" s="34"/>
      <c r="F191" s="38"/>
      <c r="G191" s="34"/>
      <c r="H191" s="34"/>
      <c r="I191" s="27"/>
      <c r="J191" s="27"/>
      <c r="K191" s="27"/>
      <c r="L191" s="27"/>
      <c r="M191" s="27"/>
      <c r="N191" s="27"/>
      <c r="O191" s="27"/>
      <c r="P191" s="27"/>
    </row>
    <row r="192">
      <c r="A192" s="27"/>
      <c r="B192" s="35"/>
      <c r="C192" s="27"/>
      <c r="D192" s="36"/>
      <c r="E192" s="34"/>
      <c r="F192" s="38"/>
      <c r="G192" s="34"/>
      <c r="H192" s="34"/>
      <c r="I192" s="27"/>
      <c r="J192" s="27"/>
      <c r="K192" s="27"/>
      <c r="L192" s="27"/>
      <c r="M192" s="27"/>
      <c r="N192" s="27"/>
      <c r="O192" s="27"/>
      <c r="P192" s="27"/>
    </row>
    <row r="193">
      <c r="A193" s="27"/>
      <c r="B193" s="35"/>
      <c r="C193" s="27"/>
      <c r="D193" s="36"/>
      <c r="E193" s="34"/>
      <c r="F193" s="38"/>
      <c r="G193" s="34"/>
      <c r="H193" s="34"/>
      <c r="I193" s="27"/>
      <c r="J193" s="27"/>
      <c r="K193" s="27"/>
      <c r="L193" s="27"/>
      <c r="M193" s="27"/>
      <c r="N193" s="27"/>
      <c r="O193" s="27"/>
      <c r="P193" s="27"/>
    </row>
    <row r="194">
      <c r="A194" s="27"/>
      <c r="B194" s="35"/>
      <c r="C194" s="27"/>
      <c r="D194" s="36"/>
      <c r="E194" s="34"/>
      <c r="F194" s="38"/>
      <c r="G194" s="34"/>
      <c r="H194" s="34"/>
      <c r="I194" s="27"/>
      <c r="J194" s="27"/>
      <c r="K194" s="27"/>
      <c r="L194" s="27"/>
      <c r="M194" s="27"/>
      <c r="N194" s="27"/>
      <c r="O194" s="27"/>
      <c r="P194" s="27"/>
    </row>
    <row r="195">
      <c r="A195" s="27"/>
      <c r="B195" s="35"/>
      <c r="C195" s="27"/>
      <c r="D195" s="36"/>
      <c r="E195" s="34"/>
      <c r="F195" s="38"/>
      <c r="G195" s="34"/>
      <c r="H195" s="34"/>
      <c r="I195" s="27"/>
      <c r="J195" s="27"/>
      <c r="K195" s="27"/>
      <c r="L195" s="27"/>
      <c r="M195" s="27"/>
      <c r="N195" s="27"/>
      <c r="O195" s="27"/>
      <c r="P195" s="27"/>
    </row>
    <row r="196">
      <c r="A196" s="27"/>
      <c r="B196" s="35"/>
      <c r="C196" s="27"/>
      <c r="D196" s="36"/>
      <c r="E196" s="34"/>
      <c r="F196" s="38"/>
      <c r="G196" s="34"/>
      <c r="H196" s="34"/>
      <c r="I196" s="27"/>
      <c r="J196" s="27"/>
      <c r="K196" s="27"/>
      <c r="L196" s="27"/>
      <c r="M196" s="27"/>
      <c r="N196" s="27"/>
      <c r="O196" s="27"/>
      <c r="P196" s="27"/>
    </row>
    <row r="197">
      <c r="A197" s="27"/>
      <c r="B197" s="35"/>
      <c r="C197" s="27"/>
      <c r="D197" s="36"/>
      <c r="E197" s="34"/>
      <c r="F197" s="38"/>
      <c r="G197" s="34"/>
      <c r="H197" s="34"/>
      <c r="I197" s="27"/>
      <c r="J197" s="27"/>
      <c r="K197" s="27"/>
      <c r="L197" s="27"/>
      <c r="M197" s="27"/>
      <c r="N197" s="27"/>
      <c r="O197" s="27"/>
      <c r="P197" s="27"/>
    </row>
    <row r="198">
      <c r="A198" s="27"/>
      <c r="B198" s="35"/>
      <c r="C198" s="27"/>
      <c r="D198" s="36"/>
      <c r="E198" s="34"/>
      <c r="F198" s="38"/>
      <c r="G198" s="34"/>
      <c r="H198" s="34"/>
      <c r="I198" s="27"/>
      <c r="J198" s="27"/>
      <c r="K198" s="27"/>
      <c r="L198" s="27"/>
      <c r="M198" s="27"/>
      <c r="N198" s="27"/>
      <c r="O198" s="27"/>
      <c r="P198" s="27"/>
    </row>
    <row r="199">
      <c r="A199" s="27"/>
      <c r="B199" s="35"/>
      <c r="C199" s="27"/>
      <c r="D199" s="36"/>
      <c r="E199" s="34"/>
      <c r="F199" s="38"/>
      <c r="G199" s="34"/>
      <c r="H199" s="34"/>
      <c r="I199" s="27"/>
      <c r="J199" s="27"/>
      <c r="K199" s="27"/>
      <c r="L199" s="27"/>
      <c r="M199" s="27"/>
      <c r="N199" s="27"/>
      <c r="O199" s="27"/>
      <c r="P199" s="27"/>
    </row>
    <row r="200">
      <c r="A200" s="27"/>
      <c r="B200" s="35"/>
      <c r="C200" s="27"/>
      <c r="D200" s="36"/>
      <c r="E200" s="34"/>
      <c r="F200" s="38"/>
      <c r="G200" s="34"/>
      <c r="H200" s="34"/>
      <c r="I200" s="27"/>
      <c r="J200" s="27"/>
      <c r="K200" s="27"/>
      <c r="L200" s="27"/>
      <c r="M200" s="27"/>
      <c r="N200" s="27"/>
      <c r="O200" s="27"/>
      <c r="P200" s="27"/>
    </row>
    <row r="201">
      <c r="A201" s="27"/>
      <c r="B201" s="35"/>
      <c r="C201" s="27"/>
      <c r="D201" s="36"/>
      <c r="E201" s="34"/>
      <c r="F201" s="38"/>
      <c r="G201" s="34"/>
      <c r="H201" s="34"/>
      <c r="I201" s="27"/>
      <c r="J201" s="27"/>
      <c r="K201" s="27"/>
      <c r="L201" s="27"/>
      <c r="M201" s="27"/>
      <c r="N201" s="27"/>
      <c r="O201" s="27"/>
      <c r="P201" s="27"/>
    </row>
    <row r="202">
      <c r="A202" s="27"/>
      <c r="B202" s="35"/>
      <c r="C202" s="27"/>
      <c r="D202" s="36"/>
      <c r="E202" s="34"/>
      <c r="F202" s="38"/>
      <c r="G202" s="34"/>
      <c r="H202" s="34"/>
      <c r="I202" s="27"/>
      <c r="J202" s="27"/>
      <c r="K202" s="27"/>
      <c r="L202" s="27"/>
      <c r="M202" s="27"/>
      <c r="N202" s="27"/>
      <c r="O202" s="27"/>
      <c r="P202" s="27"/>
    </row>
    <row r="203">
      <c r="A203" s="27"/>
      <c r="B203" s="35"/>
      <c r="C203" s="27"/>
      <c r="D203" s="36"/>
      <c r="E203" s="34"/>
      <c r="F203" s="38"/>
      <c r="G203" s="34"/>
      <c r="H203" s="34"/>
      <c r="I203" s="27"/>
      <c r="J203" s="27"/>
      <c r="K203" s="27"/>
      <c r="L203" s="27"/>
      <c r="M203" s="27"/>
      <c r="N203" s="27"/>
      <c r="O203" s="27"/>
      <c r="P203" s="27"/>
    </row>
    <row r="204">
      <c r="A204" s="27"/>
      <c r="B204" s="35"/>
      <c r="C204" s="27"/>
      <c r="D204" s="36"/>
      <c r="E204" s="34"/>
      <c r="F204" s="38"/>
      <c r="G204" s="34"/>
      <c r="H204" s="34"/>
      <c r="I204" s="27"/>
      <c r="J204" s="27"/>
      <c r="K204" s="27"/>
      <c r="L204" s="27"/>
      <c r="M204" s="27"/>
      <c r="N204" s="27"/>
      <c r="O204" s="27"/>
      <c r="P204" s="27"/>
    </row>
    <row r="205">
      <c r="A205" s="27"/>
      <c r="B205" s="35"/>
      <c r="C205" s="27"/>
      <c r="D205" s="36"/>
      <c r="E205" s="34"/>
      <c r="F205" s="38"/>
      <c r="G205" s="34"/>
      <c r="H205" s="34"/>
      <c r="I205" s="27"/>
      <c r="J205" s="27"/>
      <c r="K205" s="27"/>
      <c r="L205" s="27"/>
      <c r="M205" s="27"/>
      <c r="N205" s="27"/>
      <c r="O205" s="27"/>
      <c r="P205" s="27"/>
    </row>
    <row r="206">
      <c r="A206" s="27"/>
      <c r="B206" s="35"/>
      <c r="C206" s="27"/>
      <c r="D206" s="36"/>
      <c r="E206" s="34"/>
      <c r="F206" s="38"/>
      <c r="G206" s="34"/>
      <c r="H206" s="34"/>
      <c r="I206" s="27"/>
      <c r="J206" s="27"/>
      <c r="K206" s="27"/>
      <c r="L206" s="27"/>
      <c r="M206" s="27"/>
      <c r="N206" s="27"/>
      <c r="O206" s="27"/>
      <c r="P206" s="27"/>
    </row>
    <row r="207">
      <c r="A207" s="27"/>
      <c r="B207" s="35"/>
      <c r="C207" s="27"/>
      <c r="D207" s="36"/>
      <c r="E207" s="34"/>
      <c r="F207" s="38"/>
      <c r="G207" s="34"/>
      <c r="H207" s="34"/>
      <c r="I207" s="27"/>
      <c r="J207" s="27"/>
      <c r="K207" s="27"/>
      <c r="L207" s="27"/>
      <c r="M207" s="27"/>
      <c r="N207" s="27"/>
      <c r="O207" s="27"/>
      <c r="P207" s="27"/>
    </row>
    <row r="208">
      <c r="A208" s="27"/>
      <c r="B208" s="35"/>
      <c r="C208" s="27"/>
      <c r="D208" s="36"/>
      <c r="E208" s="34"/>
      <c r="F208" s="38"/>
      <c r="G208" s="34"/>
      <c r="H208" s="34"/>
      <c r="I208" s="27"/>
      <c r="J208" s="27"/>
      <c r="K208" s="27"/>
      <c r="L208" s="27"/>
      <c r="M208" s="27"/>
      <c r="N208" s="27"/>
      <c r="O208" s="27"/>
      <c r="P208" s="27"/>
    </row>
    <row r="209">
      <c r="A209" s="27"/>
      <c r="B209" s="35"/>
      <c r="C209" s="27"/>
      <c r="D209" s="36"/>
      <c r="E209" s="34"/>
      <c r="F209" s="38"/>
      <c r="G209" s="34"/>
      <c r="H209" s="34"/>
      <c r="I209" s="27"/>
      <c r="J209" s="27"/>
      <c r="K209" s="27"/>
      <c r="L209" s="27"/>
      <c r="M209" s="27"/>
      <c r="N209" s="27"/>
      <c r="O209" s="27"/>
      <c r="P209" s="27"/>
    </row>
    <row r="210">
      <c r="A210" s="27"/>
      <c r="B210" s="35"/>
      <c r="C210" s="27"/>
      <c r="D210" s="36"/>
      <c r="E210" s="34"/>
      <c r="F210" s="38"/>
      <c r="G210" s="34"/>
      <c r="H210" s="34"/>
      <c r="I210" s="27"/>
      <c r="J210" s="27"/>
      <c r="K210" s="27"/>
      <c r="L210" s="27"/>
      <c r="M210" s="27"/>
      <c r="N210" s="27"/>
      <c r="O210" s="27"/>
      <c r="P210" s="27"/>
    </row>
    <row r="211">
      <c r="A211" s="27"/>
      <c r="B211" s="35"/>
      <c r="C211" s="27"/>
      <c r="D211" s="36"/>
      <c r="E211" s="34"/>
      <c r="F211" s="38"/>
      <c r="G211" s="34"/>
      <c r="H211" s="34"/>
      <c r="I211" s="27"/>
      <c r="J211" s="27"/>
      <c r="K211" s="27"/>
      <c r="L211" s="27"/>
      <c r="M211" s="27"/>
      <c r="N211" s="27"/>
      <c r="O211" s="27"/>
      <c r="P211" s="27"/>
    </row>
    <row r="212">
      <c r="A212" s="27"/>
      <c r="B212" s="35"/>
      <c r="C212" s="27"/>
      <c r="D212" s="36"/>
      <c r="E212" s="34"/>
      <c r="F212" s="38"/>
      <c r="G212" s="34"/>
      <c r="H212" s="34"/>
      <c r="I212" s="27"/>
      <c r="J212" s="27"/>
      <c r="K212" s="27"/>
      <c r="L212" s="27"/>
      <c r="M212" s="27"/>
      <c r="N212" s="27"/>
      <c r="O212" s="27"/>
      <c r="P212" s="27"/>
    </row>
    <row r="213">
      <c r="A213" s="27"/>
      <c r="B213" s="35"/>
      <c r="C213" s="27"/>
      <c r="D213" s="36"/>
      <c r="E213" s="34"/>
      <c r="F213" s="38"/>
      <c r="G213" s="34"/>
      <c r="H213" s="34"/>
      <c r="I213" s="27"/>
      <c r="J213" s="27"/>
      <c r="K213" s="27"/>
      <c r="L213" s="27"/>
      <c r="M213" s="27"/>
      <c r="N213" s="27"/>
      <c r="O213" s="27"/>
      <c r="P213" s="27"/>
    </row>
    <row r="214">
      <c r="A214" s="27"/>
      <c r="B214" s="35"/>
      <c r="C214" s="27"/>
      <c r="D214" s="36"/>
      <c r="E214" s="34"/>
      <c r="F214" s="38"/>
      <c r="G214" s="34"/>
      <c r="H214" s="34"/>
      <c r="I214" s="27"/>
      <c r="J214" s="27"/>
      <c r="K214" s="27"/>
      <c r="L214" s="27"/>
      <c r="M214" s="27"/>
      <c r="N214" s="27"/>
      <c r="O214" s="27"/>
      <c r="P214" s="27"/>
    </row>
    <row r="215">
      <c r="A215" s="27"/>
      <c r="B215" s="35"/>
      <c r="C215" s="27"/>
      <c r="D215" s="36"/>
      <c r="E215" s="34"/>
      <c r="F215" s="38"/>
      <c r="G215" s="34"/>
      <c r="H215" s="34"/>
      <c r="I215" s="27"/>
      <c r="J215" s="27"/>
      <c r="K215" s="27"/>
      <c r="L215" s="27"/>
      <c r="M215" s="27"/>
      <c r="N215" s="27"/>
      <c r="O215" s="27"/>
      <c r="P215" s="27"/>
    </row>
    <row r="216">
      <c r="A216" s="27"/>
      <c r="B216" s="35"/>
      <c r="C216" s="27"/>
      <c r="D216" s="36"/>
      <c r="E216" s="34"/>
      <c r="F216" s="38"/>
      <c r="G216" s="34"/>
      <c r="H216" s="34"/>
      <c r="I216" s="27"/>
      <c r="J216" s="27"/>
      <c r="K216" s="27"/>
      <c r="L216" s="27"/>
      <c r="M216" s="27"/>
      <c r="N216" s="27"/>
      <c r="O216" s="27"/>
      <c r="P216" s="27"/>
    </row>
    <row r="217">
      <c r="A217" s="27"/>
      <c r="B217" s="35"/>
      <c r="C217" s="27"/>
      <c r="D217" s="36"/>
      <c r="E217" s="34"/>
      <c r="F217" s="38"/>
      <c r="G217" s="34"/>
      <c r="H217" s="34"/>
      <c r="I217" s="27"/>
      <c r="J217" s="27"/>
      <c r="K217" s="27"/>
      <c r="L217" s="27"/>
      <c r="M217" s="27"/>
      <c r="N217" s="27"/>
      <c r="O217" s="27"/>
      <c r="P217" s="27"/>
    </row>
    <row r="218">
      <c r="A218" s="27"/>
      <c r="B218" s="35"/>
      <c r="C218" s="27"/>
      <c r="D218" s="36"/>
      <c r="E218" s="34"/>
      <c r="F218" s="38"/>
      <c r="G218" s="34"/>
      <c r="H218" s="34"/>
      <c r="I218" s="27"/>
      <c r="J218" s="27"/>
      <c r="K218" s="27"/>
      <c r="L218" s="27"/>
      <c r="M218" s="27"/>
      <c r="N218" s="27"/>
      <c r="O218" s="27"/>
      <c r="P218" s="27"/>
    </row>
    <row r="219">
      <c r="A219" s="27"/>
      <c r="B219" s="35"/>
      <c r="C219" s="27"/>
      <c r="D219" s="36"/>
      <c r="E219" s="34"/>
      <c r="F219" s="38"/>
      <c r="G219" s="34"/>
      <c r="H219" s="34"/>
      <c r="I219" s="27"/>
      <c r="J219" s="27"/>
      <c r="K219" s="27"/>
      <c r="L219" s="27"/>
      <c r="M219" s="27"/>
      <c r="N219" s="27"/>
      <c r="O219" s="27"/>
      <c r="P219" s="27"/>
    </row>
    <row r="220">
      <c r="A220" s="27"/>
      <c r="B220" s="35"/>
      <c r="C220" s="27"/>
      <c r="D220" s="36"/>
      <c r="E220" s="34"/>
      <c r="F220" s="38"/>
      <c r="G220" s="34"/>
      <c r="H220" s="34"/>
      <c r="I220" s="27"/>
      <c r="J220" s="27"/>
      <c r="K220" s="27"/>
      <c r="L220" s="27"/>
      <c r="M220" s="27"/>
      <c r="N220" s="27"/>
      <c r="O220" s="27"/>
      <c r="P220" s="27"/>
    </row>
    <row r="221">
      <c r="A221" s="27"/>
      <c r="B221" s="35"/>
      <c r="C221" s="27"/>
      <c r="D221" s="36"/>
      <c r="E221" s="34"/>
      <c r="F221" s="38"/>
      <c r="G221" s="34"/>
      <c r="H221" s="34"/>
      <c r="I221" s="27"/>
      <c r="J221" s="27"/>
      <c r="K221" s="27"/>
      <c r="L221" s="27"/>
      <c r="M221" s="27"/>
      <c r="N221" s="27"/>
      <c r="O221" s="27"/>
      <c r="P221" s="27"/>
    </row>
    <row r="222">
      <c r="A222" s="27"/>
      <c r="B222" s="35"/>
      <c r="C222" s="27"/>
      <c r="D222" s="36"/>
      <c r="E222" s="34"/>
      <c r="F222" s="38"/>
      <c r="G222" s="34"/>
      <c r="H222" s="34"/>
      <c r="I222" s="27"/>
      <c r="J222" s="27"/>
      <c r="K222" s="27"/>
      <c r="L222" s="27"/>
      <c r="M222" s="27"/>
      <c r="N222" s="27"/>
      <c r="O222" s="27"/>
      <c r="P222" s="27"/>
    </row>
    <row r="223">
      <c r="A223" s="27"/>
      <c r="B223" s="35"/>
      <c r="C223" s="27"/>
      <c r="D223" s="36"/>
      <c r="E223" s="34"/>
      <c r="F223" s="38"/>
      <c r="G223" s="34"/>
      <c r="H223" s="34"/>
      <c r="I223" s="27"/>
      <c r="J223" s="27"/>
      <c r="K223" s="27"/>
      <c r="L223" s="27"/>
      <c r="M223" s="27"/>
      <c r="N223" s="27"/>
      <c r="O223" s="27"/>
      <c r="P223" s="27"/>
    </row>
    <row r="224">
      <c r="A224" s="27"/>
      <c r="B224" s="35"/>
      <c r="C224" s="27"/>
      <c r="D224" s="36"/>
      <c r="E224" s="34"/>
      <c r="F224" s="38"/>
      <c r="G224" s="34"/>
      <c r="H224" s="34"/>
      <c r="I224" s="27"/>
      <c r="J224" s="27"/>
      <c r="K224" s="27"/>
      <c r="L224" s="27"/>
      <c r="M224" s="27"/>
      <c r="N224" s="27"/>
      <c r="O224" s="27"/>
      <c r="P224" s="27"/>
    </row>
    <row r="225">
      <c r="A225" s="27"/>
      <c r="B225" s="35"/>
      <c r="C225" s="27"/>
      <c r="D225" s="36"/>
      <c r="E225" s="34"/>
      <c r="F225" s="38"/>
      <c r="G225" s="34"/>
      <c r="H225" s="34"/>
      <c r="I225" s="27"/>
      <c r="J225" s="27"/>
      <c r="K225" s="27"/>
      <c r="L225" s="27"/>
      <c r="M225" s="27"/>
      <c r="N225" s="27"/>
      <c r="O225" s="27"/>
      <c r="P225" s="27"/>
    </row>
    <row r="226">
      <c r="A226" s="27"/>
      <c r="B226" s="35"/>
      <c r="C226" s="27"/>
      <c r="D226" s="36"/>
      <c r="E226" s="34"/>
      <c r="F226" s="38"/>
      <c r="G226" s="34"/>
      <c r="H226" s="34"/>
      <c r="I226" s="27"/>
      <c r="J226" s="27"/>
      <c r="K226" s="27"/>
      <c r="L226" s="27"/>
      <c r="M226" s="27"/>
      <c r="N226" s="27"/>
      <c r="O226" s="27"/>
      <c r="P226" s="27"/>
    </row>
    <row r="227">
      <c r="A227" s="27"/>
      <c r="B227" s="35"/>
      <c r="C227" s="27"/>
      <c r="D227" s="36"/>
      <c r="E227" s="34"/>
      <c r="F227" s="38"/>
      <c r="G227" s="34"/>
      <c r="H227" s="34"/>
      <c r="I227" s="27"/>
      <c r="J227" s="27"/>
      <c r="K227" s="27"/>
      <c r="L227" s="27"/>
      <c r="M227" s="27"/>
      <c r="N227" s="27"/>
      <c r="O227" s="27"/>
      <c r="P227" s="27"/>
    </row>
    <row r="228">
      <c r="A228" s="27"/>
      <c r="B228" s="35"/>
      <c r="C228" s="27"/>
      <c r="D228" s="36"/>
      <c r="E228" s="34"/>
      <c r="F228" s="38"/>
      <c r="G228" s="34"/>
      <c r="H228" s="34"/>
      <c r="I228" s="27"/>
      <c r="J228" s="27"/>
      <c r="K228" s="27"/>
      <c r="L228" s="27"/>
      <c r="M228" s="27"/>
      <c r="N228" s="27"/>
      <c r="O228" s="27"/>
      <c r="P228" s="27"/>
    </row>
    <row r="229">
      <c r="A229" s="27"/>
      <c r="B229" s="35"/>
      <c r="C229" s="27"/>
      <c r="D229" s="36"/>
      <c r="E229" s="34"/>
      <c r="F229" s="38"/>
      <c r="G229" s="34"/>
      <c r="H229" s="34"/>
      <c r="I229" s="27"/>
      <c r="J229" s="27"/>
      <c r="K229" s="27"/>
      <c r="L229" s="27"/>
      <c r="M229" s="27"/>
      <c r="N229" s="27"/>
      <c r="O229" s="27"/>
      <c r="P229" s="27"/>
    </row>
    <row r="230">
      <c r="A230" s="27"/>
      <c r="B230" s="35"/>
      <c r="C230" s="27"/>
      <c r="D230" s="36"/>
      <c r="E230" s="34"/>
      <c r="F230" s="38"/>
      <c r="G230" s="34"/>
      <c r="H230" s="34"/>
      <c r="I230" s="27"/>
      <c r="J230" s="27"/>
      <c r="K230" s="27"/>
      <c r="L230" s="27"/>
      <c r="M230" s="27"/>
      <c r="N230" s="27"/>
      <c r="O230" s="27"/>
      <c r="P230" s="27"/>
    </row>
    <row r="231">
      <c r="A231" s="27"/>
      <c r="B231" s="35"/>
      <c r="C231" s="27"/>
      <c r="D231" s="36"/>
      <c r="E231" s="34"/>
      <c r="F231" s="38"/>
      <c r="G231" s="34"/>
      <c r="H231" s="34"/>
      <c r="I231" s="27"/>
      <c r="J231" s="27"/>
      <c r="K231" s="27"/>
      <c r="L231" s="27"/>
      <c r="M231" s="27"/>
      <c r="N231" s="27"/>
      <c r="O231" s="27"/>
      <c r="P231" s="27"/>
    </row>
    <row r="232">
      <c r="A232" s="27"/>
      <c r="B232" s="35"/>
      <c r="C232" s="27"/>
      <c r="D232" s="36"/>
      <c r="E232" s="34"/>
      <c r="F232" s="38"/>
      <c r="G232" s="34"/>
      <c r="H232" s="34"/>
      <c r="I232" s="27"/>
      <c r="J232" s="27"/>
      <c r="K232" s="27"/>
      <c r="L232" s="27"/>
      <c r="M232" s="27"/>
      <c r="N232" s="27"/>
      <c r="O232" s="27"/>
      <c r="P232" s="27"/>
    </row>
    <row r="233">
      <c r="A233" s="27"/>
      <c r="B233" s="35"/>
      <c r="C233" s="27"/>
      <c r="D233" s="36"/>
      <c r="E233" s="34"/>
      <c r="F233" s="38"/>
      <c r="G233" s="34"/>
      <c r="H233" s="34"/>
      <c r="I233" s="27"/>
      <c r="J233" s="27"/>
      <c r="K233" s="27"/>
      <c r="L233" s="27"/>
      <c r="M233" s="27"/>
      <c r="N233" s="27"/>
      <c r="O233" s="27"/>
      <c r="P233" s="27"/>
    </row>
    <row r="234">
      <c r="A234" s="27"/>
      <c r="B234" s="35"/>
      <c r="C234" s="27"/>
      <c r="D234" s="36"/>
      <c r="E234" s="34"/>
      <c r="F234" s="38"/>
      <c r="G234" s="34"/>
      <c r="H234" s="34"/>
      <c r="I234" s="27"/>
      <c r="J234" s="27"/>
      <c r="K234" s="27"/>
      <c r="L234" s="27"/>
      <c r="M234" s="27"/>
      <c r="N234" s="27"/>
      <c r="O234" s="27"/>
      <c r="P234" s="27"/>
    </row>
    <row r="235">
      <c r="A235" s="27"/>
      <c r="B235" s="35"/>
      <c r="C235" s="27"/>
      <c r="D235" s="36"/>
      <c r="E235" s="34"/>
      <c r="F235" s="38"/>
      <c r="G235" s="34"/>
      <c r="H235" s="34"/>
      <c r="I235" s="27"/>
      <c r="J235" s="27"/>
      <c r="K235" s="27"/>
      <c r="L235" s="27"/>
      <c r="M235" s="27"/>
      <c r="N235" s="27"/>
      <c r="O235" s="27"/>
      <c r="P235" s="27"/>
    </row>
    <row r="236">
      <c r="A236" s="27"/>
      <c r="B236" s="35"/>
      <c r="C236" s="27"/>
      <c r="D236" s="36"/>
      <c r="E236" s="34"/>
      <c r="F236" s="38"/>
      <c r="G236" s="34"/>
      <c r="H236" s="34"/>
      <c r="I236" s="27"/>
      <c r="J236" s="27"/>
      <c r="K236" s="27"/>
      <c r="L236" s="27"/>
      <c r="M236" s="27"/>
      <c r="N236" s="27"/>
      <c r="O236" s="27"/>
      <c r="P236" s="27"/>
    </row>
    <row r="237">
      <c r="A237" s="27"/>
      <c r="B237" s="35"/>
      <c r="C237" s="27"/>
      <c r="D237" s="36"/>
      <c r="E237" s="34"/>
      <c r="F237" s="38"/>
      <c r="G237" s="34"/>
      <c r="H237" s="34"/>
      <c r="I237" s="27"/>
      <c r="J237" s="27"/>
      <c r="K237" s="27"/>
      <c r="L237" s="27"/>
      <c r="M237" s="27"/>
      <c r="N237" s="27"/>
      <c r="O237" s="27"/>
      <c r="P237" s="27"/>
    </row>
    <row r="238">
      <c r="A238" s="27"/>
      <c r="B238" s="35"/>
      <c r="C238" s="27"/>
      <c r="D238" s="36"/>
      <c r="E238" s="34"/>
      <c r="F238" s="38"/>
      <c r="G238" s="34"/>
      <c r="H238" s="34"/>
      <c r="I238" s="27"/>
      <c r="J238" s="27"/>
      <c r="K238" s="27"/>
      <c r="L238" s="27"/>
      <c r="M238" s="27"/>
      <c r="N238" s="27"/>
      <c r="O238" s="27"/>
      <c r="P238" s="27"/>
    </row>
    <row r="239">
      <c r="A239" s="27"/>
      <c r="B239" s="35"/>
      <c r="C239" s="27"/>
      <c r="D239" s="36"/>
      <c r="E239" s="34"/>
      <c r="F239" s="38"/>
      <c r="G239" s="34"/>
      <c r="H239" s="34"/>
      <c r="I239" s="27"/>
      <c r="J239" s="27"/>
      <c r="K239" s="27"/>
      <c r="L239" s="27"/>
      <c r="M239" s="27"/>
      <c r="N239" s="27"/>
      <c r="O239" s="27"/>
      <c r="P239" s="27"/>
    </row>
    <row r="240">
      <c r="A240" s="27"/>
      <c r="B240" s="35"/>
      <c r="C240" s="27"/>
      <c r="D240" s="36"/>
      <c r="E240" s="34"/>
      <c r="F240" s="38"/>
      <c r="G240" s="34"/>
      <c r="H240" s="34"/>
      <c r="I240" s="27"/>
      <c r="J240" s="27"/>
      <c r="K240" s="27"/>
      <c r="L240" s="27"/>
      <c r="M240" s="27"/>
      <c r="N240" s="27"/>
      <c r="O240" s="27"/>
      <c r="P240" s="27"/>
    </row>
    <row r="241">
      <c r="A241" s="27"/>
      <c r="B241" s="35"/>
      <c r="C241" s="27"/>
      <c r="D241" s="36"/>
      <c r="E241" s="34"/>
      <c r="F241" s="38"/>
      <c r="G241" s="34"/>
      <c r="H241" s="34"/>
      <c r="I241" s="27"/>
      <c r="J241" s="27"/>
      <c r="K241" s="27"/>
      <c r="L241" s="27"/>
      <c r="M241" s="27"/>
      <c r="N241" s="27"/>
      <c r="O241" s="27"/>
      <c r="P241" s="27"/>
    </row>
    <row r="242">
      <c r="A242" s="27"/>
      <c r="B242" s="35"/>
      <c r="C242" s="27"/>
      <c r="D242" s="36"/>
      <c r="E242" s="34"/>
      <c r="F242" s="38"/>
      <c r="G242" s="34"/>
      <c r="H242" s="34"/>
      <c r="I242" s="27"/>
      <c r="J242" s="27"/>
      <c r="K242" s="27"/>
      <c r="L242" s="27"/>
      <c r="M242" s="27"/>
      <c r="N242" s="27"/>
      <c r="O242" s="27"/>
      <c r="P242" s="27"/>
    </row>
    <row r="243">
      <c r="A243" s="27"/>
      <c r="B243" s="35"/>
      <c r="C243" s="27"/>
      <c r="D243" s="36"/>
      <c r="E243" s="34"/>
      <c r="F243" s="38"/>
      <c r="G243" s="34"/>
      <c r="H243" s="34"/>
      <c r="I243" s="27"/>
      <c r="J243" s="27"/>
      <c r="K243" s="27"/>
      <c r="L243" s="27"/>
      <c r="M243" s="27"/>
      <c r="N243" s="27"/>
      <c r="O243" s="27"/>
      <c r="P243" s="27"/>
    </row>
    <row r="244">
      <c r="A244" s="27"/>
      <c r="B244" s="35"/>
      <c r="C244" s="27"/>
      <c r="D244" s="36"/>
      <c r="E244" s="34"/>
      <c r="F244" s="38"/>
      <c r="G244" s="34"/>
      <c r="H244" s="34"/>
      <c r="I244" s="27"/>
      <c r="J244" s="27"/>
      <c r="K244" s="27"/>
      <c r="L244" s="27"/>
      <c r="M244" s="27"/>
      <c r="N244" s="27"/>
      <c r="O244" s="27"/>
      <c r="P244" s="27"/>
    </row>
    <row r="245">
      <c r="A245" s="27"/>
      <c r="B245" s="35"/>
      <c r="C245" s="27"/>
      <c r="D245" s="36"/>
      <c r="E245" s="34"/>
      <c r="F245" s="38"/>
      <c r="G245" s="34"/>
      <c r="H245" s="34"/>
      <c r="I245" s="27"/>
      <c r="J245" s="27"/>
      <c r="K245" s="27"/>
      <c r="L245" s="27"/>
      <c r="M245" s="27"/>
      <c r="N245" s="27"/>
      <c r="O245" s="27"/>
      <c r="P245" s="27"/>
    </row>
    <row r="246">
      <c r="A246" s="27"/>
      <c r="B246" s="35"/>
      <c r="C246" s="27"/>
      <c r="D246" s="36"/>
      <c r="E246" s="34"/>
      <c r="F246" s="38"/>
      <c r="G246" s="34"/>
      <c r="H246" s="34"/>
      <c r="I246" s="27"/>
      <c r="J246" s="27"/>
      <c r="K246" s="27"/>
      <c r="L246" s="27"/>
      <c r="M246" s="27"/>
      <c r="N246" s="27"/>
      <c r="O246" s="27"/>
      <c r="P246" s="27"/>
    </row>
    <row r="247">
      <c r="A247" s="27"/>
      <c r="B247" s="35"/>
      <c r="C247" s="27"/>
      <c r="D247" s="36"/>
      <c r="E247" s="34"/>
      <c r="F247" s="38"/>
      <c r="G247" s="34"/>
      <c r="H247" s="34"/>
      <c r="I247" s="27"/>
      <c r="J247" s="27"/>
      <c r="K247" s="27"/>
      <c r="L247" s="27"/>
      <c r="M247" s="27"/>
      <c r="N247" s="27"/>
      <c r="O247" s="27"/>
      <c r="P247" s="27"/>
    </row>
    <row r="248">
      <c r="A248" s="27"/>
      <c r="B248" s="35"/>
      <c r="C248" s="27"/>
      <c r="D248" s="36"/>
      <c r="E248" s="34"/>
      <c r="F248" s="38"/>
      <c r="G248" s="34"/>
      <c r="H248" s="34"/>
      <c r="I248" s="27"/>
      <c r="J248" s="27"/>
      <c r="K248" s="27"/>
      <c r="L248" s="27"/>
      <c r="M248" s="27"/>
      <c r="N248" s="27"/>
      <c r="O248" s="27"/>
      <c r="P248" s="27"/>
    </row>
    <row r="249">
      <c r="A249" s="27"/>
      <c r="B249" s="35"/>
      <c r="C249" s="27"/>
      <c r="D249" s="36"/>
      <c r="E249" s="34"/>
      <c r="F249" s="38"/>
      <c r="G249" s="34"/>
      <c r="H249" s="34"/>
      <c r="I249" s="27"/>
      <c r="J249" s="27"/>
      <c r="K249" s="27"/>
      <c r="L249" s="27"/>
      <c r="M249" s="27"/>
      <c r="N249" s="27"/>
      <c r="O249" s="27"/>
      <c r="P249" s="27"/>
    </row>
    <row r="250">
      <c r="A250" s="27"/>
      <c r="B250" s="35"/>
      <c r="C250" s="27"/>
      <c r="D250" s="36"/>
      <c r="E250" s="34"/>
      <c r="F250" s="38"/>
      <c r="G250" s="34"/>
      <c r="H250" s="34"/>
      <c r="I250" s="27"/>
      <c r="J250" s="27"/>
      <c r="K250" s="27"/>
      <c r="L250" s="27"/>
      <c r="M250" s="27"/>
      <c r="N250" s="27"/>
      <c r="O250" s="27"/>
      <c r="P250" s="27"/>
    </row>
    <row r="251">
      <c r="A251" s="27"/>
      <c r="B251" s="35"/>
      <c r="C251" s="27"/>
      <c r="D251" s="36"/>
      <c r="E251" s="34"/>
      <c r="F251" s="38"/>
      <c r="G251" s="34"/>
      <c r="H251" s="34"/>
      <c r="I251" s="27"/>
      <c r="J251" s="27"/>
      <c r="K251" s="27"/>
      <c r="L251" s="27"/>
      <c r="M251" s="27"/>
      <c r="N251" s="27"/>
      <c r="O251" s="27"/>
      <c r="P251" s="27"/>
    </row>
    <row r="252">
      <c r="A252" s="27"/>
      <c r="B252" s="35"/>
      <c r="C252" s="27"/>
      <c r="D252" s="36"/>
      <c r="E252" s="34"/>
      <c r="F252" s="38"/>
      <c r="G252" s="34"/>
      <c r="H252" s="34"/>
      <c r="I252" s="27"/>
      <c r="J252" s="27"/>
      <c r="K252" s="27"/>
      <c r="L252" s="27"/>
      <c r="M252" s="27"/>
      <c r="N252" s="27"/>
      <c r="O252" s="27"/>
      <c r="P252" s="27"/>
    </row>
    <row r="253">
      <c r="A253" s="27"/>
      <c r="B253" s="35"/>
      <c r="C253" s="27"/>
      <c r="D253" s="36"/>
      <c r="E253" s="34"/>
      <c r="F253" s="38"/>
      <c r="G253" s="34"/>
      <c r="H253" s="34"/>
      <c r="I253" s="27"/>
      <c r="J253" s="27"/>
      <c r="K253" s="27"/>
      <c r="L253" s="27"/>
      <c r="M253" s="27"/>
      <c r="N253" s="27"/>
      <c r="O253" s="27"/>
      <c r="P253" s="27"/>
    </row>
    <row r="254">
      <c r="A254" s="27"/>
      <c r="B254" s="35"/>
      <c r="C254" s="27"/>
      <c r="D254" s="36"/>
      <c r="E254" s="34"/>
      <c r="F254" s="38"/>
      <c r="G254" s="34"/>
      <c r="H254" s="34"/>
      <c r="I254" s="27"/>
      <c r="J254" s="27"/>
      <c r="K254" s="27"/>
      <c r="L254" s="27"/>
      <c r="M254" s="27"/>
      <c r="N254" s="27"/>
      <c r="O254" s="27"/>
      <c r="P254" s="27"/>
    </row>
    <row r="255">
      <c r="A255" s="27"/>
      <c r="B255" s="35"/>
      <c r="C255" s="27"/>
      <c r="D255" s="36"/>
      <c r="E255" s="34"/>
      <c r="F255" s="38"/>
      <c r="G255" s="34"/>
      <c r="H255" s="34"/>
      <c r="I255" s="27"/>
      <c r="J255" s="27"/>
      <c r="K255" s="27"/>
      <c r="L255" s="27"/>
      <c r="M255" s="27"/>
      <c r="N255" s="27"/>
      <c r="O255" s="27"/>
      <c r="P255" s="27"/>
    </row>
    <row r="256">
      <c r="A256" s="27"/>
      <c r="B256" s="35"/>
      <c r="C256" s="27"/>
      <c r="D256" s="36"/>
      <c r="E256" s="34"/>
      <c r="F256" s="38"/>
      <c r="G256" s="34"/>
      <c r="H256" s="34"/>
      <c r="I256" s="27"/>
      <c r="J256" s="27"/>
      <c r="K256" s="27"/>
      <c r="L256" s="27"/>
      <c r="M256" s="27"/>
      <c r="N256" s="27"/>
      <c r="O256" s="27"/>
      <c r="P256" s="27"/>
    </row>
    <row r="257">
      <c r="A257" s="27"/>
      <c r="B257" s="35"/>
      <c r="C257" s="27"/>
      <c r="D257" s="36"/>
      <c r="E257" s="34"/>
      <c r="F257" s="38"/>
      <c r="G257" s="34"/>
      <c r="H257" s="34"/>
      <c r="I257" s="27"/>
      <c r="J257" s="27"/>
      <c r="K257" s="27"/>
      <c r="L257" s="27"/>
      <c r="M257" s="27"/>
      <c r="N257" s="27"/>
      <c r="O257" s="27"/>
      <c r="P257" s="27"/>
    </row>
    <row r="258">
      <c r="A258" s="27"/>
      <c r="B258" s="35"/>
      <c r="C258" s="27"/>
      <c r="D258" s="36"/>
      <c r="E258" s="34"/>
      <c r="F258" s="38"/>
      <c r="G258" s="34"/>
      <c r="H258" s="34"/>
      <c r="I258" s="27"/>
      <c r="J258" s="27"/>
      <c r="K258" s="27"/>
      <c r="L258" s="27"/>
      <c r="M258" s="27"/>
      <c r="N258" s="27"/>
      <c r="O258" s="27"/>
      <c r="P258" s="27"/>
    </row>
    <row r="259">
      <c r="A259" s="27"/>
      <c r="B259" s="35"/>
      <c r="C259" s="27"/>
      <c r="D259" s="36"/>
      <c r="E259" s="34"/>
      <c r="F259" s="38"/>
      <c r="G259" s="34"/>
      <c r="H259" s="34"/>
      <c r="I259" s="27"/>
      <c r="J259" s="27"/>
      <c r="K259" s="27"/>
      <c r="L259" s="27"/>
      <c r="M259" s="27"/>
      <c r="N259" s="27"/>
      <c r="O259" s="27"/>
      <c r="P259" s="27"/>
    </row>
    <row r="260">
      <c r="A260" s="27"/>
      <c r="B260" s="35"/>
      <c r="C260" s="27"/>
      <c r="D260" s="36"/>
      <c r="E260" s="34"/>
      <c r="F260" s="38"/>
      <c r="G260" s="34"/>
      <c r="H260" s="34"/>
      <c r="I260" s="27"/>
      <c r="J260" s="27"/>
      <c r="K260" s="27"/>
      <c r="L260" s="27"/>
      <c r="M260" s="27"/>
      <c r="N260" s="27"/>
      <c r="O260" s="27"/>
      <c r="P260" s="27"/>
    </row>
    <row r="261">
      <c r="A261" s="27"/>
      <c r="B261" s="35"/>
      <c r="C261" s="27"/>
      <c r="D261" s="36"/>
      <c r="E261" s="34"/>
      <c r="F261" s="38"/>
      <c r="G261" s="34"/>
      <c r="H261" s="34"/>
      <c r="I261" s="27"/>
      <c r="J261" s="27"/>
      <c r="K261" s="27"/>
      <c r="L261" s="27"/>
      <c r="M261" s="27"/>
      <c r="N261" s="27"/>
      <c r="O261" s="27"/>
      <c r="P261" s="27"/>
    </row>
    <row r="262">
      <c r="A262" s="27"/>
      <c r="B262" s="35"/>
      <c r="C262" s="27"/>
      <c r="D262" s="36"/>
      <c r="E262" s="34"/>
      <c r="F262" s="38"/>
      <c r="G262" s="34"/>
      <c r="H262" s="34"/>
      <c r="I262" s="27"/>
      <c r="J262" s="27"/>
      <c r="K262" s="27"/>
      <c r="L262" s="27"/>
      <c r="M262" s="27"/>
      <c r="N262" s="27"/>
      <c r="O262" s="27"/>
      <c r="P262" s="27"/>
    </row>
    <row r="263">
      <c r="A263" s="27"/>
      <c r="B263" s="35"/>
      <c r="C263" s="27"/>
      <c r="D263" s="36"/>
      <c r="E263" s="34"/>
      <c r="F263" s="38"/>
      <c r="G263" s="34"/>
      <c r="H263" s="34"/>
      <c r="I263" s="27"/>
      <c r="J263" s="27"/>
      <c r="K263" s="27"/>
      <c r="L263" s="27"/>
      <c r="M263" s="27"/>
      <c r="N263" s="27"/>
      <c r="O263" s="27"/>
      <c r="P263" s="27"/>
    </row>
    <row r="264">
      <c r="A264" s="27"/>
      <c r="B264" s="35"/>
      <c r="C264" s="27"/>
      <c r="D264" s="36"/>
      <c r="E264" s="34"/>
      <c r="F264" s="38"/>
      <c r="G264" s="34"/>
      <c r="H264" s="34"/>
      <c r="I264" s="27"/>
      <c r="J264" s="27"/>
      <c r="K264" s="27"/>
      <c r="L264" s="27"/>
      <c r="M264" s="27"/>
      <c r="N264" s="27"/>
      <c r="O264" s="27"/>
      <c r="P264" s="27"/>
    </row>
    <row r="265">
      <c r="A265" s="27"/>
      <c r="B265" s="35"/>
      <c r="C265" s="27"/>
      <c r="D265" s="36"/>
      <c r="E265" s="34"/>
      <c r="F265" s="38"/>
      <c r="G265" s="34"/>
      <c r="H265" s="34"/>
      <c r="I265" s="27"/>
      <c r="J265" s="27"/>
      <c r="K265" s="27"/>
      <c r="L265" s="27"/>
      <c r="M265" s="27"/>
      <c r="N265" s="27"/>
      <c r="O265" s="27"/>
      <c r="P265" s="27"/>
    </row>
    <row r="266">
      <c r="A266" s="27"/>
      <c r="B266" s="35"/>
      <c r="C266" s="27"/>
      <c r="D266" s="36"/>
      <c r="E266" s="34"/>
      <c r="F266" s="38"/>
      <c r="G266" s="34"/>
      <c r="H266" s="34"/>
      <c r="I266" s="27"/>
      <c r="J266" s="27"/>
      <c r="K266" s="27"/>
      <c r="L266" s="27"/>
      <c r="M266" s="27"/>
      <c r="N266" s="27"/>
      <c r="O266" s="27"/>
      <c r="P266" s="27"/>
    </row>
    <row r="267">
      <c r="A267" s="27"/>
      <c r="B267" s="35"/>
      <c r="C267" s="27"/>
      <c r="D267" s="36"/>
      <c r="E267" s="34"/>
      <c r="F267" s="38"/>
      <c r="G267" s="34"/>
      <c r="H267" s="34"/>
      <c r="I267" s="27"/>
      <c r="J267" s="27"/>
      <c r="K267" s="27"/>
      <c r="L267" s="27"/>
      <c r="M267" s="27"/>
      <c r="N267" s="27"/>
      <c r="O267" s="27"/>
      <c r="P267" s="27"/>
    </row>
    <row r="268">
      <c r="A268" s="27"/>
      <c r="B268" s="35"/>
      <c r="C268" s="27"/>
      <c r="D268" s="36"/>
      <c r="E268" s="34"/>
      <c r="F268" s="38"/>
      <c r="G268" s="34"/>
      <c r="H268" s="34"/>
      <c r="I268" s="27"/>
      <c r="J268" s="27"/>
      <c r="K268" s="27"/>
      <c r="L268" s="27"/>
      <c r="M268" s="27"/>
      <c r="N268" s="27"/>
      <c r="O268" s="27"/>
      <c r="P268" s="27"/>
    </row>
    <row r="269">
      <c r="A269" s="27"/>
      <c r="B269" s="35"/>
      <c r="C269" s="27"/>
      <c r="D269" s="36"/>
      <c r="E269" s="34"/>
      <c r="F269" s="38"/>
      <c r="G269" s="34"/>
      <c r="H269" s="34"/>
      <c r="I269" s="27"/>
      <c r="J269" s="27"/>
      <c r="K269" s="27"/>
      <c r="L269" s="27"/>
      <c r="M269" s="27"/>
      <c r="N269" s="27"/>
      <c r="O269" s="27"/>
      <c r="P269" s="27"/>
    </row>
    <row r="270">
      <c r="A270" s="27"/>
      <c r="B270" s="35"/>
      <c r="C270" s="27"/>
      <c r="D270" s="36"/>
      <c r="E270" s="34"/>
      <c r="F270" s="38"/>
      <c r="G270" s="34"/>
      <c r="H270" s="34"/>
      <c r="I270" s="27"/>
      <c r="J270" s="27"/>
      <c r="K270" s="27"/>
      <c r="L270" s="27"/>
      <c r="M270" s="27"/>
      <c r="N270" s="27"/>
      <c r="O270" s="27"/>
      <c r="P270" s="27"/>
    </row>
    <row r="271">
      <c r="A271" s="27"/>
      <c r="B271" s="35"/>
      <c r="C271" s="27"/>
      <c r="D271" s="36"/>
      <c r="E271" s="34"/>
      <c r="F271" s="38"/>
      <c r="G271" s="34"/>
      <c r="H271" s="34"/>
      <c r="I271" s="27"/>
      <c r="J271" s="27"/>
      <c r="K271" s="27"/>
      <c r="L271" s="27"/>
      <c r="M271" s="27"/>
      <c r="N271" s="27"/>
      <c r="O271" s="27"/>
      <c r="P271" s="27"/>
    </row>
    <row r="272">
      <c r="A272" s="27"/>
      <c r="B272" s="35"/>
      <c r="C272" s="27"/>
      <c r="D272" s="36"/>
      <c r="E272" s="34"/>
      <c r="F272" s="38"/>
      <c r="G272" s="34"/>
      <c r="H272" s="34"/>
      <c r="I272" s="27"/>
      <c r="J272" s="27"/>
      <c r="K272" s="27"/>
      <c r="L272" s="27"/>
      <c r="M272" s="27"/>
      <c r="N272" s="27"/>
      <c r="O272" s="27"/>
      <c r="P272" s="27"/>
    </row>
    <row r="273">
      <c r="A273" s="27"/>
      <c r="B273" s="35"/>
      <c r="C273" s="27"/>
      <c r="D273" s="36"/>
      <c r="E273" s="34"/>
      <c r="F273" s="38"/>
      <c r="G273" s="34"/>
      <c r="H273" s="34"/>
      <c r="I273" s="27"/>
      <c r="J273" s="27"/>
      <c r="K273" s="27"/>
      <c r="L273" s="27"/>
      <c r="M273" s="27"/>
      <c r="N273" s="27"/>
      <c r="O273" s="27"/>
      <c r="P273" s="27"/>
    </row>
    <row r="274">
      <c r="A274" s="27"/>
      <c r="B274" s="35"/>
      <c r="C274" s="27"/>
      <c r="D274" s="36"/>
      <c r="E274" s="34"/>
      <c r="F274" s="38"/>
      <c r="G274" s="34"/>
      <c r="H274" s="34"/>
      <c r="I274" s="27"/>
      <c r="J274" s="27"/>
      <c r="K274" s="27"/>
      <c r="L274" s="27"/>
      <c r="M274" s="27"/>
      <c r="N274" s="27"/>
      <c r="O274" s="27"/>
      <c r="P274" s="27"/>
    </row>
    <row r="275">
      <c r="A275" s="27"/>
      <c r="B275" s="35"/>
      <c r="C275" s="27"/>
      <c r="D275" s="36"/>
      <c r="E275" s="34"/>
      <c r="F275" s="38"/>
      <c r="G275" s="34"/>
      <c r="H275" s="34"/>
      <c r="I275" s="27"/>
      <c r="J275" s="27"/>
      <c r="K275" s="27"/>
      <c r="L275" s="27"/>
      <c r="M275" s="27"/>
      <c r="N275" s="27"/>
      <c r="O275" s="27"/>
      <c r="P275" s="27"/>
    </row>
    <row r="276">
      <c r="A276" s="27"/>
      <c r="B276" s="35"/>
      <c r="C276" s="27"/>
      <c r="D276" s="36"/>
      <c r="E276" s="34"/>
      <c r="F276" s="38"/>
      <c r="G276" s="34"/>
      <c r="H276" s="34"/>
      <c r="I276" s="27"/>
      <c r="J276" s="27"/>
      <c r="K276" s="27"/>
      <c r="L276" s="27"/>
      <c r="M276" s="27"/>
      <c r="N276" s="27"/>
      <c r="O276" s="27"/>
      <c r="P276" s="27"/>
    </row>
    <row r="277">
      <c r="A277" s="27"/>
      <c r="B277" s="35"/>
      <c r="C277" s="27"/>
      <c r="D277" s="36"/>
      <c r="E277" s="34"/>
      <c r="F277" s="38"/>
      <c r="G277" s="34"/>
      <c r="H277" s="34"/>
      <c r="I277" s="27"/>
      <c r="J277" s="27"/>
      <c r="K277" s="27"/>
      <c r="L277" s="27"/>
      <c r="M277" s="27"/>
      <c r="N277" s="27"/>
      <c r="O277" s="27"/>
      <c r="P277" s="27"/>
    </row>
    <row r="278">
      <c r="A278" s="27"/>
      <c r="B278" s="35"/>
      <c r="C278" s="27"/>
      <c r="D278" s="36"/>
      <c r="E278" s="34"/>
      <c r="F278" s="38"/>
      <c r="G278" s="34"/>
      <c r="H278" s="34"/>
      <c r="I278" s="27"/>
      <c r="J278" s="27"/>
      <c r="K278" s="27"/>
      <c r="L278" s="27"/>
      <c r="M278" s="27"/>
      <c r="N278" s="27"/>
      <c r="O278" s="27"/>
      <c r="P278" s="27"/>
    </row>
    <row r="279">
      <c r="A279" s="27"/>
      <c r="B279" s="35"/>
      <c r="C279" s="27"/>
      <c r="D279" s="36"/>
      <c r="E279" s="34"/>
      <c r="F279" s="38"/>
      <c r="G279" s="34"/>
      <c r="H279" s="34"/>
      <c r="I279" s="27"/>
      <c r="J279" s="27"/>
      <c r="K279" s="27"/>
      <c r="L279" s="27"/>
      <c r="M279" s="27"/>
      <c r="N279" s="27"/>
      <c r="O279" s="27"/>
      <c r="P279" s="27"/>
    </row>
    <row r="280">
      <c r="A280" s="27"/>
      <c r="B280" s="35"/>
      <c r="C280" s="27"/>
      <c r="D280" s="36"/>
      <c r="E280" s="34"/>
      <c r="F280" s="38"/>
      <c r="G280" s="34"/>
      <c r="H280" s="34"/>
      <c r="I280" s="27"/>
      <c r="J280" s="27"/>
      <c r="K280" s="27"/>
      <c r="L280" s="27"/>
      <c r="M280" s="27"/>
      <c r="N280" s="27"/>
      <c r="O280" s="27"/>
      <c r="P280" s="27"/>
    </row>
    <row r="281">
      <c r="A281" s="27"/>
      <c r="B281" s="35"/>
      <c r="C281" s="27"/>
      <c r="D281" s="36"/>
      <c r="E281" s="34"/>
      <c r="F281" s="38"/>
      <c r="G281" s="34"/>
      <c r="H281" s="34"/>
      <c r="I281" s="27"/>
      <c r="J281" s="27"/>
      <c r="K281" s="27"/>
      <c r="L281" s="27"/>
      <c r="M281" s="27"/>
      <c r="N281" s="27"/>
      <c r="O281" s="27"/>
      <c r="P281" s="27"/>
    </row>
    <row r="282">
      <c r="A282" s="27"/>
      <c r="B282" s="35"/>
      <c r="C282" s="27"/>
      <c r="D282" s="36"/>
      <c r="E282" s="34"/>
      <c r="F282" s="38"/>
      <c r="G282" s="34"/>
      <c r="H282" s="34"/>
      <c r="I282" s="27"/>
      <c r="J282" s="27"/>
      <c r="K282" s="27"/>
      <c r="L282" s="27"/>
      <c r="M282" s="27"/>
      <c r="N282" s="27"/>
      <c r="O282" s="27"/>
      <c r="P282" s="27"/>
    </row>
    <row r="283">
      <c r="A283" s="27"/>
      <c r="B283" s="35"/>
      <c r="C283" s="27"/>
      <c r="D283" s="36"/>
      <c r="E283" s="34"/>
      <c r="F283" s="38"/>
      <c r="G283" s="34"/>
      <c r="H283" s="34"/>
      <c r="I283" s="27"/>
      <c r="J283" s="27"/>
      <c r="K283" s="27"/>
      <c r="L283" s="27"/>
      <c r="M283" s="27"/>
      <c r="N283" s="27"/>
      <c r="O283" s="27"/>
      <c r="P283" s="27"/>
    </row>
    <row r="284">
      <c r="A284" s="27"/>
      <c r="B284" s="35"/>
      <c r="C284" s="27"/>
      <c r="D284" s="36"/>
      <c r="E284" s="34"/>
      <c r="F284" s="38"/>
      <c r="G284" s="34"/>
      <c r="H284" s="34"/>
      <c r="I284" s="27"/>
      <c r="J284" s="27"/>
      <c r="K284" s="27"/>
      <c r="L284" s="27"/>
      <c r="M284" s="27"/>
      <c r="N284" s="27"/>
      <c r="O284" s="27"/>
      <c r="P284" s="27"/>
    </row>
    <row r="285">
      <c r="A285" s="27"/>
      <c r="B285" s="35"/>
      <c r="C285" s="27"/>
      <c r="D285" s="36"/>
      <c r="E285" s="34"/>
      <c r="F285" s="38"/>
      <c r="G285" s="34"/>
      <c r="H285" s="34"/>
      <c r="I285" s="27"/>
      <c r="J285" s="27"/>
      <c r="K285" s="27"/>
      <c r="L285" s="27"/>
      <c r="M285" s="27"/>
      <c r="N285" s="27"/>
      <c r="O285" s="27"/>
      <c r="P285" s="27"/>
    </row>
    <row r="286">
      <c r="A286" s="27"/>
      <c r="B286" s="35"/>
      <c r="C286" s="27"/>
      <c r="D286" s="36"/>
      <c r="E286" s="34"/>
      <c r="F286" s="38"/>
      <c r="G286" s="34"/>
      <c r="H286" s="34"/>
      <c r="I286" s="27"/>
      <c r="J286" s="27"/>
      <c r="K286" s="27"/>
      <c r="L286" s="27"/>
      <c r="M286" s="27"/>
      <c r="N286" s="27"/>
      <c r="O286" s="27"/>
      <c r="P286" s="27"/>
    </row>
    <row r="287">
      <c r="A287" s="27"/>
      <c r="B287" s="35"/>
      <c r="C287" s="27"/>
      <c r="D287" s="36"/>
      <c r="E287" s="34"/>
      <c r="F287" s="38"/>
      <c r="G287" s="34"/>
      <c r="H287" s="34"/>
      <c r="I287" s="27"/>
      <c r="J287" s="27"/>
      <c r="K287" s="27"/>
      <c r="L287" s="27"/>
      <c r="M287" s="27"/>
      <c r="N287" s="27"/>
      <c r="O287" s="27"/>
      <c r="P287" s="27"/>
    </row>
    <row r="288">
      <c r="A288" s="27"/>
      <c r="B288" s="35"/>
      <c r="C288" s="27"/>
      <c r="D288" s="36"/>
      <c r="E288" s="34"/>
      <c r="F288" s="38"/>
      <c r="G288" s="34"/>
      <c r="H288" s="34"/>
      <c r="I288" s="27"/>
      <c r="J288" s="27"/>
      <c r="K288" s="27"/>
      <c r="L288" s="27"/>
      <c r="M288" s="27"/>
      <c r="N288" s="27"/>
      <c r="O288" s="27"/>
      <c r="P288" s="27"/>
    </row>
    <row r="289">
      <c r="A289" s="27"/>
      <c r="B289" s="35"/>
      <c r="C289" s="27"/>
      <c r="D289" s="36"/>
      <c r="E289" s="34"/>
      <c r="F289" s="38"/>
      <c r="G289" s="34"/>
      <c r="H289" s="34"/>
      <c r="I289" s="27"/>
      <c r="J289" s="27"/>
      <c r="K289" s="27"/>
      <c r="L289" s="27"/>
      <c r="M289" s="27"/>
      <c r="N289" s="27"/>
      <c r="O289" s="27"/>
      <c r="P289" s="27"/>
    </row>
    <row r="290">
      <c r="A290" s="27"/>
      <c r="B290" s="35"/>
      <c r="C290" s="27"/>
      <c r="D290" s="36"/>
      <c r="E290" s="34"/>
      <c r="F290" s="38"/>
      <c r="G290" s="34"/>
      <c r="H290" s="34"/>
      <c r="I290" s="27"/>
      <c r="J290" s="27"/>
      <c r="K290" s="27"/>
      <c r="L290" s="27"/>
      <c r="M290" s="27"/>
      <c r="N290" s="27"/>
      <c r="O290" s="27"/>
      <c r="P290" s="27"/>
    </row>
    <row r="291">
      <c r="A291" s="27"/>
      <c r="B291" s="35"/>
      <c r="C291" s="27"/>
      <c r="D291" s="36"/>
      <c r="E291" s="34"/>
      <c r="F291" s="38"/>
      <c r="G291" s="34"/>
      <c r="H291" s="34"/>
      <c r="I291" s="27"/>
      <c r="J291" s="27"/>
      <c r="K291" s="27"/>
      <c r="L291" s="27"/>
      <c r="M291" s="27"/>
      <c r="N291" s="27"/>
      <c r="O291" s="27"/>
      <c r="P291" s="27"/>
    </row>
    <row r="292">
      <c r="A292" s="27"/>
      <c r="B292" s="35"/>
      <c r="C292" s="27"/>
      <c r="D292" s="36"/>
      <c r="E292" s="34"/>
      <c r="F292" s="38"/>
      <c r="G292" s="34"/>
      <c r="H292" s="34"/>
      <c r="I292" s="27"/>
      <c r="J292" s="27"/>
      <c r="K292" s="27"/>
      <c r="L292" s="27"/>
      <c r="M292" s="27"/>
      <c r="N292" s="27"/>
      <c r="O292" s="27"/>
      <c r="P292" s="27"/>
    </row>
    <row r="293">
      <c r="A293" s="27"/>
      <c r="B293" s="35"/>
      <c r="C293" s="27"/>
      <c r="D293" s="36"/>
      <c r="E293" s="34"/>
      <c r="F293" s="38"/>
      <c r="G293" s="34"/>
      <c r="H293" s="34"/>
      <c r="I293" s="27"/>
      <c r="J293" s="27"/>
      <c r="K293" s="27"/>
      <c r="L293" s="27"/>
      <c r="M293" s="27"/>
      <c r="N293" s="27"/>
      <c r="O293" s="27"/>
      <c r="P293" s="27"/>
    </row>
    <row r="294">
      <c r="A294" s="27"/>
      <c r="B294" s="35"/>
      <c r="C294" s="27"/>
      <c r="D294" s="36"/>
      <c r="E294" s="34"/>
      <c r="F294" s="38"/>
      <c r="G294" s="34"/>
      <c r="H294" s="34"/>
      <c r="I294" s="27"/>
      <c r="J294" s="27"/>
      <c r="K294" s="27"/>
      <c r="L294" s="27"/>
      <c r="M294" s="27"/>
      <c r="N294" s="27"/>
      <c r="O294" s="27"/>
      <c r="P294" s="27"/>
    </row>
    <row r="295">
      <c r="A295" s="27"/>
      <c r="B295" s="35"/>
      <c r="C295" s="27"/>
      <c r="D295" s="36"/>
      <c r="E295" s="34"/>
      <c r="F295" s="38"/>
      <c r="G295" s="34"/>
      <c r="H295" s="34"/>
      <c r="I295" s="27"/>
      <c r="J295" s="27"/>
      <c r="K295" s="27"/>
      <c r="L295" s="27"/>
      <c r="M295" s="27"/>
      <c r="N295" s="27"/>
      <c r="O295" s="27"/>
      <c r="P295" s="27"/>
    </row>
    <row r="296">
      <c r="A296" s="27"/>
      <c r="B296" s="35"/>
      <c r="C296" s="27"/>
      <c r="D296" s="36"/>
      <c r="E296" s="34"/>
      <c r="F296" s="38"/>
      <c r="G296" s="34"/>
      <c r="H296" s="34"/>
      <c r="I296" s="27"/>
      <c r="J296" s="27"/>
      <c r="K296" s="27"/>
      <c r="L296" s="27"/>
      <c r="M296" s="27"/>
      <c r="N296" s="27"/>
      <c r="O296" s="27"/>
      <c r="P296" s="27"/>
    </row>
    <row r="297">
      <c r="A297" s="27"/>
      <c r="B297" s="35"/>
      <c r="C297" s="27"/>
      <c r="D297" s="36"/>
      <c r="E297" s="34"/>
      <c r="F297" s="38"/>
      <c r="G297" s="34"/>
      <c r="H297" s="34"/>
      <c r="I297" s="27"/>
      <c r="J297" s="27"/>
      <c r="K297" s="27"/>
      <c r="L297" s="27"/>
      <c r="M297" s="27"/>
      <c r="N297" s="27"/>
      <c r="O297" s="27"/>
      <c r="P297" s="27"/>
    </row>
    <row r="298">
      <c r="A298" s="27"/>
      <c r="B298" s="35"/>
      <c r="C298" s="27"/>
      <c r="D298" s="36"/>
      <c r="E298" s="34"/>
      <c r="F298" s="38"/>
      <c r="G298" s="34"/>
      <c r="H298" s="34"/>
      <c r="I298" s="27"/>
      <c r="J298" s="27"/>
      <c r="K298" s="27"/>
      <c r="L298" s="27"/>
      <c r="M298" s="27"/>
      <c r="N298" s="27"/>
      <c r="O298" s="27"/>
      <c r="P298" s="27"/>
    </row>
    <row r="299">
      <c r="A299" s="27"/>
      <c r="B299" s="35"/>
      <c r="C299" s="27"/>
      <c r="D299" s="36"/>
      <c r="E299" s="34"/>
      <c r="F299" s="38"/>
      <c r="G299" s="34"/>
      <c r="H299" s="34"/>
      <c r="I299" s="27"/>
      <c r="J299" s="27"/>
      <c r="K299" s="27"/>
      <c r="L299" s="27"/>
      <c r="M299" s="27"/>
      <c r="N299" s="27"/>
      <c r="O299" s="27"/>
      <c r="P299" s="27"/>
    </row>
    <row r="300">
      <c r="A300" s="27"/>
      <c r="B300" s="35"/>
      <c r="C300" s="27"/>
      <c r="D300" s="36"/>
      <c r="E300" s="34"/>
      <c r="F300" s="38"/>
      <c r="G300" s="34"/>
      <c r="H300" s="34"/>
      <c r="I300" s="27"/>
      <c r="J300" s="27"/>
      <c r="K300" s="27"/>
      <c r="L300" s="27"/>
      <c r="M300" s="27"/>
      <c r="N300" s="27"/>
      <c r="O300" s="27"/>
      <c r="P300" s="27"/>
    </row>
    <row r="301">
      <c r="A301" s="27"/>
      <c r="B301" s="35"/>
      <c r="C301" s="27"/>
      <c r="D301" s="36"/>
      <c r="E301" s="34"/>
      <c r="F301" s="38"/>
      <c r="G301" s="34"/>
      <c r="H301" s="34"/>
      <c r="I301" s="27"/>
      <c r="J301" s="27"/>
      <c r="K301" s="27"/>
      <c r="L301" s="27"/>
      <c r="M301" s="27"/>
      <c r="N301" s="27"/>
      <c r="O301" s="27"/>
      <c r="P301" s="27"/>
    </row>
    <row r="302">
      <c r="A302" s="27"/>
      <c r="B302" s="35"/>
      <c r="C302" s="27"/>
      <c r="D302" s="36"/>
      <c r="E302" s="34"/>
      <c r="F302" s="38"/>
      <c r="G302" s="34"/>
      <c r="H302" s="34"/>
      <c r="I302" s="27"/>
      <c r="J302" s="27"/>
      <c r="K302" s="27"/>
      <c r="L302" s="27"/>
      <c r="M302" s="27"/>
      <c r="N302" s="27"/>
      <c r="O302" s="27"/>
      <c r="P302" s="27"/>
    </row>
    <row r="303">
      <c r="A303" s="27"/>
      <c r="B303" s="35"/>
      <c r="C303" s="27"/>
      <c r="D303" s="36"/>
      <c r="E303" s="34"/>
      <c r="F303" s="38"/>
      <c r="G303" s="34"/>
      <c r="H303" s="34"/>
      <c r="I303" s="27"/>
      <c r="J303" s="27"/>
      <c r="K303" s="27"/>
      <c r="L303" s="27"/>
      <c r="M303" s="27"/>
      <c r="N303" s="27"/>
      <c r="O303" s="27"/>
      <c r="P303" s="27"/>
    </row>
    <row r="304">
      <c r="A304" s="27"/>
      <c r="B304" s="35"/>
      <c r="C304" s="27"/>
      <c r="D304" s="36"/>
      <c r="E304" s="34"/>
      <c r="F304" s="38"/>
      <c r="G304" s="34"/>
      <c r="H304" s="34"/>
      <c r="I304" s="27"/>
      <c r="J304" s="27"/>
      <c r="K304" s="27"/>
      <c r="L304" s="27"/>
      <c r="M304" s="27"/>
      <c r="N304" s="27"/>
      <c r="O304" s="27"/>
      <c r="P304" s="27"/>
    </row>
    <row r="305">
      <c r="A305" s="27"/>
      <c r="B305" s="35"/>
      <c r="C305" s="27"/>
      <c r="D305" s="36"/>
      <c r="E305" s="34"/>
      <c r="F305" s="38"/>
      <c r="G305" s="34"/>
      <c r="H305" s="34"/>
      <c r="I305" s="27"/>
      <c r="J305" s="27"/>
      <c r="K305" s="27"/>
      <c r="L305" s="27"/>
      <c r="M305" s="27"/>
      <c r="N305" s="27"/>
      <c r="O305" s="27"/>
      <c r="P305" s="27"/>
    </row>
    <row r="306">
      <c r="A306" s="27"/>
      <c r="B306" s="35"/>
      <c r="C306" s="27"/>
      <c r="D306" s="36"/>
      <c r="E306" s="34"/>
      <c r="F306" s="38"/>
      <c r="G306" s="34"/>
      <c r="H306" s="34"/>
      <c r="I306" s="27"/>
      <c r="J306" s="27"/>
      <c r="K306" s="27"/>
      <c r="L306" s="27"/>
      <c r="M306" s="27"/>
      <c r="N306" s="27"/>
      <c r="O306" s="27"/>
      <c r="P306" s="27"/>
    </row>
    <row r="307">
      <c r="A307" s="27"/>
      <c r="B307" s="35"/>
      <c r="C307" s="27"/>
      <c r="D307" s="36"/>
      <c r="E307" s="34"/>
      <c r="F307" s="38"/>
      <c r="G307" s="34"/>
      <c r="H307" s="34"/>
      <c r="I307" s="27"/>
      <c r="J307" s="27"/>
      <c r="K307" s="27"/>
      <c r="L307" s="27"/>
      <c r="M307" s="27"/>
      <c r="N307" s="27"/>
      <c r="O307" s="27"/>
      <c r="P307" s="27"/>
    </row>
    <row r="308">
      <c r="A308" s="27"/>
      <c r="B308" s="35"/>
      <c r="C308" s="27"/>
      <c r="D308" s="36"/>
      <c r="E308" s="34"/>
      <c r="F308" s="38"/>
      <c r="G308" s="34"/>
      <c r="H308" s="34"/>
      <c r="I308" s="27"/>
      <c r="J308" s="27"/>
      <c r="K308" s="27"/>
      <c r="L308" s="27"/>
      <c r="M308" s="27"/>
      <c r="N308" s="27"/>
      <c r="O308" s="27"/>
      <c r="P308" s="27"/>
    </row>
    <row r="309">
      <c r="A309" s="27"/>
      <c r="B309" s="35"/>
      <c r="C309" s="27"/>
      <c r="D309" s="36"/>
      <c r="E309" s="34"/>
      <c r="F309" s="38"/>
      <c r="G309" s="34"/>
      <c r="H309" s="34"/>
      <c r="I309" s="27"/>
      <c r="J309" s="27"/>
      <c r="K309" s="27"/>
      <c r="L309" s="27"/>
      <c r="M309" s="27"/>
      <c r="N309" s="27"/>
      <c r="O309" s="27"/>
      <c r="P309" s="27"/>
    </row>
    <row r="310">
      <c r="A310" s="27"/>
      <c r="B310" s="35"/>
      <c r="C310" s="27"/>
      <c r="D310" s="36"/>
      <c r="E310" s="34"/>
      <c r="F310" s="38"/>
      <c r="G310" s="34"/>
      <c r="H310" s="34"/>
      <c r="I310" s="27"/>
      <c r="J310" s="27"/>
      <c r="K310" s="27"/>
      <c r="L310" s="27"/>
      <c r="M310" s="27"/>
      <c r="N310" s="27"/>
      <c r="O310" s="27"/>
      <c r="P310" s="27"/>
    </row>
    <row r="311">
      <c r="A311" s="27"/>
      <c r="B311" s="35"/>
      <c r="C311" s="27"/>
      <c r="D311" s="36"/>
      <c r="E311" s="34"/>
      <c r="F311" s="38"/>
      <c r="G311" s="34"/>
      <c r="H311" s="34"/>
      <c r="I311" s="27"/>
      <c r="J311" s="27"/>
      <c r="K311" s="27"/>
      <c r="L311" s="27"/>
      <c r="M311" s="27"/>
      <c r="N311" s="27"/>
      <c r="O311" s="27"/>
      <c r="P311" s="27"/>
    </row>
    <row r="312">
      <c r="A312" s="27"/>
      <c r="B312" s="35"/>
      <c r="C312" s="27"/>
      <c r="D312" s="36"/>
      <c r="E312" s="34"/>
      <c r="F312" s="38"/>
      <c r="G312" s="34"/>
      <c r="H312" s="34"/>
      <c r="I312" s="27"/>
      <c r="J312" s="27"/>
      <c r="K312" s="27"/>
      <c r="L312" s="27"/>
      <c r="M312" s="27"/>
      <c r="N312" s="27"/>
      <c r="O312" s="27"/>
      <c r="P312" s="27"/>
    </row>
    <row r="313">
      <c r="A313" s="27"/>
      <c r="B313" s="35"/>
      <c r="C313" s="27"/>
      <c r="D313" s="36"/>
      <c r="E313" s="34"/>
      <c r="F313" s="38"/>
      <c r="G313" s="34"/>
      <c r="H313" s="34"/>
      <c r="I313" s="27"/>
      <c r="J313" s="27"/>
      <c r="K313" s="27"/>
      <c r="L313" s="27"/>
      <c r="M313" s="27"/>
      <c r="N313" s="27"/>
      <c r="O313" s="27"/>
      <c r="P313" s="27"/>
    </row>
    <row r="314">
      <c r="A314" s="27"/>
      <c r="B314" s="35"/>
      <c r="C314" s="27"/>
      <c r="D314" s="36"/>
      <c r="E314" s="34"/>
      <c r="F314" s="38"/>
      <c r="G314" s="34"/>
      <c r="H314" s="34"/>
      <c r="I314" s="27"/>
      <c r="J314" s="27"/>
      <c r="K314" s="27"/>
      <c r="L314" s="27"/>
      <c r="M314" s="27"/>
      <c r="N314" s="27"/>
      <c r="O314" s="27"/>
      <c r="P314" s="27"/>
    </row>
    <row r="315">
      <c r="A315" s="27"/>
      <c r="B315" s="35"/>
      <c r="C315" s="27"/>
      <c r="D315" s="36"/>
      <c r="E315" s="34"/>
      <c r="F315" s="38"/>
      <c r="G315" s="34"/>
      <c r="H315" s="34"/>
      <c r="I315" s="27"/>
      <c r="J315" s="27"/>
      <c r="K315" s="27"/>
      <c r="L315" s="27"/>
      <c r="M315" s="27"/>
      <c r="N315" s="27"/>
      <c r="O315" s="27"/>
      <c r="P315" s="27"/>
    </row>
    <row r="316">
      <c r="A316" s="27"/>
      <c r="B316" s="35"/>
      <c r="C316" s="27"/>
      <c r="D316" s="36"/>
      <c r="E316" s="34"/>
      <c r="F316" s="38"/>
      <c r="G316" s="34"/>
      <c r="H316" s="34"/>
      <c r="I316" s="27"/>
      <c r="J316" s="27"/>
      <c r="K316" s="27"/>
      <c r="L316" s="27"/>
      <c r="M316" s="27"/>
      <c r="N316" s="27"/>
      <c r="O316" s="27"/>
      <c r="P316" s="27"/>
    </row>
    <row r="317">
      <c r="A317" s="27"/>
      <c r="B317" s="35"/>
      <c r="C317" s="27"/>
      <c r="D317" s="36"/>
      <c r="E317" s="34"/>
      <c r="F317" s="38"/>
      <c r="G317" s="34"/>
      <c r="H317" s="34"/>
      <c r="I317" s="27"/>
      <c r="J317" s="27"/>
      <c r="K317" s="27"/>
      <c r="L317" s="27"/>
      <c r="M317" s="27"/>
      <c r="N317" s="27"/>
      <c r="O317" s="27"/>
      <c r="P317" s="27"/>
    </row>
    <row r="318">
      <c r="A318" s="27"/>
      <c r="B318" s="35"/>
      <c r="C318" s="27"/>
      <c r="D318" s="36"/>
      <c r="E318" s="34"/>
      <c r="F318" s="38"/>
      <c r="G318" s="34"/>
      <c r="H318" s="34"/>
      <c r="I318" s="27"/>
      <c r="J318" s="27"/>
      <c r="K318" s="27"/>
      <c r="L318" s="27"/>
      <c r="M318" s="27"/>
      <c r="N318" s="27"/>
      <c r="O318" s="27"/>
      <c r="P318" s="27"/>
    </row>
    <row r="319">
      <c r="A319" s="27"/>
      <c r="B319" s="35"/>
      <c r="C319" s="27"/>
      <c r="D319" s="36"/>
      <c r="E319" s="34"/>
      <c r="F319" s="38"/>
      <c r="G319" s="34"/>
      <c r="H319" s="34"/>
      <c r="I319" s="27"/>
      <c r="J319" s="27"/>
      <c r="K319" s="27"/>
      <c r="L319" s="27"/>
      <c r="M319" s="27"/>
      <c r="N319" s="27"/>
      <c r="O319" s="27"/>
      <c r="P319" s="27"/>
    </row>
    <row r="320">
      <c r="A320" s="27"/>
      <c r="B320" s="35"/>
      <c r="C320" s="27"/>
      <c r="D320" s="36"/>
      <c r="E320" s="34"/>
      <c r="F320" s="38"/>
      <c r="G320" s="34"/>
      <c r="H320" s="34"/>
      <c r="I320" s="27"/>
      <c r="J320" s="27"/>
      <c r="K320" s="27"/>
      <c r="L320" s="27"/>
      <c r="M320" s="27"/>
      <c r="N320" s="27"/>
      <c r="O320" s="27"/>
      <c r="P320" s="27"/>
    </row>
    <row r="321">
      <c r="A321" s="27"/>
      <c r="B321" s="35"/>
      <c r="C321" s="27"/>
      <c r="D321" s="36"/>
      <c r="E321" s="34"/>
      <c r="F321" s="38"/>
      <c r="G321" s="34"/>
      <c r="H321" s="34"/>
      <c r="I321" s="27"/>
      <c r="J321" s="27"/>
      <c r="K321" s="27"/>
      <c r="L321" s="27"/>
      <c r="M321" s="27"/>
      <c r="N321" s="27"/>
      <c r="O321" s="27"/>
      <c r="P321" s="27"/>
    </row>
    <row r="322">
      <c r="A322" s="27"/>
      <c r="B322" s="35"/>
      <c r="C322" s="27"/>
      <c r="D322" s="36"/>
      <c r="E322" s="34"/>
      <c r="F322" s="38"/>
      <c r="G322" s="34"/>
      <c r="H322" s="34"/>
      <c r="I322" s="27"/>
      <c r="J322" s="27"/>
      <c r="K322" s="27"/>
      <c r="L322" s="27"/>
      <c r="M322" s="27"/>
      <c r="N322" s="27"/>
      <c r="O322" s="27"/>
      <c r="P322" s="27"/>
    </row>
    <row r="323">
      <c r="A323" s="27"/>
      <c r="B323" s="35"/>
      <c r="C323" s="27"/>
      <c r="D323" s="36"/>
      <c r="E323" s="34"/>
      <c r="F323" s="38"/>
      <c r="G323" s="34"/>
      <c r="H323" s="34"/>
      <c r="I323" s="27"/>
      <c r="J323" s="27"/>
      <c r="K323" s="27"/>
      <c r="L323" s="27"/>
      <c r="M323" s="27"/>
      <c r="N323" s="27"/>
      <c r="O323" s="27"/>
      <c r="P323" s="27"/>
    </row>
    <row r="324">
      <c r="A324" s="27"/>
      <c r="B324" s="35"/>
      <c r="C324" s="27"/>
      <c r="D324" s="36"/>
      <c r="E324" s="34"/>
      <c r="F324" s="38"/>
      <c r="G324" s="34"/>
      <c r="H324" s="34"/>
      <c r="I324" s="27"/>
      <c r="J324" s="27"/>
      <c r="K324" s="27"/>
      <c r="L324" s="27"/>
      <c r="M324" s="27"/>
      <c r="N324" s="27"/>
      <c r="O324" s="27"/>
      <c r="P324" s="27"/>
    </row>
    <row r="325">
      <c r="A325" s="27"/>
      <c r="B325" s="35"/>
      <c r="C325" s="27"/>
      <c r="D325" s="36"/>
      <c r="E325" s="34"/>
      <c r="F325" s="38"/>
      <c r="G325" s="34"/>
      <c r="H325" s="34"/>
      <c r="I325" s="27"/>
      <c r="J325" s="27"/>
      <c r="K325" s="27"/>
      <c r="L325" s="27"/>
      <c r="M325" s="27"/>
      <c r="N325" s="27"/>
      <c r="O325" s="27"/>
      <c r="P325" s="27"/>
    </row>
    <row r="326">
      <c r="A326" s="27"/>
      <c r="B326" s="35"/>
      <c r="C326" s="27"/>
      <c r="D326" s="36"/>
      <c r="E326" s="34"/>
      <c r="F326" s="38"/>
      <c r="G326" s="34"/>
      <c r="H326" s="34"/>
      <c r="I326" s="27"/>
      <c r="J326" s="27"/>
      <c r="K326" s="27"/>
      <c r="L326" s="27"/>
      <c r="M326" s="27"/>
      <c r="N326" s="27"/>
      <c r="O326" s="27"/>
      <c r="P326" s="27"/>
    </row>
    <row r="327">
      <c r="A327" s="27"/>
      <c r="B327" s="35"/>
      <c r="C327" s="27"/>
      <c r="D327" s="36"/>
      <c r="E327" s="34"/>
      <c r="F327" s="38"/>
      <c r="G327" s="34"/>
      <c r="H327" s="34"/>
      <c r="I327" s="27"/>
      <c r="J327" s="27"/>
      <c r="K327" s="27"/>
      <c r="L327" s="27"/>
      <c r="M327" s="27"/>
      <c r="N327" s="27"/>
      <c r="O327" s="27"/>
      <c r="P327" s="27"/>
    </row>
    <row r="328">
      <c r="A328" s="27"/>
      <c r="B328" s="35"/>
      <c r="C328" s="27"/>
      <c r="D328" s="36"/>
      <c r="E328" s="34"/>
      <c r="F328" s="38"/>
      <c r="G328" s="34"/>
      <c r="H328" s="34"/>
      <c r="I328" s="27"/>
      <c r="J328" s="27"/>
      <c r="K328" s="27"/>
      <c r="L328" s="27"/>
      <c r="M328" s="27"/>
      <c r="N328" s="27"/>
      <c r="O328" s="27"/>
      <c r="P328" s="27"/>
    </row>
    <row r="329">
      <c r="A329" s="27"/>
      <c r="B329" s="35"/>
      <c r="C329" s="27"/>
      <c r="D329" s="36"/>
      <c r="E329" s="34"/>
      <c r="F329" s="38"/>
      <c r="G329" s="34"/>
      <c r="H329" s="34"/>
      <c r="I329" s="27"/>
      <c r="J329" s="27"/>
      <c r="K329" s="27"/>
      <c r="L329" s="27"/>
      <c r="M329" s="27"/>
      <c r="N329" s="27"/>
      <c r="O329" s="27"/>
      <c r="P329" s="27"/>
    </row>
    <row r="330">
      <c r="A330" s="27"/>
      <c r="B330" s="35"/>
      <c r="C330" s="27"/>
      <c r="D330" s="36"/>
      <c r="E330" s="34"/>
      <c r="F330" s="38"/>
      <c r="G330" s="34"/>
      <c r="H330" s="34"/>
      <c r="I330" s="27"/>
      <c r="J330" s="27"/>
      <c r="K330" s="27"/>
      <c r="L330" s="27"/>
      <c r="M330" s="27"/>
      <c r="N330" s="27"/>
      <c r="O330" s="27"/>
      <c r="P330" s="27"/>
    </row>
    <row r="331">
      <c r="A331" s="27"/>
      <c r="B331" s="35"/>
      <c r="C331" s="27"/>
      <c r="D331" s="36"/>
      <c r="E331" s="34"/>
      <c r="F331" s="38"/>
      <c r="G331" s="34"/>
      <c r="H331" s="34"/>
      <c r="I331" s="27"/>
      <c r="J331" s="27"/>
      <c r="K331" s="27"/>
      <c r="L331" s="27"/>
      <c r="M331" s="27"/>
      <c r="N331" s="27"/>
      <c r="O331" s="27"/>
      <c r="P331" s="27"/>
    </row>
    <row r="332">
      <c r="A332" s="27"/>
      <c r="B332" s="35"/>
      <c r="C332" s="27"/>
      <c r="D332" s="36"/>
      <c r="E332" s="34"/>
      <c r="F332" s="38"/>
      <c r="G332" s="34"/>
      <c r="H332" s="34"/>
      <c r="I332" s="27"/>
      <c r="J332" s="27"/>
      <c r="K332" s="27"/>
      <c r="L332" s="27"/>
      <c r="M332" s="27"/>
      <c r="N332" s="27"/>
      <c r="O332" s="27"/>
      <c r="P332" s="27"/>
    </row>
    <row r="333">
      <c r="A333" s="27"/>
      <c r="B333" s="35"/>
      <c r="C333" s="27"/>
      <c r="D333" s="36"/>
      <c r="E333" s="34"/>
      <c r="F333" s="38"/>
      <c r="G333" s="34"/>
      <c r="H333" s="34"/>
      <c r="I333" s="27"/>
      <c r="J333" s="27"/>
      <c r="K333" s="27"/>
      <c r="L333" s="27"/>
      <c r="M333" s="27"/>
      <c r="N333" s="27"/>
      <c r="O333" s="27"/>
      <c r="P333" s="27"/>
    </row>
    <row r="334">
      <c r="A334" s="27"/>
      <c r="B334" s="35"/>
      <c r="C334" s="27"/>
      <c r="D334" s="36"/>
      <c r="E334" s="34"/>
      <c r="F334" s="38"/>
      <c r="G334" s="34"/>
      <c r="H334" s="34"/>
      <c r="I334" s="27"/>
      <c r="J334" s="27"/>
      <c r="K334" s="27"/>
      <c r="L334" s="27"/>
      <c r="M334" s="27"/>
      <c r="N334" s="27"/>
      <c r="O334" s="27"/>
      <c r="P334" s="27"/>
    </row>
    <row r="335">
      <c r="A335" s="27"/>
      <c r="B335" s="35"/>
      <c r="C335" s="27"/>
      <c r="D335" s="36"/>
      <c r="E335" s="34"/>
      <c r="F335" s="38"/>
      <c r="G335" s="34"/>
      <c r="H335" s="34"/>
      <c r="I335" s="27"/>
      <c r="J335" s="27"/>
      <c r="K335" s="27"/>
      <c r="L335" s="27"/>
      <c r="M335" s="27"/>
      <c r="N335" s="27"/>
      <c r="O335" s="27"/>
      <c r="P335" s="27"/>
    </row>
    <row r="336">
      <c r="A336" s="27"/>
      <c r="B336" s="35"/>
      <c r="C336" s="27"/>
      <c r="D336" s="36"/>
      <c r="E336" s="34"/>
      <c r="F336" s="38"/>
      <c r="G336" s="34"/>
      <c r="H336" s="34"/>
      <c r="I336" s="27"/>
      <c r="J336" s="27"/>
      <c r="K336" s="27"/>
      <c r="L336" s="27"/>
      <c r="M336" s="27"/>
      <c r="N336" s="27"/>
      <c r="O336" s="27"/>
      <c r="P336" s="27"/>
    </row>
    <row r="337">
      <c r="A337" s="27"/>
      <c r="B337" s="35"/>
      <c r="C337" s="27"/>
      <c r="D337" s="36"/>
      <c r="E337" s="34"/>
      <c r="F337" s="38"/>
      <c r="G337" s="34"/>
      <c r="H337" s="34"/>
      <c r="I337" s="27"/>
      <c r="J337" s="27"/>
      <c r="K337" s="27"/>
      <c r="L337" s="27"/>
      <c r="M337" s="27"/>
      <c r="N337" s="27"/>
      <c r="O337" s="27"/>
      <c r="P337" s="27"/>
    </row>
    <row r="338">
      <c r="A338" s="27"/>
      <c r="B338" s="35"/>
      <c r="C338" s="27"/>
      <c r="D338" s="36"/>
      <c r="E338" s="34"/>
      <c r="F338" s="38"/>
      <c r="G338" s="34"/>
      <c r="H338" s="34"/>
      <c r="I338" s="27"/>
      <c r="J338" s="27"/>
      <c r="K338" s="27"/>
      <c r="L338" s="27"/>
      <c r="M338" s="27"/>
      <c r="N338" s="27"/>
      <c r="O338" s="27"/>
      <c r="P338" s="27"/>
    </row>
    <row r="339">
      <c r="A339" s="27"/>
      <c r="B339" s="35"/>
      <c r="C339" s="27"/>
      <c r="D339" s="36"/>
      <c r="E339" s="34"/>
      <c r="F339" s="38"/>
      <c r="G339" s="34"/>
      <c r="H339" s="34"/>
      <c r="I339" s="27"/>
      <c r="J339" s="27"/>
      <c r="K339" s="27"/>
      <c r="L339" s="27"/>
      <c r="M339" s="27"/>
      <c r="N339" s="27"/>
      <c r="O339" s="27"/>
      <c r="P339" s="27"/>
    </row>
    <row r="340">
      <c r="A340" s="27"/>
      <c r="B340" s="35"/>
      <c r="C340" s="27"/>
      <c r="D340" s="36"/>
      <c r="E340" s="34"/>
      <c r="F340" s="38"/>
      <c r="G340" s="34"/>
      <c r="H340" s="34"/>
      <c r="I340" s="27"/>
      <c r="J340" s="27"/>
      <c r="K340" s="27"/>
      <c r="L340" s="27"/>
      <c r="M340" s="27"/>
      <c r="N340" s="27"/>
      <c r="O340" s="27"/>
      <c r="P340" s="27"/>
    </row>
    <row r="341">
      <c r="A341" s="27"/>
      <c r="B341" s="35"/>
      <c r="C341" s="27"/>
      <c r="D341" s="36"/>
      <c r="E341" s="34"/>
      <c r="F341" s="38"/>
      <c r="G341" s="34"/>
      <c r="H341" s="34"/>
      <c r="I341" s="27"/>
      <c r="J341" s="27"/>
      <c r="K341" s="27"/>
      <c r="L341" s="27"/>
      <c r="M341" s="27"/>
      <c r="N341" s="27"/>
      <c r="O341" s="27"/>
      <c r="P341" s="27"/>
    </row>
    <row r="342">
      <c r="A342" s="27"/>
      <c r="B342" s="35"/>
      <c r="C342" s="27"/>
      <c r="D342" s="36"/>
      <c r="E342" s="34"/>
      <c r="F342" s="38"/>
      <c r="G342" s="34"/>
      <c r="H342" s="34"/>
      <c r="I342" s="27"/>
      <c r="J342" s="27"/>
      <c r="K342" s="27"/>
      <c r="L342" s="27"/>
      <c r="M342" s="27"/>
      <c r="N342" s="27"/>
      <c r="O342" s="27"/>
      <c r="P342" s="27"/>
    </row>
    <row r="343">
      <c r="A343" s="27"/>
      <c r="B343" s="35"/>
      <c r="C343" s="27"/>
      <c r="D343" s="36"/>
      <c r="E343" s="34"/>
      <c r="F343" s="38"/>
      <c r="G343" s="34"/>
      <c r="H343" s="34"/>
      <c r="I343" s="27"/>
      <c r="J343" s="27"/>
      <c r="K343" s="27"/>
      <c r="L343" s="27"/>
      <c r="M343" s="27"/>
      <c r="N343" s="27"/>
      <c r="O343" s="27"/>
      <c r="P343" s="27"/>
    </row>
    <row r="344">
      <c r="A344" s="27"/>
      <c r="B344" s="35"/>
      <c r="C344" s="27"/>
      <c r="D344" s="36"/>
      <c r="E344" s="34"/>
      <c r="F344" s="38"/>
      <c r="G344" s="34"/>
      <c r="H344" s="34"/>
      <c r="I344" s="27"/>
      <c r="J344" s="27"/>
      <c r="K344" s="27"/>
      <c r="L344" s="27"/>
      <c r="M344" s="27"/>
      <c r="N344" s="27"/>
      <c r="O344" s="27"/>
      <c r="P344" s="27"/>
    </row>
    <row r="345">
      <c r="A345" s="27"/>
      <c r="B345" s="35"/>
      <c r="C345" s="27"/>
      <c r="D345" s="36"/>
      <c r="E345" s="34"/>
      <c r="F345" s="38"/>
      <c r="G345" s="34"/>
      <c r="H345" s="34"/>
      <c r="I345" s="27"/>
      <c r="J345" s="27"/>
      <c r="K345" s="27"/>
      <c r="L345" s="27"/>
      <c r="M345" s="27"/>
      <c r="N345" s="27"/>
      <c r="O345" s="27"/>
      <c r="P345" s="27"/>
    </row>
    <row r="346">
      <c r="A346" s="27"/>
      <c r="B346" s="35"/>
      <c r="C346" s="27"/>
      <c r="D346" s="36"/>
      <c r="E346" s="34"/>
      <c r="F346" s="38"/>
      <c r="G346" s="34"/>
      <c r="H346" s="34"/>
      <c r="I346" s="27"/>
      <c r="J346" s="27"/>
      <c r="K346" s="27"/>
      <c r="L346" s="27"/>
      <c r="M346" s="27"/>
      <c r="N346" s="27"/>
      <c r="O346" s="27"/>
      <c r="P346" s="27"/>
    </row>
    <row r="347">
      <c r="A347" s="27"/>
      <c r="B347" s="35"/>
      <c r="C347" s="27"/>
      <c r="D347" s="36"/>
      <c r="E347" s="34"/>
      <c r="F347" s="38"/>
      <c r="G347" s="34"/>
      <c r="H347" s="34"/>
      <c r="I347" s="27"/>
      <c r="J347" s="27"/>
      <c r="K347" s="27"/>
      <c r="L347" s="27"/>
      <c r="M347" s="27"/>
      <c r="N347" s="27"/>
      <c r="O347" s="27"/>
      <c r="P347" s="27"/>
    </row>
    <row r="348">
      <c r="A348" s="27"/>
      <c r="B348" s="35"/>
      <c r="C348" s="27"/>
      <c r="D348" s="36"/>
      <c r="E348" s="34"/>
      <c r="F348" s="38"/>
      <c r="G348" s="34"/>
      <c r="H348" s="34"/>
      <c r="I348" s="27"/>
      <c r="J348" s="27"/>
      <c r="K348" s="27"/>
      <c r="L348" s="27"/>
      <c r="M348" s="27"/>
      <c r="N348" s="27"/>
      <c r="O348" s="27"/>
      <c r="P348" s="27"/>
    </row>
    <row r="349">
      <c r="A349" s="27"/>
      <c r="B349" s="35"/>
      <c r="C349" s="27"/>
      <c r="D349" s="36"/>
      <c r="E349" s="34"/>
      <c r="F349" s="38"/>
      <c r="G349" s="34"/>
      <c r="H349" s="34"/>
      <c r="I349" s="27"/>
      <c r="J349" s="27"/>
      <c r="K349" s="27"/>
      <c r="L349" s="27"/>
      <c r="M349" s="27"/>
      <c r="N349" s="27"/>
      <c r="O349" s="27"/>
      <c r="P349" s="27"/>
    </row>
    <row r="350">
      <c r="A350" s="27"/>
      <c r="B350" s="35"/>
      <c r="C350" s="27"/>
      <c r="D350" s="36"/>
      <c r="E350" s="34"/>
      <c r="F350" s="38"/>
      <c r="G350" s="34"/>
      <c r="H350" s="34"/>
      <c r="I350" s="27"/>
      <c r="J350" s="27"/>
      <c r="K350" s="27"/>
      <c r="L350" s="27"/>
      <c r="M350" s="27"/>
      <c r="N350" s="27"/>
      <c r="O350" s="27"/>
      <c r="P350" s="27"/>
    </row>
    <row r="351">
      <c r="A351" s="27"/>
      <c r="B351" s="35"/>
      <c r="C351" s="27"/>
      <c r="D351" s="36"/>
      <c r="E351" s="34"/>
      <c r="F351" s="38"/>
      <c r="G351" s="34"/>
      <c r="H351" s="34"/>
      <c r="I351" s="27"/>
      <c r="J351" s="27"/>
      <c r="K351" s="27"/>
      <c r="L351" s="27"/>
      <c r="M351" s="27"/>
      <c r="N351" s="27"/>
      <c r="O351" s="27"/>
      <c r="P351" s="27"/>
    </row>
    <row r="352">
      <c r="A352" s="27"/>
      <c r="B352" s="35"/>
      <c r="C352" s="27"/>
      <c r="D352" s="36"/>
      <c r="E352" s="34"/>
      <c r="F352" s="38"/>
      <c r="G352" s="34"/>
      <c r="H352" s="34"/>
      <c r="I352" s="27"/>
      <c r="J352" s="27"/>
      <c r="K352" s="27"/>
      <c r="L352" s="27"/>
      <c r="M352" s="27"/>
      <c r="N352" s="27"/>
      <c r="O352" s="27"/>
      <c r="P352" s="27"/>
    </row>
    <row r="353">
      <c r="A353" s="27"/>
      <c r="B353" s="35"/>
      <c r="C353" s="27"/>
      <c r="D353" s="36"/>
      <c r="E353" s="34"/>
      <c r="F353" s="38"/>
      <c r="G353" s="34"/>
      <c r="H353" s="34"/>
      <c r="I353" s="27"/>
      <c r="J353" s="27"/>
      <c r="K353" s="27"/>
      <c r="L353" s="27"/>
      <c r="M353" s="27"/>
      <c r="N353" s="27"/>
      <c r="O353" s="27"/>
      <c r="P353" s="27"/>
    </row>
    <row r="354">
      <c r="A354" s="27"/>
      <c r="B354" s="35"/>
      <c r="C354" s="27"/>
      <c r="D354" s="36"/>
      <c r="E354" s="34"/>
      <c r="F354" s="38"/>
      <c r="G354" s="34"/>
      <c r="H354" s="34"/>
      <c r="I354" s="27"/>
      <c r="J354" s="27"/>
      <c r="K354" s="27"/>
      <c r="L354" s="27"/>
      <c r="M354" s="27"/>
      <c r="N354" s="27"/>
      <c r="O354" s="27"/>
      <c r="P354" s="27"/>
    </row>
    <row r="355">
      <c r="A355" s="27"/>
      <c r="B355" s="35"/>
      <c r="C355" s="27"/>
      <c r="D355" s="36"/>
      <c r="E355" s="34"/>
      <c r="F355" s="38"/>
      <c r="G355" s="34"/>
      <c r="H355" s="34"/>
      <c r="I355" s="27"/>
      <c r="J355" s="27"/>
      <c r="K355" s="27"/>
      <c r="L355" s="27"/>
      <c r="M355" s="27"/>
      <c r="N355" s="27"/>
      <c r="O355" s="27"/>
      <c r="P355" s="27"/>
    </row>
    <row r="356">
      <c r="A356" s="27"/>
      <c r="B356" s="35"/>
      <c r="C356" s="27"/>
      <c r="D356" s="36"/>
      <c r="E356" s="34"/>
      <c r="F356" s="38"/>
      <c r="G356" s="34"/>
      <c r="H356" s="34"/>
      <c r="I356" s="27"/>
      <c r="J356" s="27"/>
      <c r="K356" s="27"/>
      <c r="L356" s="27"/>
      <c r="M356" s="27"/>
      <c r="N356" s="27"/>
      <c r="O356" s="27"/>
      <c r="P356" s="27"/>
    </row>
    <row r="357">
      <c r="A357" s="27"/>
      <c r="B357" s="35"/>
      <c r="C357" s="27"/>
      <c r="D357" s="36"/>
      <c r="E357" s="34"/>
      <c r="F357" s="38"/>
      <c r="G357" s="34"/>
      <c r="H357" s="34"/>
      <c r="I357" s="27"/>
      <c r="J357" s="27"/>
      <c r="K357" s="27"/>
      <c r="L357" s="27"/>
      <c r="M357" s="27"/>
      <c r="N357" s="27"/>
      <c r="O357" s="27"/>
      <c r="P357" s="27"/>
    </row>
    <row r="358">
      <c r="A358" s="27"/>
      <c r="B358" s="35"/>
      <c r="C358" s="27"/>
      <c r="D358" s="36"/>
      <c r="E358" s="34"/>
      <c r="F358" s="38"/>
      <c r="G358" s="34"/>
      <c r="H358" s="34"/>
      <c r="I358" s="27"/>
      <c r="J358" s="27"/>
      <c r="K358" s="27"/>
      <c r="L358" s="27"/>
      <c r="M358" s="27"/>
      <c r="N358" s="27"/>
      <c r="O358" s="27"/>
      <c r="P358" s="27"/>
    </row>
    <row r="359">
      <c r="A359" s="27"/>
      <c r="B359" s="35"/>
      <c r="C359" s="27"/>
      <c r="D359" s="36"/>
      <c r="E359" s="34"/>
      <c r="F359" s="38"/>
      <c r="G359" s="34"/>
      <c r="H359" s="34"/>
      <c r="I359" s="27"/>
      <c r="J359" s="27"/>
      <c r="K359" s="27"/>
      <c r="L359" s="27"/>
      <c r="M359" s="27"/>
      <c r="N359" s="27"/>
      <c r="O359" s="27"/>
      <c r="P359" s="27"/>
    </row>
    <row r="360">
      <c r="A360" s="27"/>
      <c r="B360" s="35"/>
      <c r="C360" s="27"/>
      <c r="D360" s="36"/>
      <c r="E360" s="34"/>
      <c r="F360" s="38"/>
      <c r="G360" s="34"/>
      <c r="H360" s="34"/>
      <c r="I360" s="27"/>
      <c r="J360" s="27"/>
      <c r="K360" s="27"/>
      <c r="L360" s="27"/>
      <c r="M360" s="27"/>
      <c r="N360" s="27"/>
      <c r="O360" s="27"/>
      <c r="P360" s="27"/>
    </row>
    <row r="361">
      <c r="A361" s="27"/>
      <c r="B361" s="35"/>
      <c r="C361" s="27"/>
      <c r="D361" s="36"/>
      <c r="E361" s="34"/>
      <c r="F361" s="38"/>
      <c r="G361" s="34"/>
      <c r="H361" s="34"/>
      <c r="I361" s="27"/>
      <c r="J361" s="27"/>
      <c r="K361" s="27"/>
      <c r="L361" s="27"/>
      <c r="M361" s="27"/>
      <c r="N361" s="27"/>
      <c r="O361" s="27"/>
      <c r="P361" s="27"/>
    </row>
    <row r="362">
      <c r="A362" s="27"/>
      <c r="B362" s="35"/>
      <c r="C362" s="27"/>
      <c r="D362" s="36"/>
      <c r="E362" s="34"/>
      <c r="F362" s="38"/>
      <c r="G362" s="34"/>
      <c r="H362" s="34"/>
      <c r="I362" s="27"/>
      <c r="J362" s="27"/>
      <c r="K362" s="27"/>
      <c r="L362" s="27"/>
      <c r="M362" s="27"/>
      <c r="N362" s="27"/>
      <c r="O362" s="27"/>
      <c r="P362" s="27"/>
    </row>
    <row r="363">
      <c r="A363" s="27"/>
      <c r="B363" s="35"/>
      <c r="C363" s="27"/>
      <c r="D363" s="36"/>
      <c r="E363" s="34"/>
      <c r="F363" s="38"/>
      <c r="G363" s="34"/>
      <c r="H363" s="34"/>
      <c r="I363" s="27"/>
      <c r="J363" s="27"/>
      <c r="K363" s="27"/>
      <c r="L363" s="27"/>
      <c r="M363" s="27"/>
      <c r="N363" s="27"/>
      <c r="O363" s="27"/>
      <c r="P363" s="27"/>
    </row>
    <row r="364">
      <c r="A364" s="27"/>
      <c r="B364" s="35"/>
      <c r="C364" s="27"/>
      <c r="D364" s="36"/>
      <c r="E364" s="34"/>
      <c r="F364" s="38"/>
      <c r="G364" s="34"/>
      <c r="H364" s="34"/>
      <c r="I364" s="27"/>
      <c r="J364" s="27"/>
      <c r="K364" s="27"/>
      <c r="L364" s="27"/>
      <c r="M364" s="27"/>
      <c r="N364" s="27"/>
      <c r="O364" s="27"/>
      <c r="P364" s="27"/>
    </row>
    <row r="365">
      <c r="A365" s="27"/>
      <c r="B365" s="35"/>
      <c r="C365" s="27"/>
      <c r="D365" s="36"/>
      <c r="E365" s="34"/>
      <c r="F365" s="38"/>
      <c r="G365" s="34"/>
      <c r="H365" s="34"/>
      <c r="I365" s="27"/>
      <c r="J365" s="27"/>
      <c r="K365" s="27"/>
      <c r="L365" s="27"/>
      <c r="M365" s="27"/>
      <c r="N365" s="27"/>
      <c r="O365" s="27"/>
      <c r="P365" s="27"/>
    </row>
    <row r="366">
      <c r="A366" s="27"/>
      <c r="B366" s="35"/>
      <c r="C366" s="27"/>
      <c r="D366" s="36"/>
      <c r="E366" s="34"/>
      <c r="F366" s="38"/>
      <c r="G366" s="34"/>
      <c r="H366" s="34"/>
      <c r="I366" s="27"/>
      <c r="J366" s="27"/>
      <c r="K366" s="27"/>
      <c r="L366" s="27"/>
      <c r="M366" s="27"/>
      <c r="N366" s="27"/>
      <c r="O366" s="27"/>
      <c r="P366" s="27"/>
    </row>
    <row r="367">
      <c r="A367" s="27"/>
      <c r="B367" s="35"/>
      <c r="C367" s="27"/>
      <c r="D367" s="36"/>
      <c r="E367" s="34"/>
      <c r="F367" s="38"/>
      <c r="G367" s="34"/>
      <c r="H367" s="34"/>
      <c r="I367" s="27"/>
      <c r="J367" s="27"/>
      <c r="K367" s="27"/>
      <c r="L367" s="27"/>
      <c r="M367" s="27"/>
      <c r="N367" s="27"/>
      <c r="O367" s="27"/>
      <c r="P367" s="27"/>
    </row>
    <row r="368">
      <c r="A368" s="27"/>
      <c r="B368" s="35"/>
      <c r="C368" s="27"/>
      <c r="D368" s="36"/>
      <c r="E368" s="34"/>
      <c r="F368" s="38"/>
      <c r="G368" s="34"/>
      <c r="H368" s="34"/>
      <c r="I368" s="27"/>
      <c r="J368" s="27"/>
      <c r="K368" s="27"/>
      <c r="L368" s="27"/>
      <c r="M368" s="27"/>
      <c r="N368" s="27"/>
      <c r="O368" s="27"/>
      <c r="P368" s="27"/>
    </row>
    <row r="369">
      <c r="A369" s="27"/>
      <c r="B369" s="35"/>
      <c r="C369" s="27"/>
      <c r="D369" s="36"/>
      <c r="E369" s="34"/>
      <c r="F369" s="38"/>
      <c r="G369" s="34"/>
      <c r="H369" s="34"/>
      <c r="I369" s="27"/>
      <c r="J369" s="27"/>
      <c r="K369" s="27"/>
      <c r="L369" s="27"/>
      <c r="M369" s="27"/>
      <c r="N369" s="27"/>
      <c r="O369" s="27"/>
      <c r="P369" s="27"/>
    </row>
    <row r="370">
      <c r="A370" s="27"/>
      <c r="B370" s="35"/>
      <c r="C370" s="27"/>
      <c r="D370" s="36"/>
      <c r="E370" s="34"/>
      <c r="F370" s="38"/>
      <c r="G370" s="34"/>
      <c r="H370" s="34"/>
      <c r="I370" s="27"/>
      <c r="J370" s="27"/>
      <c r="K370" s="27"/>
      <c r="L370" s="27"/>
      <c r="M370" s="27"/>
      <c r="N370" s="27"/>
      <c r="O370" s="27"/>
      <c r="P370" s="27"/>
    </row>
    <row r="371">
      <c r="A371" s="27"/>
      <c r="B371" s="35"/>
      <c r="C371" s="27"/>
      <c r="D371" s="36"/>
      <c r="E371" s="34"/>
      <c r="F371" s="38"/>
      <c r="G371" s="34"/>
      <c r="H371" s="34"/>
      <c r="I371" s="27"/>
      <c r="J371" s="27"/>
      <c r="K371" s="27"/>
      <c r="L371" s="27"/>
      <c r="M371" s="27"/>
      <c r="N371" s="27"/>
      <c r="O371" s="27"/>
      <c r="P371" s="27"/>
    </row>
    <row r="372">
      <c r="A372" s="27"/>
      <c r="B372" s="35"/>
      <c r="C372" s="27"/>
      <c r="D372" s="36"/>
      <c r="E372" s="34"/>
      <c r="F372" s="38"/>
      <c r="G372" s="34"/>
      <c r="H372" s="34"/>
      <c r="I372" s="27"/>
      <c r="J372" s="27"/>
      <c r="K372" s="27"/>
      <c r="L372" s="27"/>
      <c r="M372" s="27"/>
      <c r="N372" s="27"/>
      <c r="O372" s="27"/>
      <c r="P372" s="27"/>
    </row>
    <row r="373">
      <c r="A373" s="27"/>
      <c r="B373" s="35"/>
      <c r="C373" s="27"/>
      <c r="D373" s="36"/>
      <c r="E373" s="34"/>
      <c r="F373" s="38"/>
      <c r="G373" s="34"/>
      <c r="H373" s="34"/>
      <c r="I373" s="27"/>
      <c r="J373" s="27"/>
      <c r="K373" s="27"/>
      <c r="L373" s="27"/>
      <c r="M373" s="27"/>
      <c r="N373" s="27"/>
      <c r="O373" s="27"/>
      <c r="P373" s="27"/>
    </row>
    <row r="374">
      <c r="A374" s="27"/>
      <c r="B374" s="35"/>
      <c r="C374" s="27"/>
      <c r="D374" s="36"/>
      <c r="E374" s="34"/>
      <c r="F374" s="38"/>
      <c r="G374" s="34"/>
      <c r="H374" s="34"/>
      <c r="I374" s="27"/>
      <c r="J374" s="27"/>
      <c r="K374" s="27"/>
      <c r="L374" s="27"/>
      <c r="M374" s="27"/>
      <c r="N374" s="27"/>
      <c r="O374" s="27"/>
      <c r="P374" s="27"/>
    </row>
    <row r="375">
      <c r="A375" s="27"/>
      <c r="B375" s="35"/>
      <c r="C375" s="27"/>
      <c r="D375" s="36"/>
      <c r="E375" s="34"/>
      <c r="F375" s="38"/>
      <c r="G375" s="34"/>
      <c r="H375" s="34"/>
      <c r="I375" s="27"/>
      <c r="J375" s="27"/>
      <c r="K375" s="27"/>
      <c r="L375" s="27"/>
      <c r="M375" s="27"/>
      <c r="N375" s="27"/>
      <c r="O375" s="27"/>
      <c r="P375" s="27"/>
    </row>
    <row r="376">
      <c r="A376" s="27"/>
      <c r="B376" s="35"/>
      <c r="C376" s="27"/>
      <c r="D376" s="36"/>
      <c r="E376" s="34"/>
      <c r="F376" s="38"/>
      <c r="G376" s="34"/>
      <c r="H376" s="34"/>
      <c r="I376" s="27"/>
      <c r="J376" s="27"/>
      <c r="K376" s="27"/>
      <c r="L376" s="27"/>
      <c r="M376" s="27"/>
      <c r="N376" s="27"/>
      <c r="O376" s="27"/>
      <c r="P376" s="27"/>
    </row>
    <row r="377">
      <c r="A377" s="27"/>
      <c r="B377" s="35"/>
      <c r="C377" s="27"/>
      <c r="D377" s="36"/>
      <c r="E377" s="34"/>
      <c r="F377" s="38"/>
      <c r="G377" s="34"/>
      <c r="H377" s="34"/>
      <c r="I377" s="27"/>
      <c r="J377" s="27"/>
      <c r="K377" s="27"/>
      <c r="L377" s="27"/>
      <c r="M377" s="27"/>
      <c r="N377" s="27"/>
      <c r="O377" s="27"/>
      <c r="P377" s="27"/>
    </row>
    <row r="378">
      <c r="A378" s="27"/>
      <c r="B378" s="35"/>
      <c r="C378" s="27"/>
      <c r="D378" s="36"/>
      <c r="E378" s="34"/>
      <c r="F378" s="38"/>
      <c r="G378" s="34"/>
      <c r="H378" s="34"/>
      <c r="I378" s="27"/>
      <c r="J378" s="27"/>
      <c r="K378" s="27"/>
      <c r="L378" s="27"/>
      <c r="M378" s="27"/>
      <c r="N378" s="27"/>
      <c r="O378" s="27"/>
      <c r="P378" s="27"/>
    </row>
    <row r="379">
      <c r="A379" s="27"/>
      <c r="B379" s="35"/>
      <c r="C379" s="27"/>
      <c r="D379" s="36"/>
      <c r="E379" s="34"/>
      <c r="F379" s="38"/>
      <c r="G379" s="34"/>
      <c r="H379" s="34"/>
      <c r="I379" s="27"/>
      <c r="J379" s="27"/>
      <c r="K379" s="27"/>
      <c r="L379" s="27"/>
      <c r="M379" s="27"/>
      <c r="N379" s="27"/>
      <c r="O379" s="27"/>
      <c r="P379" s="27"/>
    </row>
    <row r="380">
      <c r="A380" s="27"/>
      <c r="B380" s="35"/>
      <c r="C380" s="27"/>
      <c r="D380" s="36"/>
      <c r="E380" s="34"/>
      <c r="F380" s="38"/>
      <c r="G380" s="34"/>
      <c r="H380" s="34"/>
      <c r="I380" s="27"/>
      <c r="J380" s="27"/>
      <c r="K380" s="27"/>
      <c r="L380" s="27"/>
      <c r="M380" s="27"/>
      <c r="N380" s="27"/>
      <c r="O380" s="27"/>
      <c r="P380" s="27"/>
    </row>
    <row r="381">
      <c r="A381" s="27"/>
      <c r="B381" s="35"/>
      <c r="C381" s="27"/>
      <c r="D381" s="36"/>
      <c r="E381" s="34"/>
      <c r="F381" s="38"/>
      <c r="G381" s="34"/>
      <c r="H381" s="34"/>
      <c r="I381" s="27"/>
      <c r="J381" s="27"/>
      <c r="K381" s="27"/>
      <c r="L381" s="27"/>
      <c r="M381" s="27"/>
      <c r="N381" s="27"/>
      <c r="O381" s="27"/>
      <c r="P381" s="27"/>
    </row>
    <row r="382">
      <c r="A382" s="27"/>
      <c r="B382" s="35"/>
      <c r="C382" s="27"/>
      <c r="D382" s="36"/>
      <c r="E382" s="34"/>
      <c r="F382" s="38"/>
      <c r="G382" s="34"/>
      <c r="H382" s="34"/>
      <c r="I382" s="27"/>
      <c r="J382" s="27"/>
      <c r="K382" s="27"/>
      <c r="L382" s="27"/>
      <c r="M382" s="27"/>
      <c r="N382" s="27"/>
      <c r="O382" s="27"/>
      <c r="P382" s="27"/>
    </row>
    <row r="383">
      <c r="A383" s="27"/>
      <c r="B383" s="35"/>
      <c r="C383" s="27"/>
      <c r="D383" s="36"/>
      <c r="E383" s="34"/>
      <c r="F383" s="38"/>
      <c r="G383" s="34"/>
      <c r="H383" s="34"/>
      <c r="I383" s="27"/>
      <c r="J383" s="27"/>
      <c r="K383" s="27"/>
      <c r="L383" s="27"/>
      <c r="M383" s="27"/>
      <c r="N383" s="27"/>
      <c r="O383" s="27"/>
      <c r="P383" s="27"/>
    </row>
    <row r="384">
      <c r="A384" s="27"/>
      <c r="B384" s="35"/>
      <c r="C384" s="27"/>
      <c r="D384" s="36"/>
      <c r="E384" s="34"/>
      <c r="F384" s="38"/>
      <c r="G384" s="34"/>
      <c r="H384" s="34"/>
      <c r="I384" s="27"/>
      <c r="J384" s="27"/>
      <c r="K384" s="27"/>
      <c r="L384" s="27"/>
      <c r="M384" s="27"/>
      <c r="N384" s="27"/>
      <c r="O384" s="27"/>
      <c r="P384" s="27"/>
    </row>
    <row r="385">
      <c r="A385" s="27"/>
      <c r="B385" s="35"/>
      <c r="C385" s="27"/>
      <c r="D385" s="36"/>
      <c r="E385" s="34"/>
      <c r="F385" s="38"/>
      <c r="G385" s="34"/>
      <c r="H385" s="34"/>
      <c r="I385" s="27"/>
      <c r="J385" s="27"/>
      <c r="K385" s="27"/>
      <c r="L385" s="27"/>
      <c r="M385" s="27"/>
      <c r="N385" s="27"/>
      <c r="O385" s="27"/>
      <c r="P385" s="27"/>
    </row>
    <row r="386">
      <c r="A386" s="27"/>
      <c r="B386" s="35"/>
      <c r="C386" s="27"/>
      <c r="D386" s="36"/>
      <c r="E386" s="34"/>
      <c r="F386" s="38"/>
      <c r="G386" s="34"/>
      <c r="H386" s="34"/>
      <c r="I386" s="27"/>
      <c r="J386" s="27"/>
      <c r="K386" s="27"/>
      <c r="L386" s="27"/>
      <c r="M386" s="27"/>
      <c r="N386" s="27"/>
      <c r="O386" s="27"/>
      <c r="P386" s="27"/>
    </row>
    <row r="387">
      <c r="A387" s="27"/>
      <c r="B387" s="35"/>
      <c r="C387" s="27"/>
      <c r="D387" s="36"/>
      <c r="E387" s="34"/>
      <c r="F387" s="38"/>
      <c r="G387" s="34"/>
      <c r="H387" s="34"/>
      <c r="I387" s="27"/>
      <c r="J387" s="27"/>
      <c r="K387" s="27"/>
      <c r="L387" s="27"/>
      <c r="M387" s="27"/>
      <c r="N387" s="27"/>
      <c r="O387" s="27"/>
      <c r="P387" s="27"/>
    </row>
    <row r="388">
      <c r="A388" s="27"/>
      <c r="B388" s="35"/>
      <c r="C388" s="27"/>
      <c r="D388" s="36"/>
      <c r="E388" s="34"/>
      <c r="F388" s="38"/>
      <c r="G388" s="34"/>
      <c r="H388" s="34"/>
      <c r="I388" s="27"/>
      <c r="J388" s="27"/>
      <c r="K388" s="27"/>
      <c r="L388" s="27"/>
      <c r="M388" s="27"/>
      <c r="N388" s="27"/>
      <c r="O388" s="27"/>
      <c r="P388" s="27"/>
    </row>
    <row r="389">
      <c r="A389" s="27"/>
      <c r="B389" s="35"/>
      <c r="C389" s="27"/>
      <c r="D389" s="36"/>
      <c r="E389" s="34"/>
      <c r="F389" s="38"/>
      <c r="G389" s="34"/>
      <c r="H389" s="34"/>
      <c r="I389" s="27"/>
      <c r="J389" s="27"/>
      <c r="K389" s="27"/>
      <c r="L389" s="27"/>
      <c r="M389" s="27"/>
      <c r="N389" s="27"/>
      <c r="O389" s="27"/>
      <c r="P389" s="27"/>
    </row>
    <row r="390">
      <c r="A390" s="27"/>
      <c r="B390" s="35"/>
      <c r="C390" s="27"/>
      <c r="D390" s="36"/>
      <c r="E390" s="34"/>
      <c r="F390" s="38"/>
      <c r="G390" s="34"/>
      <c r="H390" s="34"/>
      <c r="I390" s="27"/>
      <c r="J390" s="27"/>
      <c r="K390" s="27"/>
      <c r="L390" s="27"/>
      <c r="M390" s="27"/>
      <c r="N390" s="27"/>
      <c r="O390" s="27"/>
      <c r="P390" s="27"/>
    </row>
    <row r="391">
      <c r="A391" s="27"/>
      <c r="B391" s="35"/>
      <c r="C391" s="27"/>
      <c r="D391" s="36"/>
      <c r="E391" s="34"/>
      <c r="F391" s="38"/>
      <c r="G391" s="34"/>
      <c r="H391" s="34"/>
      <c r="I391" s="27"/>
      <c r="J391" s="27"/>
      <c r="K391" s="27"/>
      <c r="L391" s="27"/>
      <c r="M391" s="27"/>
      <c r="N391" s="27"/>
      <c r="O391" s="27"/>
      <c r="P391" s="27"/>
    </row>
    <row r="392">
      <c r="A392" s="27"/>
      <c r="B392" s="35"/>
      <c r="C392" s="27"/>
      <c r="D392" s="36"/>
      <c r="E392" s="34"/>
      <c r="F392" s="38"/>
      <c r="G392" s="34"/>
      <c r="H392" s="34"/>
      <c r="I392" s="27"/>
      <c r="J392" s="27"/>
      <c r="K392" s="27"/>
      <c r="L392" s="27"/>
      <c r="M392" s="27"/>
      <c r="N392" s="27"/>
      <c r="O392" s="27"/>
      <c r="P392" s="27"/>
    </row>
    <row r="393">
      <c r="A393" s="27"/>
      <c r="B393" s="35"/>
      <c r="C393" s="27"/>
      <c r="D393" s="36"/>
      <c r="E393" s="34"/>
      <c r="F393" s="38"/>
      <c r="G393" s="34"/>
      <c r="H393" s="34"/>
      <c r="I393" s="27"/>
      <c r="J393" s="27"/>
      <c r="K393" s="27"/>
      <c r="L393" s="27"/>
      <c r="M393" s="27"/>
      <c r="N393" s="27"/>
      <c r="O393" s="27"/>
      <c r="P393" s="27"/>
    </row>
    <row r="394">
      <c r="A394" s="27"/>
      <c r="B394" s="35"/>
      <c r="C394" s="27"/>
      <c r="D394" s="36"/>
      <c r="E394" s="34"/>
      <c r="F394" s="38"/>
      <c r="G394" s="34"/>
      <c r="H394" s="34"/>
      <c r="I394" s="27"/>
      <c r="J394" s="27"/>
      <c r="K394" s="27"/>
      <c r="L394" s="27"/>
      <c r="M394" s="27"/>
      <c r="N394" s="27"/>
      <c r="O394" s="27"/>
      <c r="P394" s="27"/>
    </row>
    <row r="395">
      <c r="A395" s="27"/>
      <c r="B395" s="35"/>
      <c r="C395" s="27"/>
      <c r="D395" s="36"/>
      <c r="E395" s="34"/>
      <c r="F395" s="38"/>
      <c r="G395" s="34"/>
      <c r="H395" s="34"/>
      <c r="I395" s="27"/>
      <c r="J395" s="27"/>
      <c r="K395" s="27"/>
      <c r="L395" s="27"/>
      <c r="M395" s="27"/>
      <c r="N395" s="27"/>
      <c r="O395" s="27"/>
      <c r="P395" s="27"/>
    </row>
    <row r="396">
      <c r="A396" s="27"/>
      <c r="B396" s="35"/>
      <c r="C396" s="27"/>
      <c r="D396" s="36"/>
      <c r="E396" s="34"/>
      <c r="F396" s="38"/>
      <c r="G396" s="34"/>
      <c r="H396" s="34"/>
      <c r="I396" s="27"/>
      <c r="J396" s="27"/>
      <c r="K396" s="27"/>
      <c r="L396" s="27"/>
      <c r="M396" s="27"/>
      <c r="N396" s="27"/>
      <c r="O396" s="27"/>
      <c r="P396" s="27"/>
    </row>
    <row r="397">
      <c r="A397" s="27"/>
      <c r="B397" s="35"/>
      <c r="C397" s="27"/>
      <c r="D397" s="36"/>
      <c r="E397" s="34"/>
      <c r="F397" s="38"/>
      <c r="G397" s="34"/>
      <c r="H397" s="34"/>
      <c r="I397" s="27"/>
      <c r="J397" s="27"/>
      <c r="K397" s="27"/>
      <c r="L397" s="27"/>
      <c r="M397" s="27"/>
      <c r="N397" s="27"/>
      <c r="O397" s="27"/>
      <c r="P397" s="27"/>
    </row>
    <row r="398">
      <c r="A398" s="27"/>
      <c r="B398" s="35"/>
      <c r="C398" s="27"/>
      <c r="D398" s="36"/>
      <c r="E398" s="34"/>
      <c r="F398" s="38"/>
      <c r="G398" s="34"/>
      <c r="H398" s="34"/>
      <c r="I398" s="27"/>
      <c r="J398" s="27"/>
      <c r="K398" s="27"/>
      <c r="L398" s="27"/>
      <c r="M398" s="27"/>
      <c r="N398" s="27"/>
      <c r="O398" s="27"/>
      <c r="P398" s="27"/>
    </row>
    <row r="399">
      <c r="A399" s="27"/>
      <c r="B399" s="35"/>
      <c r="C399" s="27"/>
      <c r="D399" s="36"/>
      <c r="E399" s="34"/>
      <c r="F399" s="38"/>
      <c r="G399" s="34"/>
      <c r="H399" s="34"/>
      <c r="I399" s="27"/>
      <c r="J399" s="27"/>
      <c r="K399" s="27"/>
      <c r="L399" s="27"/>
      <c r="M399" s="27"/>
      <c r="N399" s="27"/>
      <c r="O399" s="27"/>
      <c r="P399" s="27"/>
    </row>
    <row r="400">
      <c r="A400" s="27"/>
      <c r="B400" s="35"/>
      <c r="C400" s="27"/>
      <c r="D400" s="36"/>
      <c r="E400" s="34"/>
      <c r="F400" s="38"/>
      <c r="G400" s="34"/>
      <c r="H400" s="34"/>
      <c r="I400" s="27"/>
      <c r="J400" s="27"/>
      <c r="K400" s="27"/>
      <c r="L400" s="27"/>
      <c r="M400" s="27"/>
      <c r="N400" s="27"/>
      <c r="O400" s="27"/>
      <c r="P400" s="27"/>
    </row>
    <row r="401">
      <c r="A401" s="27"/>
      <c r="B401" s="35"/>
      <c r="C401" s="27"/>
      <c r="D401" s="36"/>
      <c r="E401" s="34"/>
      <c r="F401" s="38"/>
      <c r="G401" s="34"/>
      <c r="H401" s="34"/>
      <c r="I401" s="27"/>
      <c r="J401" s="27"/>
      <c r="K401" s="27"/>
      <c r="L401" s="27"/>
      <c r="M401" s="27"/>
      <c r="N401" s="27"/>
      <c r="O401" s="27"/>
      <c r="P401" s="27"/>
    </row>
    <row r="402">
      <c r="A402" s="27"/>
      <c r="B402" s="35"/>
      <c r="C402" s="27"/>
      <c r="D402" s="36"/>
      <c r="E402" s="34"/>
      <c r="F402" s="38"/>
      <c r="G402" s="34"/>
      <c r="H402" s="34"/>
      <c r="I402" s="27"/>
      <c r="J402" s="27"/>
      <c r="K402" s="27"/>
      <c r="L402" s="27"/>
      <c r="M402" s="27"/>
      <c r="N402" s="27"/>
      <c r="O402" s="27"/>
      <c r="P402" s="27"/>
    </row>
    <row r="403">
      <c r="A403" s="27"/>
      <c r="B403" s="35"/>
      <c r="C403" s="27"/>
      <c r="D403" s="36"/>
      <c r="E403" s="34"/>
      <c r="F403" s="38"/>
      <c r="G403" s="34"/>
      <c r="H403" s="34"/>
      <c r="I403" s="27"/>
      <c r="J403" s="27"/>
      <c r="K403" s="27"/>
      <c r="L403" s="27"/>
      <c r="M403" s="27"/>
      <c r="N403" s="27"/>
      <c r="O403" s="27"/>
      <c r="P403" s="27"/>
    </row>
    <row r="404">
      <c r="A404" s="27"/>
      <c r="B404" s="35"/>
      <c r="C404" s="27"/>
      <c r="D404" s="36"/>
      <c r="E404" s="34"/>
      <c r="F404" s="38"/>
      <c r="G404" s="34"/>
      <c r="H404" s="34"/>
      <c r="I404" s="27"/>
      <c r="J404" s="27"/>
      <c r="K404" s="27"/>
      <c r="L404" s="27"/>
      <c r="M404" s="27"/>
      <c r="N404" s="27"/>
      <c r="O404" s="27"/>
      <c r="P404" s="27"/>
    </row>
    <row r="405">
      <c r="A405" s="27"/>
      <c r="B405" s="35"/>
      <c r="C405" s="27"/>
      <c r="D405" s="36"/>
      <c r="E405" s="34"/>
      <c r="F405" s="38"/>
      <c r="G405" s="34"/>
      <c r="H405" s="34"/>
      <c r="I405" s="27"/>
      <c r="J405" s="27"/>
      <c r="K405" s="27"/>
      <c r="L405" s="27"/>
      <c r="M405" s="27"/>
      <c r="N405" s="27"/>
      <c r="O405" s="27"/>
      <c r="P405" s="27"/>
    </row>
    <row r="406">
      <c r="A406" s="27"/>
      <c r="B406" s="35"/>
      <c r="C406" s="27"/>
      <c r="D406" s="36"/>
      <c r="E406" s="34"/>
      <c r="F406" s="38"/>
      <c r="G406" s="34"/>
      <c r="H406" s="34"/>
      <c r="I406" s="27"/>
      <c r="J406" s="27"/>
      <c r="K406" s="27"/>
      <c r="L406" s="27"/>
      <c r="M406" s="27"/>
      <c r="N406" s="27"/>
      <c r="O406" s="27"/>
      <c r="P406" s="27"/>
    </row>
    <row r="407">
      <c r="A407" s="27"/>
      <c r="B407" s="35"/>
      <c r="C407" s="27"/>
      <c r="D407" s="36"/>
      <c r="E407" s="34"/>
      <c r="F407" s="38"/>
      <c r="G407" s="34"/>
      <c r="H407" s="34"/>
      <c r="I407" s="27"/>
      <c r="J407" s="27"/>
      <c r="K407" s="27"/>
      <c r="L407" s="27"/>
      <c r="M407" s="27"/>
      <c r="N407" s="27"/>
      <c r="O407" s="27"/>
      <c r="P407" s="27"/>
    </row>
    <row r="408">
      <c r="A408" s="27"/>
      <c r="B408" s="35"/>
      <c r="C408" s="27"/>
      <c r="D408" s="36"/>
      <c r="E408" s="34"/>
      <c r="F408" s="38"/>
      <c r="G408" s="34"/>
      <c r="H408" s="34"/>
      <c r="I408" s="27"/>
      <c r="J408" s="27"/>
      <c r="K408" s="27"/>
      <c r="L408" s="27"/>
      <c r="M408" s="27"/>
      <c r="N408" s="27"/>
      <c r="O408" s="27"/>
      <c r="P408" s="27"/>
    </row>
    <row r="409">
      <c r="A409" s="27"/>
      <c r="B409" s="35"/>
      <c r="C409" s="27"/>
      <c r="D409" s="36"/>
      <c r="E409" s="34"/>
      <c r="F409" s="38"/>
      <c r="G409" s="34"/>
      <c r="H409" s="34"/>
      <c r="I409" s="27"/>
      <c r="J409" s="27"/>
      <c r="K409" s="27"/>
      <c r="L409" s="27"/>
      <c r="M409" s="27"/>
      <c r="N409" s="27"/>
      <c r="O409" s="27"/>
      <c r="P409" s="27"/>
    </row>
    <row r="410">
      <c r="A410" s="27"/>
      <c r="B410" s="35"/>
      <c r="C410" s="27"/>
      <c r="D410" s="36"/>
      <c r="E410" s="34"/>
      <c r="F410" s="38"/>
      <c r="G410" s="34"/>
      <c r="H410" s="34"/>
      <c r="I410" s="27"/>
      <c r="J410" s="27"/>
      <c r="K410" s="27"/>
      <c r="L410" s="27"/>
      <c r="M410" s="27"/>
      <c r="N410" s="27"/>
      <c r="O410" s="27"/>
      <c r="P410" s="27"/>
    </row>
    <row r="411">
      <c r="A411" s="27"/>
      <c r="B411" s="35"/>
      <c r="C411" s="27"/>
      <c r="D411" s="36"/>
      <c r="E411" s="34"/>
      <c r="F411" s="38"/>
      <c r="G411" s="34"/>
      <c r="H411" s="34"/>
      <c r="I411" s="27"/>
      <c r="J411" s="27"/>
      <c r="K411" s="27"/>
      <c r="L411" s="27"/>
      <c r="M411" s="27"/>
      <c r="N411" s="27"/>
      <c r="O411" s="27"/>
      <c r="P411" s="27"/>
    </row>
    <row r="412">
      <c r="A412" s="27"/>
      <c r="B412" s="35"/>
      <c r="C412" s="27"/>
      <c r="D412" s="36"/>
      <c r="E412" s="34"/>
      <c r="F412" s="38"/>
      <c r="G412" s="34"/>
      <c r="H412" s="34"/>
      <c r="I412" s="27"/>
      <c r="J412" s="27"/>
      <c r="K412" s="27"/>
      <c r="L412" s="27"/>
      <c r="M412" s="27"/>
      <c r="N412" s="27"/>
      <c r="O412" s="27"/>
      <c r="P412" s="27"/>
    </row>
    <row r="413">
      <c r="A413" s="27"/>
      <c r="B413" s="35"/>
      <c r="C413" s="27"/>
      <c r="D413" s="36"/>
      <c r="E413" s="34"/>
      <c r="F413" s="38"/>
      <c r="G413" s="34"/>
      <c r="H413" s="34"/>
      <c r="I413" s="27"/>
      <c r="J413" s="27"/>
      <c r="K413" s="27"/>
      <c r="L413" s="27"/>
      <c r="M413" s="27"/>
      <c r="N413" s="27"/>
      <c r="O413" s="27"/>
      <c r="P413" s="27"/>
    </row>
    <row r="414">
      <c r="A414" s="27"/>
      <c r="B414" s="35"/>
      <c r="C414" s="27"/>
      <c r="D414" s="36"/>
      <c r="E414" s="34"/>
      <c r="F414" s="38"/>
      <c r="G414" s="34"/>
      <c r="H414" s="34"/>
      <c r="I414" s="27"/>
      <c r="J414" s="27"/>
      <c r="K414" s="27"/>
      <c r="L414" s="27"/>
      <c r="M414" s="27"/>
      <c r="N414" s="27"/>
      <c r="O414" s="27"/>
      <c r="P414" s="27"/>
    </row>
    <row r="415">
      <c r="A415" s="27"/>
      <c r="B415" s="35"/>
      <c r="C415" s="27"/>
      <c r="D415" s="36"/>
      <c r="E415" s="34"/>
      <c r="F415" s="38"/>
      <c r="G415" s="34"/>
      <c r="H415" s="34"/>
      <c r="I415" s="27"/>
      <c r="J415" s="27"/>
      <c r="K415" s="27"/>
      <c r="L415" s="27"/>
      <c r="M415" s="27"/>
      <c r="N415" s="27"/>
      <c r="O415" s="27"/>
      <c r="P415" s="27"/>
    </row>
    <row r="416">
      <c r="A416" s="27"/>
      <c r="B416" s="35"/>
      <c r="C416" s="27"/>
      <c r="D416" s="36"/>
      <c r="E416" s="34"/>
      <c r="F416" s="38"/>
      <c r="G416" s="34"/>
      <c r="H416" s="34"/>
      <c r="I416" s="27"/>
      <c r="J416" s="27"/>
      <c r="K416" s="27"/>
      <c r="L416" s="27"/>
      <c r="M416" s="27"/>
      <c r="N416" s="27"/>
      <c r="O416" s="27"/>
      <c r="P416" s="27"/>
    </row>
    <row r="417">
      <c r="A417" s="27"/>
      <c r="B417" s="35"/>
      <c r="C417" s="27"/>
      <c r="D417" s="36"/>
      <c r="E417" s="34"/>
      <c r="F417" s="38"/>
      <c r="G417" s="34"/>
      <c r="H417" s="34"/>
      <c r="I417" s="27"/>
      <c r="J417" s="27"/>
      <c r="K417" s="27"/>
      <c r="L417" s="27"/>
      <c r="M417" s="27"/>
      <c r="N417" s="27"/>
      <c r="O417" s="27"/>
      <c r="P417" s="27"/>
    </row>
    <row r="418">
      <c r="A418" s="27"/>
      <c r="B418" s="35"/>
      <c r="C418" s="27"/>
      <c r="D418" s="36"/>
      <c r="E418" s="34"/>
      <c r="F418" s="38"/>
      <c r="G418" s="34"/>
      <c r="H418" s="34"/>
      <c r="I418" s="27"/>
      <c r="J418" s="27"/>
      <c r="K418" s="27"/>
      <c r="L418" s="27"/>
      <c r="M418" s="27"/>
      <c r="N418" s="27"/>
      <c r="O418" s="27"/>
      <c r="P418" s="27"/>
    </row>
    <row r="419">
      <c r="A419" s="27"/>
      <c r="B419" s="35"/>
      <c r="C419" s="27"/>
      <c r="D419" s="36"/>
      <c r="E419" s="34"/>
      <c r="F419" s="38"/>
      <c r="G419" s="34"/>
      <c r="H419" s="34"/>
      <c r="I419" s="27"/>
      <c r="J419" s="27"/>
      <c r="K419" s="27"/>
      <c r="L419" s="27"/>
      <c r="M419" s="27"/>
      <c r="N419" s="27"/>
      <c r="O419" s="27"/>
      <c r="P419" s="27"/>
    </row>
    <row r="420">
      <c r="A420" s="27"/>
      <c r="B420" s="35"/>
      <c r="C420" s="27"/>
      <c r="D420" s="36"/>
      <c r="E420" s="34"/>
      <c r="F420" s="38"/>
      <c r="G420" s="34"/>
      <c r="H420" s="34"/>
      <c r="I420" s="27"/>
      <c r="J420" s="27"/>
      <c r="K420" s="27"/>
      <c r="L420" s="27"/>
      <c r="M420" s="27"/>
      <c r="N420" s="27"/>
      <c r="O420" s="27"/>
      <c r="P420" s="27"/>
    </row>
    <row r="421">
      <c r="A421" s="27"/>
      <c r="B421" s="35"/>
      <c r="C421" s="27"/>
      <c r="D421" s="36"/>
      <c r="E421" s="34"/>
      <c r="F421" s="38"/>
      <c r="G421" s="34"/>
      <c r="H421" s="34"/>
      <c r="I421" s="27"/>
      <c r="J421" s="27"/>
      <c r="K421" s="27"/>
      <c r="L421" s="27"/>
      <c r="M421" s="27"/>
      <c r="N421" s="27"/>
      <c r="O421" s="27"/>
      <c r="P421" s="27"/>
    </row>
    <row r="422">
      <c r="A422" s="27"/>
      <c r="B422" s="35"/>
      <c r="C422" s="27"/>
      <c r="D422" s="36"/>
      <c r="E422" s="34"/>
      <c r="F422" s="38"/>
      <c r="G422" s="34"/>
      <c r="H422" s="34"/>
      <c r="I422" s="27"/>
      <c r="J422" s="27"/>
      <c r="K422" s="27"/>
      <c r="L422" s="27"/>
      <c r="M422" s="27"/>
      <c r="N422" s="27"/>
      <c r="O422" s="27"/>
      <c r="P422" s="27"/>
    </row>
    <row r="423">
      <c r="A423" s="27"/>
      <c r="B423" s="35"/>
      <c r="C423" s="27"/>
      <c r="D423" s="36"/>
      <c r="E423" s="34"/>
      <c r="F423" s="38"/>
      <c r="G423" s="34"/>
      <c r="H423" s="34"/>
      <c r="I423" s="27"/>
      <c r="J423" s="27"/>
      <c r="K423" s="27"/>
      <c r="L423" s="27"/>
      <c r="M423" s="27"/>
      <c r="N423" s="27"/>
      <c r="O423" s="27"/>
      <c r="P423" s="27"/>
    </row>
    <row r="424">
      <c r="A424" s="27"/>
      <c r="B424" s="35"/>
      <c r="C424" s="27"/>
      <c r="D424" s="36"/>
      <c r="E424" s="34"/>
      <c r="F424" s="38"/>
      <c r="G424" s="34"/>
      <c r="H424" s="34"/>
      <c r="I424" s="27"/>
      <c r="J424" s="27"/>
      <c r="K424" s="27"/>
      <c r="L424" s="27"/>
      <c r="M424" s="27"/>
      <c r="N424" s="27"/>
      <c r="O424" s="27"/>
      <c r="P424" s="27"/>
    </row>
    <row r="425">
      <c r="A425" s="27"/>
      <c r="B425" s="35"/>
      <c r="C425" s="27"/>
      <c r="D425" s="36"/>
      <c r="E425" s="34"/>
      <c r="F425" s="38"/>
      <c r="G425" s="34"/>
      <c r="H425" s="34"/>
      <c r="I425" s="27"/>
      <c r="J425" s="27"/>
      <c r="K425" s="27"/>
      <c r="L425" s="27"/>
      <c r="M425" s="27"/>
      <c r="N425" s="27"/>
      <c r="O425" s="27"/>
      <c r="P425" s="27"/>
    </row>
    <row r="426">
      <c r="A426" s="27"/>
      <c r="B426" s="35"/>
      <c r="C426" s="27"/>
      <c r="D426" s="36"/>
      <c r="E426" s="34"/>
      <c r="F426" s="38"/>
      <c r="G426" s="34"/>
      <c r="H426" s="34"/>
      <c r="I426" s="27"/>
      <c r="J426" s="27"/>
      <c r="K426" s="27"/>
      <c r="L426" s="27"/>
      <c r="M426" s="27"/>
      <c r="N426" s="27"/>
      <c r="O426" s="27"/>
      <c r="P426" s="27"/>
    </row>
    <row r="427">
      <c r="A427" s="27"/>
      <c r="B427" s="35"/>
      <c r="C427" s="27"/>
      <c r="D427" s="36"/>
      <c r="E427" s="34"/>
      <c r="F427" s="38"/>
      <c r="G427" s="34"/>
      <c r="H427" s="34"/>
      <c r="I427" s="27"/>
      <c r="J427" s="27"/>
      <c r="K427" s="27"/>
      <c r="L427" s="27"/>
      <c r="M427" s="27"/>
      <c r="N427" s="27"/>
      <c r="O427" s="27"/>
      <c r="P427" s="27"/>
    </row>
    <row r="428">
      <c r="A428" s="27"/>
      <c r="B428" s="35"/>
      <c r="C428" s="27"/>
      <c r="D428" s="36"/>
      <c r="E428" s="34"/>
      <c r="F428" s="38"/>
      <c r="G428" s="34"/>
      <c r="H428" s="34"/>
      <c r="I428" s="27"/>
      <c r="J428" s="27"/>
      <c r="K428" s="27"/>
      <c r="L428" s="27"/>
      <c r="M428" s="27"/>
      <c r="N428" s="27"/>
      <c r="O428" s="27"/>
      <c r="P428" s="27"/>
    </row>
    <row r="429">
      <c r="A429" s="27"/>
      <c r="B429" s="35"/>
      <c r="C429" s="27"/>
      <c r="D429" s="36"/>
      <c r="E429" s="34"/>
      <c r="F429" s="38"/>
      <c r="G429" s="34"/>
      <c r="H429" s="34"/>
      <c r="I429" s="27"/>
      <c r="J429" s="27"/>
      <c r="K429" s="27"/>
      <c r="L429" s="27"/>
      <c r="M429" s="27"/>
      <c r="N429" s="27"/>
      <c r="O429" s="27"/>
      <c r="P429" s="27"/>
    </row>
    <row r="430">
      <c r="A430" s="27"/>
      <c r="B430" s="35"/>
      <c r="C430" s="27"/>
      <c r="D430" s="36"/>
      <c r="E430" s="34"/>
      <c r="F430" s="38"/>
      <c r="G430" s="34"/>
      <c r="H430" s="34"/>
      <c r="I430" s="27"/>
      <c r="J430" s="27"/>
      <c r="K430" s="27"/>
      <c r="L430" s="27"/>
      <c r="M430" s="27"/>
      <c r="N430" s="27"/>
      <c r="O430" s="27"/>
      <c r="P430" s="27"/>
    </row>
    <row r="431">
      <c r="A431" s="27"/>
      <c r="B431" s="35"/>
      <c r="C431" s="27"/>
      <c r="D431" s="36"/>
      <c r="E431" s="34"/>
      <c r="F431" s="38"/>
      <c r="G431" s="34"/>
      <c r="H431" s="34"/>
      <c r="I431" s="27"/>
      <c r="J431" s="27"/>
      <c r="K431" s="27"/>
      <c r="L431" s="27"/>
      <c r="M431" s="27"/>
      <c r="N431" s="27"/>
      <c r="O431" s="27"/>
      <c r="P431" s="27"/>
    </row>
    <row r="432">
      <c r="A432" s="27"/>
      <c r="B432" s="35"/>
      <c r="C432" s="27"/>
      <c r="D432" s="36"/>
      <c r="E432" s="34"/>
      <c r="F432" s="38"/>
      <c r="G432" s="34"/>
      <c r="H432" s="34"/>
      <c r="I432" s="27"/>
      <c r="J432" s="27"/>
      <c r="K432" s="27"/>
      <c r="L432" s="27"/>
      <c r="M432" s="27"/>
      <c r="N432" s="27"/>
      <c r="O432" s="27"/>
      <c r="P432" s="27"/>
    </row>
    <row r="433">
      <c r="A433" s="27"/>
      <c r="B433" s="35"/>
      <c r="C433" s="27"/>
      <c r="D433" s="36"/>
      <c r="E433" s="34"/>
      <c r="F433" s="38"/>
      <c r="G433" s="34"/>
      <c r="H433" s="34"/>
      <c r="I433" s="27"/>
      <c r="J433" s="27"/>
      <c r="K433" s="27"/>
      <c r="L433" s="27"/>
      <c r="M433" s="27"/>
      <c r="N433" s="27"/>
      <c r="O433" s="27"/>
      <c r="P433" s="27"/>
    </row>
    <row r="434">
      <c r="A434" s="27"/>
      <c r="B434" s="35"/>
      <c r="C434" s="27"/>
      <c r="D434" s="36"/>
      <c r="E434" s="34"/>
      <c r="F434" s="38"/>
      <c r="G434" s="34"/>
      <c r="H434" s="34"/>
      <c r="I434" s="27"/>
      <c r="J434" s="27"/>
      <c r="K434" s="27"/>
      <c r="L434" s="27"/>
      <c r="M434" s="27"/>
      <c r="N434" s="27"/>
      <c r="O434" s="27"/>
      <c r="P434" s="27"/>
    </row>
    <row r="435">
      <c r="A435" s="27"/>
      <c r="B435" s="35"/>
      <c r="C435" s="27"/>
      <c r="D435" s="36"/>
      <c r="E435" s="34"/>
      <c r="F435" s="38"/>
      <c r="G435" s="34"/>
      <c r="H435" s="34"/>
      <c r="I435" s="27"/>
      <c r="J435" s="27"/>
      <c r="K435" s="27"/>
      <c r="L435" s="27"/>
      <c r="M435" s="27"/>
      <c r="N435" s="27"/>
      <c r="O435" s="27"/>
      <c r="P435" s="27"/>
    </row>
    <row r="436">
      <c r="A436" s="27"/>
      <c r="B436" s="35"/>
      <c r="C436" s="27"/>
      <c r="D436" s="36"/>
      <c r="E436" s="34"/>
      <c r="F436" s="38"/>
      <c r="G436" s="34"/>
      <c r="H436" s="34"/>
      <c r="I436" s="27"/>
      <c r="J436" s="27"/>
      <c r="K436" s="27"/>
      <c r="L436" s="27"/>
      <c r="M436" s="27"/>
      <c r="N436" s="27"/>
      <c r="O436" s="27"/>
      <c r="P436" s="27"/>
    </row>
    <row r="437">
      <c r="A437" s="27"/>
      <c r="B437" s="35"/>
      <c r="C437" s="27"/>
      <c r="D437" s="36"/>
      <c r="E437" s="34"/>
      <c r="F437" s="38"/>
      <c r="G437" s="34"/>
      <c r="H437" s="34"/>
      <c r="I437" s="27"/>
      <c r="J437" s="27"/>
      <c r="K437" s="27"/>
      <c r="L437" s="27"/>
      <c r="M437" s="27"/>
      <c r="N437" s="27"/>
      <c r="O437" s="27"/>
      <c r="P437" s="27"/>
    </row>
    <row r="438">
      <c r="A438" s="27"/>
      <c r="B438" s="35"/>
      <c r="C438" s="27"/>
      <c r="D438" s="36"/>
      <c r="E438" s="34"/>
      <c r="F438" s="38"/>
      <c r="G438" s="34"/>
      <c r="H438" s="34"/>
      <c r="I438" s="27"/>
      <c r="J438" s="27"/>
      <c r="K438" s="27"/>
      <c r="L438" s="27"/>
      <c r="M438" s="27"/>
      <c r="N438" s="27"/>
      <c r="O438" s="27"/>
      <c r="P438" s="27"/>
    </row>
    <row r="439">
      <c r="A439" s="27"/>
      <c r="B439" s="35"/>
      <c r="C439" s="27"/>
      <c r="D439" s="36"/>
      <c r="E439" s="34"/>
      <c r="F439" s="38"/>
      <c r="G439" s="34"/>
      <c r="H439" s="34"/>
      <c r="I439" s="27"/>
      <c r="J439" s="27"/>
      <c r="K439" s="27"/>
      <c r="L439" s="27"/>
      <c r="M439" s="27"/>
      <c r="N439" s="27"/>
      <c r="O439" s="27"/>
      <c r="P439" s="27"/>
    </row>
    <row r="440">
      <c r="A440" s="27"/>
      <c r="B440" s="35"/>
      <c r="C440" s="27"/>
      <c r="D440" s="36"/>
      <c r="E440" s="34"/>
      <c r="F440" s="38"/>
      <c r="G440" s="34"/>
      <c r="H440" s="34"/>
      <c r="I440" s="27"/>
      <c r="J440" s="27"/>
      <c r="K440" s="27"/>
      <c r="L440" s="27"/>
      <c r="M440" s="27"/>
      <c r="N440" s="27"/>
      <c r="O440" s="27"/>
      <c r="P440" s="27"/>
    </row>
    <row r="441">
      <c r="A441" s="27"/>
      <c r="B441" s="35"/>
      <c r="C441" s="27"/>
      <c r="D441" s="36"/>
      <c r="E441" s="34"/>
      <c r="F441" s="38"/>
      <c r="G441" s="34"/>
      <c r="H441" s="34"/>
      <c r="I441" s="27"/>
      <c r="J441" s="27"/>
      <c r="K441" s="27"/>
      <c r="L441" s="27"/>
      <c r="M441" s="27"/>
      <c r="N441" s="27"/>
      <c r="O441" s="27"/>
      <c r="P441" s="27"/>
    </row>
    <row r="442">
      <c r="A442" s="27"/>
      <c r="B442" s="35"/>
      <c r="C442" s="27"/>
      <c r="D442" s="36"/>
      <c r="E442" s="34"/>
      <c r="F442" s="38"/>
      <c r="G442" s="34"/>
      <c r="H442" s="34"/>
      <c r="I442" s="27"/>
      <c r="J442" s="27"/>
      <c r="K442" s="27"/>
      <c r="L442" s="27"/>
      <c r="M442" s="27"/>
      <c r="N442" s="27"/>
      <c r="O442" s="27"/>
      <c r="P442" s="27"/>
    </row>
    <row r="443">
      <c r="A443" s="27"/>
      <c r="B443" s="35"/>
      <c r="C443" s="27"/>
      <c r="D443" s="36"/>
      <c r="E443" s="34"/>
      <c r="F443" s="38"/>
      <c r="G443" s="34"/>
      <c r="H443" s="34"/>
      <c r="I443" s="27"/>
      <c r="J443" s="27"/>
      <c r="K443" s="27"/>
      <c r="L443" s="27"/>
      <c r="M443" s="27"/>
      <c r="N443" s="27"/>
      <c r="O443" s="27"/>
      <c r="P443" s="27"/>
    </row>
    <row r="444">
      <c r="A444" s="27"/>
      <c r="B444" s="35"/>
      <c r="C444" s="27"/>
      <c r="D444" s="36"/>
      <c r="E444" s="34"/>
      <c r="F444" s="38"/>
      <c r="G444" s="34"/>
      <c r="H444" s="34"/>
      <c r="I444" s="27"/>
      <c r="J444" s="27"/>
      <c r="K444" s="27"/>
      <c r="L444" s="27"/>
      <c r="M444" s="27"/>
      <c r="N444" s="27"/>
      <c r="O444" s="27"/>
      <c r="P444" s="27"/>
    </row>
    <row r="445">
      <c r="A445" s="27"/>
      <c r="B445" s="35"/>
      <c r="C445" s="27"/>
      <c r="D445" s="36"/>
      <c r="E445" s="34"/>
      <c r="F445" s="38"/>
      <c r="G445" s="34"/>
      <c r="H445" s="34"/>
      <c r="I445" s="27"/>
      <c r="J445" s="27"/>
      <c r="K445" s="27"/>
      <c r="L445" s="27"/>
      <c r="M445" s="27"/>
      <c r="N445" s="27"/>
      <c r="O445" s="27"/>
      <c r="P445" s="27"/>
    </row>
    <row r="446">
      <c r="A446" s="27"/>
      <c r="B446" s="35"/>
      <c r="C446" s="27"/>
      <c r="D446" s="36"/>
      <c r="E446" s="34"/>
      <c r="F446" s="38"/>
      <c r="G446" s="34"/>
      <c r="H446" s="34"/>
      <c r="I446" s="27"/>
      <c r="J446" s="27"/>
      <c r="K446" s="27"/>
      <c r="L446" s="27"/>
      <c r="M446" s="27"/>
      <c r="N446" s="27"/>
      <c r="O446" s="27"/>
      <c r="P446" s="27"/>
    </row>
    <row r="447">
      <c r="A447" s="27"/>
      <c r="B447" s="35"/>
      <c r="C447" s="27"/>
      <c r="D447" s="36"/>
      <c r="E447" s="34"/>
      <c r="F447" s="38"/>
      <c r="G447" s="34"/>
      <c r="H447" s="34"/>
      <c r="I447" s="27"/>
      <c r="J447" s="27"/>
      <c r="K447" s="27"/>
      <c r="L447" s="27"/>
      <c r="M447" s="27"/>
      <c r="N447" s="27"/>
      <c r="O447" s="27"/>
      <c r="P447" s="27"/>
    </row>
    <row r="448">
      <c r="A448" s="27"/>
      <c r="B448" s="35"/>
      <c r="C448" s="27"/>
      <c r="D448" s="36"/>
      <c r="E448" s="34"/>
      <c r="F448" s="38"/>
      <c r="G448" s="34"/>
      <c r="H448" s="34"/>
      <c r="I448" s="27"/>
      <c r="J448" s="27"/>
      <c r="K448" s="27"/>
      <c r="L448" s="27"/>
      <c r="M448" s="27"/>
      <c r="N448" s="27"/>
      <c r="O448" s="27"/>
      <c r="P448" s="27"/>
    </row>
    <row r="449">
      <c r="A449" s="27"/>
      <c r="B449" s="35"/>
      <c r="C449" s="27"/>
      <c r="D449" s="36"/>
      <c r="E449" s="34"/>
      <c r="F449" s="38"/>
      <c r="G449" s="34"/>
      <c r="H449" s="34"/>
      <c r="I449" s="27"/>
      <c r="J449" s="27"/>
      <c r="K449" s="27"/>
      <c r="L449" s="27"/>
      <c r="M449" s="27"/>
      <c r="N449" s="27"/>
      <c r="O449" s="27"/>
      <c r="P449" s="27"/>
    </row>
    <row r="450">
      <c r="A450" s="27"/>
      <c r="B450" s="35"/>
      <c r="C450" s="27"/>
      <c r="D450" s="36"/>
      <c r="E450" s="34"/>
      <c r="F450" s="38"/>
      <c r="G450" s="34"/>
      <c r="H450" s="34"/>
      <c r="I450" s="27"/>
      <c r="J450" s="27"/>
      <c r="K450" s="27"/>
      <c r="L450" s="27"/>
      <c r="M450" s="27"/>
      <c r="N450" s="27"/>
      <c r="O450" s="27"/>
      <c r="P450" s="27"/>
    </row>
    <row r="451">
      <c r="A451" s="27"/>
      <c r="B451" s="35"/>
      <c r="C451" s="27"/>
      <c r="D451" s="36"/>
      <c r="E451" s="34"/>
      <c r="F451" s="38"/>
      <c r="G451" s="34"/>
      <c r="H451" s="34"/>
      <c r="I451" s="27"/>
      <c r="J451" s="27"/>
      <c r="K451" s="27"/>
      <c r="L451" s="27"/>
      <c r="M451" s="27"/>
      <c r="N451" s="27"/>
      <c r="O451" s="27"/>
      <c r="P451" s="27"/>
    </row>
    <row r="452">
      <c r="A452" s="27"/>
      <c r="B452" s="35"/>
      <c r="C452" s="27"/>
      <c r="D452" s="36"/>
      <c r="E452" s="34"/>
      <c r="F452" s="38"/>
      <c r="G452" s="34"/>
      <c r="H452" s="34"/>
      <c r="I452" s="27"/>
      <c r="J452" s="27"/>
      <c r="K452" s="27"/>
      <c r="L452" s="27"/>
      <c r="M452" s="27"/>
      <c r="N452" s="27"/>
      <c r="O452" s="27"/>
      <c r="P452" s="27"/>
    </row>
    <row r="453">
      <c r="A453" s="27"/>
      <c r="B453" s="35"/>
      <c r="C453" s="27"/>
      <c r="D453" s="36"/>
      <c r="E453" s="34"/>
      <c r="F453" s="38"/>
      <c r="G453" s="34"/>
      <c r="H453" s="34"/>
      <c r="I453" s="27"/>
      <c r="J453" s="27"/>
      <c r="K453" s="27"/>
      <c r="L453" s="27"/>
      <c r="M453" s="27"/>
      <c r="N453" s="27"/>
      <c r="O453" s="27"/>
      <c r="P453" s="27"/>
    </row>
    <row r="454">
      <c r="A454" s="27"/>
      <c r="B454" s="35"/>
      <c r="C454" s="27"/>
      <c r="D454" s="36"/>
      <c r="E454" s="34"/>
      <c r="F454" s="38"/>
      <c r="G454" s="34"/>
      <c r="H454" s="34"/>
      <c r="I454" s="27"/>
      <c r="J454" s="27"/>
      <c r="K454" s="27"/>
      <c r="L454" s="27"/>
      <c r="M454" s="27"/>
      <c r="N454" s="27"/>
      <c r="O454" s="27"/>
      <c r="P454" s="27"/>
    </row>
    <row r="455">
      <c r="A455" s="27"/>
      <c r="B455" s="35"/>
      <c r="C455" s="27"/>
      <c r="D455" s="36"/>
      <c r="E455" s="34"/>
      <c r="F455" s="38"/>
      <c r="G455" s="34"/>
      <c r="H455" s="34"/>
      <c r="I455" s="27"/>
      <c r="J455" s="27"/>
      <c r="K455" s="27"/>
      <c r="L455" s="27"/>
      <c r="M455" s="27"/>
      <c r="N455" s="27"/>
      <c r="O455" s="27"/>
      <c r="P455" s="27"/>
    </row>
    <row r="456">
      <c r="A456" s="27"/>
      <c r="B456" s="35"/>
      <c r="C456" s="27"/>
      <c r="D456" s="36"/>
      <c r="E456" s="34"/>
      <c r="F456" s="38"/>
      <c r="G456" s="34"/>
      <c r="H456" s="34"/>
      <c r="I456" s="27"/>
      <c r="J456" s="27"/>
      <c r="K456" s="27"/>
      <c r="L456" s="27"/>
      <c r="M456" s="27"/>
      <c r="N456" s="27"/>
      <c r="O456" s="27"/>
      <c r="P456" s="27"/>
    </row>
    <row r="457">
      <c r="A457" s="27"/>
      <c r="B457" s="35"/>
      <c r="C457" s="27"/>
      <c r="D457" s="36"/>
      <c r="E457" s="34"/>
      <c r="F457" s="38"/>
      <c r="G457" s="34"/>
      <c r="H457" s="34"/>
      <c r="I457" s="27"/>
      <c r="J457" s="27"/>
      <c r="K457" s="27"/>
      <c r="L457" s="27"/>
      <c r="M457" s="27"/>
      <c r="N457" s="27"/>
      <c r="O457" s="27"/>
      <c r="P457" s="27"/>
    </row>
    <row r="458">
      <c r="A458" s="27"/>
      <c r="B458" s="35"/>
      <c r="C458" s="27"/>
      <c r="D458" s="36"/>
      <c r="E458" s="34"/>
      <c r="F458" s="38"/>
      <c r="G458" s="34"/>
      <c r="H458" s="34"/>
      <c r="I458" s="27"/>
      <c r="J458" s="27"/>
      <c r="K458" s="27"/>
      <c r="L458" s="27"/>
      <c r="M458" s="27"/>
      <c r="N458" s="27"/>
      <c r="O458" s="27"/>
      <c r="P458" s="27"/>
    </row>
    <row r="459">
      <c r="A459" s="27"/>
      <c r="B459" s="35"/>
      <c r="C459" s="27"/>
      <c r="D459" s="36"/>
      <c r="E459" s="34"/>
      <c r="F459" s="38"/>
      <c r="G459" s="34"/>
      <c r="H459" s="34"/>
      <c r="I459" s="27"/>
      <c r="J459" s="27"/>
      <c r="K459" s="27"/>
      <c r="L459" s="27"/>
      <c r="M459" s="27"/>
      <c r="N459" s="27"/>
      <c r="O459" s="27"/>
      <c r="P459" s="27"/>
    </row>
    <row r="460">
      <c r="A460" s="27"/>
      <c r="B460" s="35"/>
      <c r="C460" s="27"/>
      <c r="D460" s="36"/>
      <c r="E460" s="34"/>
      <c r="F460" s="38"/>
      <c r="G460" s="34"/>
      <c r="H460" s="34"/>
      <c r="I460" s="27"/>
      <c r="J460" s="27"/>
      <c r="K460" s="27"/>
      <c r="L460" s="27"/>
      <c r="M460" s="27"/>
      <c r="N460" s="27"/>
      <c r="O460" s="27"/>
      <c r="P460" s="27"/>
    </row>
    <row r="461">
      <c r="A461" s="27"/>
      <c r="B461" s="35"/>
      <c r="C461" s="27"/>
      <c r="D461" s="36"/>
      <c r="E461" s="34"/>
      <c r="F461" s="38"/>
      <c r="G461" s="34"/>
      <c r="H461" s="34"/>
      <c r="I461" s="27"/>
      <c r="J461" s="27"/>
      <c r="K461" s="27"/>
      <c r="L461" s="27"/>
      <c r="M461" s="27"/>
      <c r="N461" s="27"/>
      <c r="O461" s="27"/>
      <c r="P461" s="27"/>
    </row>
    <row r="462">
      <c r="A462" s="27"/>
      <c r="B462" s="35"/>
      <c r="C462" s="27"/>
      <c r="D462" s="36"/>
      <c r="E462" s="34"/>
      <c r="F462" s="38"/>
      <c r="G462" s="34"/>
      <c r="H462" s="34"/>
      <c r="I462" s="27"/>
      <c r="J462" s="27"/>
      <c r="K462" s="27"/>
      <c r="L462" s="27"/>
      <c r="M462" s="27"/>
      <c r="N462" s="27"/>
      <c r="O462" s="27"/>
      <c r="P462" s="27"/>
    </row>
    <row r="463">
      <c r="A463" s="27"/>
      <c r="B463" s="35"/>
      <c r="C463" s="27"/>
      <c r="D463" s="36"/>
      <c r="E463" s="34"/>
      <c r="F463" s="38"/>
      <c r="G463" s="34"/>
      <c r="H463" s="34"/>
      <c r="I463" s="27"/>
      <c r="J463" s="27"/>
      <c r="K463" s="27"/>
      <c r="L463" s="27"/>
      <c r="M463" s="27"/>
      <c r="N463" s="27"/>
      <c r="O463" s="27"/>
      <c r="P463" s="27"/>
    </row>
    <row r="464">
      <c r="A464" s="27"/>
      <c r="B464" s="35"/>
      <c r="C464" s="27"/>
      <c r="D464" s="36"/>
      <c r="E464" s="34"/>
      <c r="F464" s="38"/>
      <c r="G464" s="34"/>
      <c r="H464" s="34"/>
      <c r="I464" s="27"/>
      <c r="J464" s="27"/>
      <c r="K464" s="27"/>
      <c r="L464" s="27"/>
      <c r="M464" s="27"/>
      <c r="N464" s="27"/>
      <c r="O464" s="27"/>
      <c r="P464" s="27"/>
    </row>
    <row r="465">
      <c r="A465" s="27"/>
      <c r="B465" s="35"/>
      <c r="C465" s="27"/>
      <c r="D465" s="36"/>
      <c r="E465" s="34"/>
      <c r="F465" s="38"/>
      <c r="G465" s="34"/>
      <c r="H465" s="34"/>
      <c r="I465" s="27"/>
      <c r="J465" s="27"/>
      <c r="K465" s="27"/>
      <c r="L465" s="27"/>
      <c r="M465" s="27"/>
      <c r="N465" s="27"/>
      <c r="O465" s="27"/>
      <c r="P465" s="27"/>
    </row>
    <row r="466">
      <c r="A466" s="27"/>
      <c r="B466" s="35"/>
      <c r="C466" s="27"/>
      <c r="D466" s="36"/>
      <c r="E466" s="34"/>
      <c r="F466" s="38"/>
      <c r="G466" s="34"/>
      <c r="H466" s="34"/>
      <c r="I466" s="27"/>
      <c r="J466" s="27"/>
      <c r="K466" s="27"/>
      <c r="L466" s="27"/>
      <c r="M466" s="27"/>
      <c r="N466" s="27"/>
      <c r="O466" s="27"/>
      <c r="P466" s="27"/>
    </row>
    <row r="467">
      <c r="A467" s="27"/>
      <c r="B467" s="35"/>
      <c r="C467" s="27"/>
      <c r="D467" s="36"/>
      <c r="E467" s="34"/>
      <c r="F467" s="38"/>
      <c r="G467" s="34"/>
      <c r="H467" s="34"/>
      <c r="I467" s="27"/>
      <c r="J467" s="27"/>
      <c r="K467" s="27"/>
      <c r="L467" s="27"/>
      <c r="M467" s="27"/>
      <c r="N467" s="27"/>
      <c r="O467" s="27"/>
      <c r="P467" s="27"/>
    </row>
    <row r="468">
      <c r="A468" s="27"/>
      <c r="B468" s="35"/>
      <c r="C468" s="27"/>
      <c r="D468" s="36"/>
      <c r="E468" s="34"/>
      <c r="F468" s="38"/>
      <c r="G468" s="34"/>
      <c r="H468" s="34"/>
      <c r="I468" s="27"/>
      <c r="J468" s="27"/>
      <c r="K468" s="27"/>
      <c r="L468" s="27"/>
      <c r="M468" s="27"/>
      <c r="N468" s="27"/>
      <c r="O468" s="27"/>
      <c r="P468" s="27"/>
    </row>
    <row r="469">
      <c r="A469" s="27"/>
      <c r="B469" s="35"/>
      <c r="C469" s="27"/>
      <c r="D469" s="36"/>
      <c r="E469" s="34"/>
      <c r="F469" s="38"/>
      <c r="G469" s="34"/>
      <c r="H469" s="34"/>
      <c r="I469" s="27"/>
      <c r="J469" s="27"/>
      <c r="K469" s="27"/>
      <c r="L469" s="27"/>
      <c r="M469" s="27"/>
      <c r="N469" s="27"/>
      <c r="O469" s="27"/>
      <c r="P469" s="27"/>
    </row>
    <row r="470">
      <c r="A470" s="27"/>
      <c r="B470" s="35"/>
      <c r="C470" s="27"/>
      <c r="D470" s="36"/>
      <c r="E470" s="34"/>
      <c r="F470" s="38"/>
      <c r="G470" s="34"/>
      <c r="H470" s="34"/>
      <c r="I470" s="27"/>
      <c r="J470" s="27"/>
      <c r="K470" s="27"/>
      <c r="L470" s="27"/>
      <c r="M470" s="27"/>
      <c r="N470" s="27"/>
      <c r="O470" s="27"/>
      <c r="P470" s="27"/>
    </row>
    <row r="471">
      <c r="A471" s="27"/>
      <c r="B471" s="35"/>
      <c r="C471" s="27"/>
      <c r="D471" s="36"/>
      <c r="E471" s="34"/>
      <c r="F471" s="38"/>
      <c r="G471" s="34"/>
      <c r="H471" s="34"/>
      <c r="I471" s="27"/>
      <c r="J471" s="27"/>
      <c r="K471" s="27"/>
      <c r="L471" s="27"/>
      <c r="M471" s="27"/>
      <c r="N471" s="27"/>
      <c r="O471" s="27"/>
      <c r="P471" s="27"/>
    </row>
    <row r="472">
      <c r="A472" s="27"/>
      <c r="B472" s="35"/>
      <c r="C472" s="27"/>
      <c r="D472" s="36"/>
      <c r="E472" s="34"/>
      <c r="F472" s="38"/>
      <c r="G472" s="34"/>
      <c r="H472" s="34"/>
      <c r="I472" s="27"/>
      <c r="J472" s="27"/>
      <c r="K472" s="27"/>
      <c r="L472" s="27"/>
      <c r="M472" s="27"/>
      <c r="N472" s="27"/>
      <c r="O472" s="27"/>
      <c r="P472" s="27"/>
    </row>
    <row r="473">
      <c r="A473" s="27"/>
      <c r="B473" s="35"/>
      <c r="C473" s="27"/>
      <c r="D473" s="36"/>
      <c r="E473" s="34"/>
      <c r="F473" s="38"/>
      <c r="G473" s="34"/>
      <c r="H473" s="34"/>
      <c r="I473" s="27"/>
      <c r="J473" s="27"/>
      <c r="K473" s="27"/>
      <c r="L473" s="27"/>
      <c r="M473" s="27"/>
      <c r="N473" s="27"/>
      <c r="O473" s="27"/>
      <c r="P473" s="27"/>
    </row>
    <row r="474">
      <c r="A474" s="27"/>
      <c r="B474" s="35"/>
      <c r="C474" s="27"/>
      <c r="D474" s="36"/>
      <c r="E474" s="34"/>
      <c r="F474" s="38"/>
      <c r="G474" s="34"/>
      <c r="H474" s="34"/>
      <c r="I474" s="27"/>
      <c r="J474" s="27"/>
      <c r="K474" s="27"/>
      <c r="L474" s="27"/>
      <c r="M474" s="27"/>
      <c r="N474" s="27"/>
      <c r="O474" s="27"/>
      <c r="P474" s="27"/>
    </row>
    <row r="475">
      <c r="A475" s="27"/>
      <c r="B475" s="35"/>
      <c r="C475" s="27"/>
      <c r="D475" s="36"/>
      <c r="E475" s="34"/>
      <c r="F475" s="38"/>
      <c r="G475" s="34"/>
      <c r="H475" s="34"/>
      <c r="I475" s="27"/>
      <c r="J475" s="27"/>
      <c r="K475" s="27"/>
      <c r="L475" s="27"/>
      <c r="M475" s="27"/>
      <c r="N475" s="27"/>
      <c r="O475" s="27"/>
      <c r="P475" s="27"/>
    </row>
    <row r="476">
      <c r="A476" s="27"/>
      <c r="B476" s="35"/>
      <c r="C476" s="27"/>
      <c r="D476" s="36"/>
      <c r="E476" s="34"/>
      <c r="F476" s="38"/>
      <c r="G476" s="34"/>
      <c r="H476" s="34"/>
      <c r="I476" s="27"/>
      <c r="J476" s="27"/>
      <c r="K476" s="27"/>
      <c r="L476" s="27"/>
      <c r="M476" s="27"/>
      <c r="N476" s="27"/>
      <c r="O476" s="27"/>
      <c r="P476" s="27"/>
    </row>
    <row r="477">
      <c r="A477" s="27"/>
      <c r="B477" s="35"/>
      <c r="C477" s="27"/>
      <c r="D477" s="36"/>
      <c r="E477" s="34"/>
      <c r="F477" s="38"/>
      <c r="G477" s="34"/>
      <c r="H477" s="34"/>
      <c r="I477" s="27"/>
      <c r="J477" s="27"/>
      <c r="K477" s="27"/>
      <c r="L477" s="27"/>
      <c r="M477" s="27"/>
      <c r="N477" s="27"/>
      <c r="O477" s="27"/>
      <c r="P477" s="27"/>
    </row>
    <row r="478">
      <c r="A478" s="27"/>
      <c r="B478" s="35"/>
      <c r="C478" s="27"/>
      <c r="D478" s="36"/>
      <c r="E478" s="34"/>
      <c r="F478" s="38"/>
      <c r="G478" s="34"/>
      <c r="H478" s="34"/>
      <c r="I478" s="27"/>
      <c r="J478" s="27"/>
      <c r="K478" s="27"/>
      <c r="L478" s="27"/>
      <c r="M478" s="27"/>
      <c r="N478" s="27"/>
      <c r="O478" s="27"/>
      <c r="P478" s="27"/>
    </row>
    <row r="479">
      <c r="A479" s="27"/>
      <c r="B479" s="35"/>
      <c r="C479" s="27"/>
      <c r="D479" s="36"/>
      <c r="E479" s="34"/>
      <c r="F479" s="38"/>
      <c r="G479" s="34"/>
      <c r="H479" s="34"/>
      <c r="I479" s="27"/>
      <c r="J479" s="27"/>
      <c r="K479" s="27"/>
      <c r="L479" s="27"/>
      <c r="M479" s="27"/>
      <c r="N479" s="27"/>
      <c r="O479" s="27"/>
      <c r="P479" s="27"/>
    </row>
    <row r="480">
      <c r="A480" s="27"/>
      <c r="B480" s="35"/>
      <c r="C480" s="27"/>
      <c r="D480" s="36"/>
      <c r="E480" s="34"/>
      <c r="F480" s="38"/>
      <c r="G480" s="34"/>
      <c r="H480" s="34"/>
      <c r="I480" s="27"/>
      <c r="J480" s="27"/>
      <c r="K480" s="27"/>
      <c r="L480" s="27"/>
      <c r="M480" s="27"/>
      <c r="N480" s="27"/>
      <c r="O480" s="27"/>
      <c r="P480" s="27"/>
    </row>
    <row r="481">
      <c r="A481" s="27"/>
      <c r="B481" s="35"/>
      <c r="C481" s="27"/>
      <c r="D481" s="36"/>
      <c r="E481" s="34"/>
      <c r="F481" s="38"/>
      <c r="G481" s="34"/>
      <c r="H481" s="34"/>
      <c r="I481" s="27"/>
      <c r="J481" s="27"/>
      <c r="K481" s="27"/>
      <c r="L481" s="27"/>
      <c r="M481" s="27"/>
      <c r="N481" s="27"/>
      <c r="O481" s="27"/>
      <c r="P481" s="27"/>
    </row>
    <row r="482">
      <c r="A482" s="27"/>
      <c r="B482" s="35"/>
      <c r="C482" s="27"/>
      <c r="D482" s="36"/>
      <c r="E482" s="34"/>
      <c r="F482" s="38"/>
      <c r="G482" s="34"/>
      <c r="H482" s="34"/>
      <c r="I482" s="27"/>
      <c r="J482" s="27"/>
      <c r="K482" s="27"/>
      <c r="L482" s="27"/>
      <c r="M482" s="27"/>
      <c r="N482" s="27"/>
      <c r="O482" s="27"/>
      <c r="P482" s="27"/>
    </row>
    <row r="483">
      <c r="A483" s="27"/>
      <c r="B483" s="35"/>
      <c r="C483" s="27"/>
      <c r="D483" s="36"/>
      <c r="E483" s="34"/>
      <c r="F483" s="38"/>
      <c r="G483" s="34"/>
      <c r="H483" s="34"/>
      <c r="I483" s="27"/>
      <c r="J483" s="27"/>
      <c r="K483" s="27"/>
      <c r="L483" s="27"/>
      <c r="M483" s="27"/>
      <c r="N483" s="27"/>
      <c r="O483" s="27"/>
      <c r="P483" s="27"/>
    </row>
    <row r="484">
      <c r="A484" s="27"/>
      <c r="B484" s="35"/>
      <c r="C484" s="27"/>
      <c r="D484" s="36"/>
      <c r="E484" s="34"/>
      <c r="F484" s="38"/>
      <c r="G484" s="34"/>
      <c r="H484" s="34"/>
      <c r="I484" s="27"/>
      <c r="J484" s="27"/>
      <c r="K484" s="27"/>
      <c r="L484" s="27"/>
      <c r="M484" s="27"/>
      <c r="N484" s="27"/>
      <c r="O484" s="27"/>
      <c r="P484" s="27"/>
    </row>
    <row r="485">
      <c r="A485" s="27"/>
      <c r="B485" s="35"/>
      <c r="C485" s="27"/>
      <c r="D485" s="36"/>
      <c r="E485" s="34"/>
      <c r="F485" s="38"/>
      <c r="G485" s="34"/>
      <c r="H485" s="34"/>
      <c r="I485" s="27"/>
      <c r="J485" s="27"/>
      <c r="K485" s="27"/>
      <c r="L485" s="27"/>
      <c r="M485" s="27"/>
      <c r="N485" s="27"/>
      <c r="O485" s="27"/>
      <c r="P485" s="27"/>
    </row>
    <row r="486">
      <c r="A486" s="27"/>
      <c r="B486" s="35"/>
      <c r="C486" s="27"/>
      <c r="D486" s="36"/>
      <c r="E486" s="34"/>
      <c r="F486" s="38"/>
      <c r="G486" s="34"/>
      <c r="H486" s="34"/>
      <c r="I486" s="27"/>
      <c r="J486" s="27"/>
      <c r="K486" s="27"/>
      <c r="L486" s="27"/>
      <c r="M486" s="27"/>
      <c r="N486" s="27"/>
      <c r="O486" s="27"/>
      <c r="P486" s="27"/>
    </row>
    <row r="487">
      <c r="A487" s="27"/>
      <c r="B487" s="35"/>
      <c r="C487" s="27"/>
      <c r="D487" s="36"/>
      <c r="E487" s="34"/>
      <c r="F487" s="38"/>
      <c r="G487" s="34"/>
      <c r="H487" s="34"/>
      <c r="I487" s="27"/>
      <c r="J487" s="27"/>
      <c r="K487" s="27"/>
      <c r="L487" s="27"/>
      <c r="M487" s="27"/>
      <c r="N487" s="27"/>
      <c r="O487" s="27"/>
      <c r="P487" s="27"/>
    </row>
    <row r="488">
      <c r="A488" s="27"/>
      <c r="B488" s="35"/>
      <c r="C488" s="27"/>
      <c r="D488" s="36"/>
      <c r="E488" s="34"/>
      <c r="F488" s="38"/>
      <c r="G488" s="34"/>
      <c r="H488" s="34"/>
      <c r="I488" s="27"/>
      <c r="J488" s="27"/>
      <c r="K488" s="27"/>
      <c r="L488" s="27"/>
      <c r="M488" s="27"/>
      <c r="N488" s="27"/>
      <c r="O488" s="27"/>
      <c r="P488" s="27"/>
    </row>
    <row r="489">
      <c r="A489" s="27"/>
      <c r="B489" s="35"/>
      <c r="C489" s="27"/>
      <c r="D489" s="36"/>
      <c r="E489" s="34"/>
      <c r="F489" s="38"/>
      <c r="G489" s="34"/>
      <c r="H489" s="34"/>
      <c r="I489" s="27"/>
      <c r="J489" s="27"/>
      <c r="K489" s="27"/>
      <c r="L489" s="27"/>
      <c r="M489" s="27"/>
      <c r="N489" s="27"/>
      <c r="O489" s="27"/>
      <c r="P489" s="27"/>
    </row>
    <row r="490">
      <c r="A490" s="27"/>
      <c r="B490" s="35"/>
      <c r="C490" s="27"/>
      <c r="D490" s="36"/>
      <c r="E490" s="34"/>
      <c r="F490" s="38"/>
      <c r="G490" s="34"/>
      <c r="H490" s="34"/>
      <c r="I490" s="27"/>
      <c r="J490" s="27"/>
      <c r="K490" s="27"/>
      <c r="L490" s="27"/>
      <c r="M490" s="27"/>
      <c r="N490" s="27"/>
      <c r="O490" s="27"/>
      <c r="P490" s="27"/>
    </row>
    <row r="491">
      <c r="A491" s="27"/>
      <c r="B491" s="35"/>
      <c r="C491" s="27"/>
      <c r="D491" s="36"/>
      <c r="E491" s="34"/>
      <c r="F491" s="38"/>
      <c r="G491" s="34"/>
      <c r="H491" s="34"/>
      <c r="I491" s="27"/>
      <c r="J491" s="27"/>
      <c r="K491" s="27"/>
      <c r="L491" s="27"/>
      <c r="M491" s="27"/>
      <c r="N491" s="27"/>
      <c r="O491" s="27"/>
      <c r="P491" s="27"/>
    </row>
    <row r="492">
      <c r="A492" s="27"/>
      <c r="B492" s="35"/>
      <c r="C492" s="27"/>
      <c r="D492" s="36"/>
      <c r="E492" s="34"/>
      <c r="F492" s="38"/>
      <c r="G492" s="34"/>
      <c r="H492" s="34"/>
      <c r="I492" s="27"/>
      <c r="J492" s="27"/>
      <c r="K492" s="27"/>
      <c r="L492" s="27"/>
      <c r="M492" s="27"/>
      <c r="N492" s="27"/>
      <c r="O492" s="27"/>
      <c r="P492" s="27"/>
    </row>
    <row r="493">
      <c r="A493" s="27"/>
      <c r="B493" s="35"/>
      <c r="C493" s="27"/>
      <c r="D493" s="36"/>
      <c r="E493" s="34"/>
      <c r="F493" s="38"/>
      <c r="G493" s="34"/>
      <c r="H493" s="34"/>
      <c r="I493" s="27"/>
      <c r="J493" s="27"/>
      <c r="K493" s="27"/>
      <c r="L493" s="27"/>
      <c r="M493" s="27"/>
      <c r="N493" s="27"/>
      <c r="O493" s="27"/>
      <c r="P493" s="27"/>
    </row>
    <row r="494">
      <c r="A494" s="27"/>
      <c r="B494" s="35"/>
      <c r="C494" s="27"/>
      <c r="D494" s="36"/>
      <c r="E494" s="34"/>
      <c r="F494" s="38"/>
      <c r="G494" s="34"/>
      <c r="H494" s="34"/>
      <c r="I494" s="27"/>
      <c r="J494" s="27"/>
      <c r="K494" s="27"/>
      <c r="L494" s="27"/>
      <c r="M494" s="27"/>
      <c r="N494" s="27"/>
      <c r="O494" s="27"/>
      <c r="P494" s="27"/>
    </row>
    <row r="495">
      <c r="A495" s="27"/>
      <c r="B495" s="35"/>
      <c r="C495" s="27"/>
      <c r="D495" s="36"/>
      <c r="E495" s="34"/>
      <c r="F495" s="38"/>
      <c r="G495" s="34"/>
      <c r="H495" s="34"/>
      <c r="I495" s="27"/>
      <c r="J495" s="27"/>
      <c r="K495" s="27"/>
      <c r="L495" s="27"/>
      <c r="M495" s="27"/>
      <c r="N495" s="27"/>
      <c r="O495" s="27"/>
      <c r="P495" s="27"/>
    </row>
    <row r="496">
      <c r="A496" s="27"/>
      <c r="B496" s="35"/>
      <c r="C496" s="27"/>
      <c r="D496" s="36"/>
      <c r="E496" s="34"/>
      <c r="F496" s="38"/>
      <c r="G496" s="34"/>
      <c r="H496" s="34"/>
      <c r="I496" s="27"/>
      <c r="J496" s="27"/>
      <c r="K496" s="27"/>
      <c r="L496" s="27"/>
      <c r="M496" s="27"/>
      <c r="N496" s="27"/>
      <c r="O496" s="27"/>
      <c r="P496" s="27"/>
    </row>
    <row r="497">
      <c r="A497" s="27"/>
      <c r="B497" s="35"/>
      <c r="C497" s="27"/>
      <c r="D497" s="36"/>
      <c r="E497" s="34"/>
      <c r="F497" s="38"/>
      <c r="G497" s="34"/>
      <c r="H497" s="34"/>
      <c r="I497" s="27"/>
      <c r="J497" s="27"/>
      <c r="K497" s="27"/>
      <c r="L497" s="27"/>
      <c r="M497" s="27"/>
      <c r="N497" s="27"/>
      <c r="O497" s="27"/>
      <c r="P497" s="27"/>
    </row>
    <row r="498">
      <c r="A498" s="27"/>
      <c r="B498" s="35"/>
      <c r="C498" s="27"/>
      <c r="D498" s="36"/>
      <c r="E498" s="34"/>
      <c r="F498" s="38"/>
      <c r="G498" s="34"/>
      <c r="H498" s="34"/>
      <c r="I498" s="27"/>
      <c r="J498" s="27"/>
      <c r="K498" s="27"/>
      <c r="L498" s="27"/>
      <c r="M498" s="27"/>
      <c r="N498" s="27"/>
      <c r="O498" s="27"/>
      <c r="P498" s="27"/>
    </row>
    <row r="499">
      <c r="A499" s="27"/>
      <c r="B499" s="35"/>
      <c r="C499" s="27"/>
      <c r="D499" s="36"/>
      <c r="E499" s="34"/>
      <c r="F499" s="38"/>
      <c r="G499" s="34"/>
      <c r="H499" s="34"/>
      <c r="I499" s="27"/>
      <c r="J499" s="27"/>
      <c r="K499" s="27"/>
      <c r="L499" s="27"/>
      <c r="M499" s="27"/>
      <c r="N499" s="27"/>
      <c r="O499" s="27"/>
      <c r="P499" s="27"/>
    </row>
    <row r="500">
      <c r="A500" s="27"/>
      <c r="B500" s="35"/>
      <c r="C500" s="27"/>
      <c r="D500" s="36"/>
      <c r="E500" s="34"/>
      <c r="F500" s="38"/>
      <c r="G500" s="34"/>
      <c r="H500" s="34"/>
      <c r="I500" s="27"/>
      <c r="J500" s="27"/>
      <c r="K500" s="27"/>
      <c r="L500" s="27"/>
      <c r="M500" s="27"/>
      <c r="N500" s="27"/>
      <c r="O500" s="27"/>
      <c r="P500" s="27"/>
    </row>
    <row r="501">
      <c r="A501" s="27"/>
      <c r="B501" s="35"/>
      <c r="C501" s="27"/>
      <c r="D501" s="36"/>
      <c r="E501" s="34"/>
      <c r="F501" s="38"/>
      <c r="G501" s="34"/>
      <c r="H501" s="34"/>
      <c r="I501" s="27"/>
      <c r="J501" s="27"/>
      <c r="K501" s="27"/>
      <c r="L501" s="27"/>
      <c r="M501" s="27"/>
      <c r="N501" s="27"/>
      <c r="O501" s="27"/>
      <c r="P501" s="27"/>
    </row>
    <row r="502">
      <c r="A502" s="27"/>
      <c r="B502" s="35"/>
      <c r="C502" s="27"/>
      <c r="D502" s="36"/>
      <c r="E502" s="34"/>
      <c r="F502" s="38"/>
      <c r="G502" s="34"/>
      <c r="H502" s="34"/>
      <c r="I502" s="27"/>
      <c r="J502" s="27"/>
      <c r="K502" s="27"/>
      <c r="L502" s="27"/>
      <c r="M502" s="27"/>
      <c r="N502" s="27"/>
      <c r="O502" s="27"/>
      <c r="P502" s="27"/>
    </row>
    <row r="503">
      <c r="A503" s="27"/>
      <c r="B503" s="35"/>
      <c r="C503" s="27"/>
      <c r="D503" s="36"/>
      <c r="E503" s="34"/>
      <c r="F503" s="38"/>
      <c r="G503" s="34"/>
      <c r="H503" s="34"/>
      <c r="I503" s="27"/>
      <c r="J503" s="27"/>
      <c r="K503" s="27"/>
      <c r="L503" s="27"/>
      <c r="M503" s="27"/>
      <c r="N503" s="27"/>
      <c r="O503" s="27"/>
      <c r="P503" s="27"/>
    </row>
    <row r="504">
      <c r="A504" s="27"/>
      <c r="B504" s="35"/>
      <c r="C504" s="27"/>
      <c r="D504" s="36"/>
      <c r="E504" s="34"/>
      <c r="F504" s="38"/>
      <c r="G504" s="34"/>
      <c r="H504" s="34"/>
      <c r="I504" s="27"/>
      <c r="J504" s="27"/>
      <c r="K504" s="27"/>
      <c r="L504" s="27"/>
      <c r="M504" s="27"/>
      <c r="N504" s="27"/>
      <c r="O504" s="27"/>
      <c r="P504" s="27"/>
    </row>
    <row r="505">
      <c r="A505" s="27"/>
      <c r="B505" s="35"/>
      <c r="C505" s="27"/>
      <c r="D505" s="36"/>
      <c r="E505" s="34"/>
      <c r="F505" s="38"/>
      <c r="G505" s="34"/>
      <c r="H505" s="34"/>
      <c r="I505" s="27"/>
      <c r="J505" s="27"/>
      <c r="K505" s="27"/>
      <c r="L505" s="27"/>
      <c r="M505" s="27"/>
      <c r="N505" s="27"/>
      <c r="O505" s="27"/>
      <c r="P505" s="27"/>
    </row>
    <row r="506">
      <c r="A506" s="27"/>
      <c r="B506" s="35"/>
      <c r="C506" s="27"/>
      <c r="D506" s="36"/>
      <c r="E506" s="34"/>
      <c r="F506" s="38"/>
      <c r="G506" s="34"/>
      <c r="H506" s="34"/>
      <c r="I506" s="27"/>
      <c r="J506" s="27"/>
      <c r="K506" s="27"/>
      <c r="L506" s="27"/>
      <c r="M506" s="27"/>
      <c r="N506" s="27"/>
      <c r="O506" s="27"/>
      <c r="P506" s="27"/>
    </row>
    <row r="507">
      <c r="A507" s="27"/>
      <c r="B507" s="35"/>
      <c r="C507" s="27"/>
      <c r="D507" s="36"/>
      <c r="E507" s="34"/>
      <c r="F507" s="38"/>
      <c r="G507" s="34"/>
      <c r="H507" s="34"/>
      <c r="I507" s="27"/>
      <c r="J507" s="27"/>
      <c r="K507" s="27"/>
      <c r="L507" s="27"/>
      <c r="M507" s="27"/>
      <c r="N507" s="27"/>
      <c r="O507" s="27"/>
      <c r="P507" s="27"/>
    </row>
    <row r="508">
      <c r="A508" s="27"/>
      <c r="B508" s="35"/>
      <c r="C508" s="27"/>
      <c r="D508" s="36"/>
      <c r="E508" s="34"/>
      <c r="F508" s="38"/>
      <c r="G508" s="34"/>
      <c r="H508" s="34"/>
      <c r="I508" s="27"/>
      <c r="J508" s="27"/>
      <c r="K508" s="27"/>
      <c r="L508" s="27"/>
      <c r="M508" s="27"/>
      <c r="N508" s="27"/>
      <c r="O508" s="27"/>
      <c r="P508" s="27"/>
    </row>
    <row r="509">
      <c r="A509" s="27"/>
      <c r="B509" s="35"/>
      <c r="C509" s="27"/>
      <c r="D509" s="36"/>
      <c r="E509" s="34"/>
      <c r="F509" s="38"/>
      <c r="G509" s="34"/>
      <c r="H509" s="34"/>
      <c r="I509" s="27"/>
      <c r="J509" s="27"/>
      <c r="K509" s="27"/>
      <c r="L509" s="27"/>
      <c r="M509" s="27"/>
      <c r="N509" s="27"/>
      <c r="O509" s="27"/>
      <c r="P509" s="27"/>
    </row>
    <row r="510">
      <c r="A510" s="27"/>
      <c r="B510" s="35"/>
      <c r="C510" s="27"/>
      <c r="D510" s="36"/>
      <c r="E510" s="34"/>
      <c r="F510" s="38"/>
      <c r="G510" s="34"/>
      <c r="H510" s="34"/>
      <c r="I510" s="27"/>
      <c r="J510" s="27"/>
      <c r="K510" s="27"/>
      <c r="L510" s="27"/>
      <c r="M510" s="27"/>
      <c r="N510" s="27"/>
      <c r="O510" s="27"/>
      <c r="P510" s="27"/>
    </row>
    <row r="511">
      <c r="A511" s="27"/>
      <c r="B511" s="35"/>
      <c r="C511" s="27"/>
      <c r="D511" s="36"/>
      <c r="E511" s="34"/>
      <c r="F511" s="38"/>
      <c r="G511" s="34"/>
      <c r="H511" s="34"/>
      <c r="I511" s="27"/>
      <c r="J511" s="27"/>
      <c r="K511" s="27"/>
      <c r="L511" s="27"/>
      <c r="M511" s="27"/>
      <c r="N511" s="27"/>
      <c r="O511" s="27"/>
      <c r="P511" s="27"/>
    </row>
    <row r="512">
      <c r="A512" s="27"/>
      <c r="B512" s="35"/>
      <c r="C512" s="27"/>
      <c r="D512" s="36"/>
      <c r="E512" s="34"/>
      <c r="F512" s="38"/>
      <c r="G512" s="34"/>
      <c r="H512" s="34"/>
      <c r="I512" s="27"/>
      <c r="J512" s="27"/>
      <c r="K512" s="27"/>
      <c r="L512" s="27"/>
      <c r="M512" s="27"/>
      <c r="N512" s="27"/>
      <c r="O512" s="27"/>
      <c r="P512" s="27"/>
    </row>
    <row r="513">
      <c r="A513" s="27"/>
      <c r="B513" s="35"/>
      <c r="C513" s="27"/>
      <c r="D513" s="36"/>
      <c r="E513" s="34"/>
      <c r="F513" s="38"/>
      <c r="G513" s="34"/>
      <c r="H513" s="34"/>
      <c r="I513" s="27"/>
      <c r="J513" s="27"/>
      <c r="K513" s="27"/>
      <c r="L513" s="27"/>
      <c r="M513" s="27"/>
      <c r="N513" s="27"/>
      <c r="O513" s="27"/>
      <c r="P513" s="27"/>
    </row>
    <row r="514">
      <c r="A514" s="27"/>
      <c r="B514" s="35"/>
      <c r="C514" s="27"/>
      <c r="D514" s="36"/>
      <c r="E514" s="34"/>
      <c r="F514" s="38"/>
      <c r="G514" s="34"/>
      <c r="H514" s="34"/>
      <c r="I514" s="27"/>
      <c r="J514" s="27"/>
      <c r="K514" s="27"/>
      <c r="L514" s="27"/>
      <c r="M514" s="27"/>
      <c r="N514" s="27"/>
      <c r="O514" s="27"/>
      <c r="P514" s="27"/>
    </row>
    <row r="515">
      <c r="A515" s="27"/>
      <c r="B515" s="35"/>
      <c r="C515" s="27"/>
      <c r="D515" s="36"/>
      <c r="E515" s="34"/>
      <c r="F515" s="38"/>
      <c r="G515" s="34"/>
      <c r="H515" s="34"/>
      <c r="I515" s="27"/>
      <c r="J515" s="27"/>
      <c r="K515" s="27"/>
      <c r="L515" s="27"/>
      <c r="M515" s="27"/>
      <c r="N515" s="27"/>
      <c r="O515" s="27"/>
      <c r="P515" s="27"/>
    </row>
    <row r="516">
      <c r="A516" s="27"/>
      <c r="B516" s="35"/>
      <c r="C516" s="27"/>
      <c r="D516" s="36"/>
      <c r="E516" s="34"/>
      <c r="F516" s="38"/>
      <c r="G516" s="34"/>
      <c r="H516" s="34"/>
      <c r="I516" s="27"/>
      <c r="J516" s="27"/>
      <c r="K516" s="27"/>
      <c r="L516" s="27"/>
      <c r="M516" s="27"/>
      <c r="N516" s="27"/>
      <c r="O516" s="27"/>
      <c r="P516" s="27"/>
    </row>
    <row r="517">
      <c r="A517" s="27"/>
      <c r="B517" s="35"/>
      <c r="C517" s="27"/>
      <c r="D517" s="36"/>
      <c r="E517" s="34"/>
      <c r="F517" s="38"/>
      <c r="G517" s="34"/>
      <c r="H517" s="34"/>
      <c r="I517" s="27"/>
      <c r="J517" s="27"/>
      <c r="K517" s="27"/>
      <c r="L517" s="27"/>
      <c r="M517" s="27"/>
      <c r="N517" s="27"/>
      <c r="O517" s="27"/>
      <c r="P517" s="27"/>
    </row>
    <row r="518">
      <c r="A518" s="27"/>
      <c r="B518" s="35"/>
      <c r="C518" s="27"/>
      <c r="D518" s="36"/>
      <c r="E518" s="34"/>
      <c r="F518" s="38"/>
      <c r="G518" s="34"/>
      <c r="H518" s="34"/>
      <c r="I518" s="27"/>
      <c r="J518" s="27"/>
      <c r="K518" s="27"/>
      <c r="L518" s="27"/>
      <c r="M518" s="27"/>
      <c r="N518" s="27"/>
      <c r="O518" s="27"/>
      <c r="P518" s="27"/>
    </row>
    <row r="519">
      <c r="A519" s="27"/>
      <c r="B519" s="35"/>
      <c r="C519" s="27"/>
      <c r="D519" s="36"/>
      <c r="E519" s="34"/>
      <c r="F519" s="38"/>
      <c r="G519" s="34"/>
      <c r="H519" s="34"/>
      <c r="I519" s="27"/>
      <c r="J519" s="27"/>
      <c r="K519" s="27"/>
      <c r="L519" s="27"/>
      <c r="M519" s="27"/>
      <c r="N519" s="27"/>
      <c r="O519" s="27"/>
      <c r="P519" s="27"/>
    </row>
    <row r="520">
      <c r="A520" s="27"/>
      <c r="B520" s="35"/>
      <c r="C520" s="27"/>
      <c r="D520" s="36"/>
      <c r="E520" s="34"/>
      <c r="F520" s="38"/>
      <c r="G520" s="34"/>
      <c r="H520" s="34"/>
      <c r="I520" s="27"/>
      <c r="J520" s="27"/>
      <c r="K520" s="27"/>
      <c r="L520" s="27"/>
      <c r="M520" s="27"/>
      <c r="N520" s="27"/>
      <c r="O520" s="27"/>
      <c r="P520" s="27"/>
    </row>
    <row r="521">
      <c r="A521" s="27"/>
      <c r="B521" s="35"/>
      <c r="C521" s="27"/>
      <c r="D521" s="36"/>
      <c r="E521" s="34"/>
      <c r="F521" s="38"/>
      <c r="G521" s="34"/>
      <c r="H521" s="34"/>
      <c r="I521" s="27"/>
      <c r="J521" s="27"/>
      <c r="K521" s="27"/>
      <c r="L521" s="27"/>
      <c r="M521" s="27"/>
      <c r="N521" s="27"/>
      <c r="O521" s="27"/>
      <c r="P521" s="27"/>
    </row>
    <row r="522">
      <c r="A522" s="27"/>
      <c r="B522" s="35"/>
      <c r="C522" s="27"/>
      <c r="D522" s="36"/>
      <c r="E522" s="34"/>
      <c r="F522" s="38"/>
      <c r="G522" s="34"/>
      <c r="H522" s="34"/>
      <c r="I522" s="27"/>
      <c r="J522" s="27"/>
      <c r="K522" s="27"/>
      <c r="L522" s="27"/>
      <c r="M522" s="27"/>
      <c r="N522" s="27"/>
      <c r="O522" s="27"/>
      <c r="P522" s="27"/>
    </row>
    <row r="523">
      <c r="A523" s="27"/>
      <c r="B523" s="35"/>
      <c r="C523" s="27"/>
      <c r="D523" s="36"/>
      <c r="E523" s="34"/>
      <c r="F523" s="38"/>
      <c r="G523" s="34"/>
      <c r="H523" s="34"/>
      <c r="I523" s="27"/>
      <c r="J523" s="27"/>
      <c r="K523" s="27"/>
      <c r="L523" s="27"/>
      <c r="M523" s="27"/>
      <c r="N523" s="27"/>
      <c r="O523" s="27"/>
      <c r="P523" s="27"/>
    </row>
    <row r="524">
      <c r="A524" s="27"/>
      <c r="B524" s="35"/>
      <c r="C524" s="27"/>
      <c r="D524" s="36"/>
      <c r="E524" s="34"/>
      <c r="F524" s="38"/>
      <c r="G524" s="34"/>
      <c r="H524" s="34"/>
      <c r="I524" s="27"/>
      <c r="J524" s="27"/>
      <c r="K524" s="27"/>
      <c r="L524" s="27"/>
      <c r="M524" s="27"/>
      <c r="N524" s="27"/>
      <c r="O524" s="27"/>
      <c r="P524" s="27"/>
    </row>
    <row r="525">
      <c r="A525" s="27"/>
      <c r="B525" s="35"/>
      <c r="C525" s="27"/>
      <c r="D525" s="36"/>
      <c r="E525" s="34"/>
      <c r="F525" s="38"/>
      <c r="G525" s="34"/>
      <c r="H525" s="34"/>
      <c r="I525" s="27"/>
      <c r="J525" s="27"/>
      <c r="K525" s="27"/>
      <c r="L525" s="27"/>
      <c r="M525" s="27"/>
      <c r="N525" s="27"/>
      <c r="O525" s="27"/>
      <c r="P525" s="27"/>
    </row>
    <row r="526">
      <c r="A526" s="27"/>
      <c r="B526" s="35"/>
      <c r="C526" s="27"/>
      <c r="D526" s="36"/>
      <c r="E526" s="34"/>
      <c r="F526" s="38"/>
      <c r="G526" s="34"/>
      <c r="H526" s="34"/>
      <c r="I526" s="27"/>
      <c r="J526" s="27"/>
      <c r="K526" s="27"/>
      <c r="L526" s="27"/>
      <c r="M526" s="27"/>
      <c r="N526" s="27"/>
      <c r="O526" s="27"/>
      <c r="P526" s="27"/>
    </row>
    <row r="527">
      <c r="A527" s="27"/>
      <c r="B527" s="35"/>
      <c r="C527" s="27"/>
      <c r="D527" s="36"/>
      <c r="E527" s="34"/>
      <c r="F527" s="38"/>
      <c r="G527" s="34"/>
      <c r="H527" s="34"/>
      <c r="I527" s="27"/>
      <c r="J527" s="27"/>
      <c r="K527" s="27"/>
      <c r="L527" s="27"/>
      <c r="M527" s="27"/>
      <c r="N527" s="27"/>
      <c r="O527" s="27"/>
      <c r="P527" s="27"/>
    </row>
    <row r="528">
      <c r="A528" s="27"/>
      <c r="B528" s="35"/>
      <c r="C528" s="27"/>
      <c r="D528" s="36"/>
      <c r="E528" s="34"/>
      <c r="F528" s="38"/>
      <c r="G528" s="34"/>
      <c r="H528" s="34"/>
      <c r="I528" s="27"/>
      <c r="J528" s="27"/>
      <c r="K528" s="27"/>
      <c r="L528" s="27"/>
      <c r="M528" s="27"/>
      <c r="N528" s="27"/>
      <c r="O528" s="27"/>
      <c r="P528" s="27"/>
    </row>
    <row r="529">
      <c r="A529" s="27"/>
      <c r="B529" s="35"/>
      <c r="C529" s="27"/>
      <c r="D529" s="36"/>
      <c r="E529" s="34"/>
      <c r="F529" s="38"/>
      <c r="G529" s="34"/>
      <c r="H529" s="34"/>
      <c r="I529" s="27"/>
      <c r="J529" s="27"/>
      <c r="K529" s="27"/>
      <c r="L529" s="27"/>
      <c r="M529" s="27"/>
      <c r="N529" s="27"/>
      <c r="O529" s="27"/>
      <c r="P529" s="27"/>
    </row>
    <row r="530">
      <c r="A530" s="27"/>
      <c r="B530" s="35"/>
      <c r="C530" s="27"/>
      <c r="D530" s="36"/>
      <c r="E530" s="34"/>
      <c r="F530" s="38"/>
      <c r="G530" s="34"/>
      <c r="H530" s="34"/>
      <c r="I530" s="27"/>
      <c r="J530" s="27"/>
      <c r="K530" s="27"/>
      <c r="L530" s="27"/>
      <c r="M530" s="27"/>
      <c r="N530" s="27"/>
      <c r="O530" s="27"/>
      <c r="P530" s="27"/>
    </row>
    <row r="531">
      <c r="A531" s="27"/>
      <c r="B531" s="35"/>
      <c r="C531" s="27"/>
      <c r="D531" s="36"/>
      <c r="E531" s="34"/>
      <c r="F531" s="38"/>
      <c r="G531" s="34"/>
      <c r="H531" s="34"/>
      <c r="I531" s="27"/>
      <c r="J531" s="27"/>
      <c r="K531" s="27"/>
      <c r="L531" s="27"/>
      <c r="M531" s="27"/>
      <c r="N531" s="27"/>
      <c r="O531" s="27"/>
      <c r="P531" s="27"/>
    </row>
    <row r="532">
      <c r="A532" s="27"/>
      <c r="B532" s="35"/>
      <c r="C532" s="27"/>
      <c r="D532" s="36"/>
      <c r="E532" s="34"/>
      <c r="F532" s="38"/>
      <c r="G532" s="34"/>
      <c r="H532" s="34"/>
      <c r="I532" s="27"/>
      <c r="J532" s="27"/>
      <c r="K532" s="27"/>
      <c r="L532" s="27"/>
      <c r="M532" s="27"/>
      <c r="N532" s="27"/>
      <c r="O532" s="27"/>
      <c r="P532" s="27"/>
    </row>
    <row r="533">
      <c r="A533" s="27"/>
      <c r="B533" s="35"/>
      <c r="C533" s="27"/>
      <c r="D533" s="36"/>
      <c r="E533" s="34"/>
      <c r="F533" s="38"/>
      <c r="G533" s="34"/>
      <c r="H533" s="34"/>
      <c r="I533" s="27"/>
      <c r="J533" s="27"/>
      <c r="K533" s="27"/>
      <c r="L533" s="27"/>
      <c r="M533" s="27"/>
      <c r="N533" s="27"/>
      <c r="O533" s="27"/>
      <c r="P533" s="27"/>
    </row>
    <row r="534">
      <c r="A534" s="27"/>
      <c r="B534" s="35"/>
      <c r="C534" s="27"/>
      <c r="D534" s="36"/>
      <c r="E534" s="34"/>
      <c r="F534" s="38"/>
      <c r="G534" s="34"/>
      <c r="H534" s="34"/>
      <c r="I534" s="27"/>
      <c r="J534" s="27"/>
      <c r="K534" s="27"/>
      <c r="L534" s="27"/>
      <c r="M534" s="27"/>
      <c r="N534" s="27"/>
      <c r="O534" s="27"/>
      <c r="P534" s="27"/>
    </row>
    <row r="535">
      <c r="A535" s="27"/>
      <c r="B535" s="35"/>
      <c r="C535" s="27"/>
      <c r="D535" s="36"/>
      <c r="E535" s="34"/>
      <c r="F535" s="38"/>
      <c r="G535" s="34"/>
      <c r="H535" s="34"/>
      <c r="I535" s="27"/>
      <c r="J535" s="27"/>
      <c r="K535" s="27"/>
      <c r="L535" s="27"/>
      <c r="M535" s="27"/>
      <c r="N535" s="27"/>
      <c r="O535" s="27"/>
      <c r="P535" s="27"/>
    </row>
    <row r="536">
      <c r="A536" s="27"/>
      <c r="B536" s="35"/>
      <c r="C536" s="27"/>
      <c r="D536" s="36"/>
      <c r="E536" s="34"/>
      <c r="F536" s="38"/>
      <c r="G536" s="34"/>
      <c r="H536" s="34"/>
      <c r="I536" s="27"/>
      <c r="J536" s="27"/>
      <c r="K536" s="27"/>
      <c r="L536" s="27"/>
      <c r="M536" s="27"/>
      <c r="N536" s="27"/>
      <c r="O536" s="27"/>
      <c r="P536" s="27"/>
    </row>
    <row r="537">
      <c r="A537" s="27"/>
      <c r="B537" s="35"/>
      <c r="C537" s="27"/>
      <c r="D537" s="36"/>
      <c r="E537" s="34"/>
      <c r="F537" s="38"/>
      <c r="G537" s="34"/>
      <c r="H537" s="34"/>
      <c r="I537" s="27"/>
      <c r="J537" s="27"/>
      <c r="K537" s="27"/>
      <c r="L537" s="27"/>
      <c r="M537" s="27"/>
      <c r="N537" s="27"/>
      <c r="O537" s="27"/>
      <c r="P537" s="27"/>
    </row>
    <row r="538">
      <c r="A538" s="27"/>
      <c r="B538" s="35"/>
      <c r="C538" s="27"/>
      <c r="D538" s="36"/>
      <c r="E538" s="34"/>
      <c r="F538" s="38"/>
      <c r="G538" s="34"/>
      <c r="H538" s="34"/>
      <c r="I538" s="27"/>
      <c r="J538" s="27"/>
      <c r="K538" s="27"/>
      <c r="L538" s="27"/>
      <c r="M538" s="27"/>
      <c r="N538" s="27"/>
      <c r="O538" s="27"/>
      <c r="P538" s="27"/>
    </row>
    <row r="539">
      <c r="A539" s="27"/>
      <c r="B539" s="35"/>
      <c r="C539" s="27"/>
      <c r="D539" s="36"/>
      <c r="E539" s="34"/>
      <c r="F539" s="38"/>
      <c r="G539" s="34"/>
      <c r="H539" s="34"/>
      <c r="I539" s="27"/>
      <c r="J539" s="27"/>
      <c r="K539" s="27"/>
      <c r="L539" s="27"/>
      <c r="M539" s="27"/>
      <c r="N539" s="27"/>
      <c r="O539" s="27"/>
      <c r="P539" s="27"/>
    </row>
    <row r="540">
      <c r="A540" s="27"/>
      <c r="B540" s="35"/>
      <c r="C540" s="27"/>
      <c r="D540" s="36"/>
      <c r="E540" s="34"/>
      <c r="F540" s="38"/>
      <c r="G540" s="34"/>
      <c r="H540" s="34"/>
      <c r="I540" s="27"/>
      <c r="J540" s="27"/>
      <c r="K540" s="27"/>
      <c r="L540" s="27"/>
      <c r="M540" s="27"/>
      <c r="N540" s="27"/>
      <c r="O540" s="27"/>
      <c r="P540" s="27"/>
    </row>
    <row r="541">
      <c r="A541" s="27"/>
      <c r="B541" s="35"/>
      <c r="C541" s="27"/>
      <c r="D541" s="36"/>
      <c r="E541" s="34"/>
      <c r="F541" s="38"/>
      <c r="G541" s="34"/>
      <c r="H541" s="34"/>
      <c r="I541" s="27"/>
      <c r="J541" s="27"/>
      <c r="K541" s="27"/>
      <c r="L541" s="27"/>
      <c r="M541" s="27"/>
      <c r="N541" s="27"/>
      <c r="O541" s="27"/>
      <c r="P541" s="27"/>
    </row>
    <row r="542">
      <c r="A542" s="39"/>
      <c r="B542" s="31"/>
      <c r="C542" s="44"/>
      <c r="D542" s="36"/>
      <c r="E542" s="34"/>
      <c r="F542" s="38"/>
      <c r="G542" s="34"/>
      <c r="H542" s="34"/>
      <c r="I542" s="27"/>
      <c r="J542" s="27"/>
      <c r="K542" s="27"/>
      <c r="L542" s="27"/>
      <c r="M542" s="27"/>
      <c r="N542" s="27"/>
      <c r="O542" s="27"/>
      <c r="P542" s="27"/>
    </row>
    <row r="543">
      <c r="A543" s="39"/>
      <c r="B543" s="31"/>
      <c r="C543" s="44"/>
      <c r="D543" s="36"/>
      <c r="E543" s="28"/>
      <c r="F543" s="38"/>
      <c r="G543" s="34"/>
      <c r="H543" s="34"/>
      <c r="I543" s="27"/>
      <c r="J543" s="27"/>
      <c r="K543" s="27"/>
      <c r="L543" s="27"/>
      <c r="M543" s="27"/>
      <c r="N543" s="27"/>
      <c r="O543" s="27"/>
      <c r="P543" s="27"/>
    </row>
    <row r="544">
      <c r="A544" s="39"/>
      <c r="B544" s="31"/>
      <c r="C544" s="27"/>
      <c r="D544" s="25"/>
      <c r="E544" s="28"/>
      <c r="F544" s="38"/>
      <c r="G544" s="34"/>
      <c r="H544" s="34"/>
      <c r="I544" s="27"/>
      <c r="J544" s="27"/>
      <c r="K544" s="27"/>
      <c r="L544" s="27"/>
      <c r="M544" s="27"/>
      <c r="N544" s="27"/>
      <c r="O544" s="27"/>
      <c r="P544" s="27"/>
    </row>
    <row r="545">
      <c r="A545" s="39"/>
      <c r="B545" s="31"/>
      <c r="C545" s="44"/>
      <c r="D545" s="25"/>
      <c r="E545" s="28"/>
      <c r="F545" s="33"/>
      <c r="G545" s="34"/>
      <c r="H545" s="34"/>
      <c r="I545" s="27"/>
      <c r="J545" s="27"/>
      <c r="K545" s="27"/>
      <c r="L545" s="27"/>
      <c r="M545" s="27"/>
      <c r="N545" s="27"/>
      <c r="O545" s="27"/>
      <c r="P545" s="27"/>
    </row>
    <row r="546">
      <c r="A546" s="39"/>
      <c r="B546" s="31"/>
      <c r="C546" s="44"/>
      <c r="D546" s="36"/>
      <c r="E546" s="28"/>
      <c r="F546" s="38"/>
      <c r="G546" s="34"/>
      <c r="H546" s="34"/>
      <c r="I546" s="27"/>
      <c r="J546" s="27"/>
      <c r="K546" s="27"/>
      <c r="L546" s="27"/>
      <c r="M546" s="27"/>
      <c r="N546" s="27"/>
      <c r="O546" s="27"/>
      <c r="P546" s="27"/>
    </row>
    <row r="547">
      <c r="A547" s="39"/>
      <c r="B547" s="31"/>
      <c r="C547" s="44"/>
      <c r="D547" s="25"/>
      <c r="E547" s="28"/>
      <c r="F547" s="33"/>
      <c r="G547" s="34"/>
      <c r="H547" s="34"/>
      <c r="I547" s="27"/>
      <c r="J547" s="27"/>
      <c r="K547" s="27"/>
      <c r="L547" s="27"/>
      <c r="M547" s="27"/>
      <c r="N547" s="27"/>
      <c r="O547" s="27"/>
      <c r="P547" s="27"/>
    </row>
    <row r="548">
      <c r="A548" s="39"/>
      <c r="B548" s="31"/>
      <c r="C548" s="44"/>
      <c r="D548" s="25"/>
      <c r="E548" s="28"/>
      <c r="F548" s="33"/>
      <c r="G548" s="34"/>
      <c r="H548" s="34"/>
      <c r="I548" s="27"/>
      <c r="J548" s="27"/>
      <c r="K548" s="27"/>
      <c r="L548" s="27"/>
      <c r="M548" s="27"/>
      <c r="N548" s="27"/>
      <c r="O548" s="27"/>
      <c r="P548" s="27"/>
    </row>
    <row r="549">
      <c r="A549" s="27"/>
      <c r="B549" s="35"/>
      <c r="C549" s="27"/>
      <c r="D549" s="36"/>
      <c r="E549" s="34"/>
      <c r="F549" s="38"/>
      <c r="G549" s="34"/>
      <c r="H549" s="34"/>
      <c r="I549" s="27"/>
      <c r="J549" s="27"/>
      <c r="K549" s="27"/>
      <c r="L549" s="27"/>
      <c r="M549" s="27"/>
      <c r="N549" s="27"/>
      <c r="O549" s="27"/>
      <c r="P549" s="27"/>
    </row>
    <row r="550">
      <c r="A550" s="27"/>
      <c r="B550" s="35"/>
      <c r="C550" s="27"/>
      <c r="D550" s="36"/>
      <c r="E550" s="34"/>
      <c r="F550" s="38"/>
      <c r="G550" s="34"/>
      <c r="H550" s="34"/>
      <c r="I550" s="27"/>
      <c r="J550" s="27"/>
      <c r="K550" s="27"/>
      <c r="L550" s="27"/>
      <c r="M550" s="27"/>
      <c r="N550" s="27"/>
      <c r="O550" s="27"/>
      <c r="P550" s="27"/>
    </row>
    <row r="551">
      <c r="A551" s="27"/>
      <c r="B551" s="35"/>
      <c r="C551" s="27"/>
      <c r="D551" s="36"/>
      <c r="E551" s="34"/>
      <c r="F551" s="38"/>
      <c r="G551" s="34"/>
      <c r="H551" s="34"/>
      <c r="I551" s="27"/>
      <c r="J551" s="27"/>
      <c r="K551" s="27"/>
      <c r="L551" s="27"/>
      <c r="M551" s="27"/>
      <c r="N551" s="27"/>
      <c r="O551" s="27"/>
      <c r="P551" s="27"/>
    </row>
    <row r="552">
      <c r="A552" s="27"/>
      <c r="B552" s="35"/>
      <c r="C552" s="27"/>
      <c r="D552" s="36"/>
      <c r="E552" s="34"/>
      <c r="F552" s="38"/>
      <c r="G552" s="34"/>
      <c r="H552" s="34"/>
      <c r="I552" s="27"/>
      <c r="J552" s="27"/>
      <c r="K552" s="27"/>
      <c r="L552" s="27"/>
      <c r="M552" s="27"/>
      <c r="N552" s="27"/>
      <c r="O552" s="27"/>
      <c r="P552" s="27"/>
    </row>
    <row r="553">
      <c r="A553" s="27"/>
      <c r="B553" s="35"/>
      <c r="C553" s="27"/>
      <c r="D553" s="36"/>
      <c r="E553" s="34"/>
      <c r="F553" s="38"/>
      <c r="G553" s="34"/>
      <c r="H553" s="34"/>
      <c r="I553" s="27"/>
      <c r="J553" s="27"/>
      <c r="K553" s="27"/>
      <c r="L553" s="27"/>
      <c r="M553" s="27"/>
      <c r="N553" s="27"/>
      <c r="O553" s="27"/>
      <c r="P553" s="27"/>
    </row>
    <row r="554">
      <c r="A554" s="27"/>
      <c r="B554" s="35"/>
      <c r="C554" s="27"/>
      <c r="D554" s="36"/>
      <c r="E554" s="34"/>
      <c r="F554" s="38"/>
      <c r="G554" s="34"/>
      <c r="H554" s="34"/>
      <c r="I554" s="27"/>
      <c r="J554" s="27"/>
      <c r="K554" s="27"/>
      <c r="L554" s="27"/>
      <c r="M554" s="27"/>
      <c r="N554" s="27"/>
      <c r="O554" s="27"/>
      <c r="P554" s="27"/>
    </row>
    <row r="555">
      <c r="A555" s="27"/>
      <c r="B555" s="35"/>
      <c r="C555" s="27"/>
      <c r="D555" s="36"/>
      <c r="E555" s="34"/>
      <c r="F555" s="38"/>
      <c r="G555" s="34"/>
      <c r="H555" s="34"/>
      <c r="I555" s="27"/>
      <c r="J555" s="27"/>
      <c r="K555" s="27"/>
      <c r="L555" s="27"/>
      <c r="M555" s="27"/>
      <c r="N555" s="27"/>
      <c r="O555" s="27"/>
      <c r="P555" s="27"/>
    </row>
    <row r="556">
      <c r="A556" s="27"/>
      <c r="B556" s="35"/>
      <c r="C556" s="27"/>
      <c r="D556" s="36"/>
      <c r="E556" s="34"/>
      <c r="F556" s="38"/>
      <c r="G556" s="34"/>
      <c r="H556" s="34"/>
      <c r="I556" s="27"/>
      <c r="J556" s="27"/>
      <c r="K556" s="27"/>
      <c r="L556" s="27"/>
      <c r="M556" s="27"/>
      <c r="N556" s="27"/>
      <c r="O556" s="27"/>
      <c r="P556" s="27"/>
    </row>
    <row r="557">
      <c r="A557" s="27"/>
      <c r="B557" s="35"/>
      <c r="C557" s="27"/>
      <c r="D557" s="36"/>
      <c r="E557" s="34"/>
      <c r="F557" s="38"/>
      <c r="G557" s="34"/>
      <c r="H557" s="34"/>
      <c r="I557" s="27"/>
      <c r="J557" s="27"/>
      <c r="K557" s="27"/>
      <c r="L557" s="27"/>
      <c r="M557" s="27"/>
      <c r="N557" s="27"/>
      <c r="O557" s="27"/>
      <c r="P557" s="27"/>
    </row>
    <row r="558">
      <c r="A558" s="27"/>
      <c r="B558" s="35"/>
      <c r="C558" s="27"/>
      <c r="D558" s="36"/>
      <c r="E558" s="34"/>
      <c r="F558" s="38"/>
      <c r="G558" s="34"/>
      <c r="H558" s="34"/>
      <c r="I558" s="27"/>
      <c r="J558" s="27"/>
      <c r="K558" s="27"/>
      <c r="L558" s="27"/>
      <c r="M558" s="27"/>
      <c r="N558" s="27"/>
      <c r="O558" s="27"/>
      <c r="P558" s="27"/>
    </row>
    <row r="559">
      <c r="A559" s="27"/>
      <c r="B559" s="35"/>
      <c r="C559" s="27"/>
      <c r="D559" s="36"/>
      <c r="E559" s="34"/>
      <c r="F559" s="38"/>
      <c r="G559" s="34"/>
      <c r="H559" s="34"/>
      <c r="I559" s="27"/>
      <c r="J559" s="27"/>
      <c r="K559" s="27"/>
      <c r="L559" s="27"/>
      <c r="M559" s="27"/>
      <c r="N559" s="27"/>
      <c r="O559" s="27"/>
      <c r="P559" s="27"/>
    </row>
    <row r="560">
      <c r="A560" s="27"/>
      <c r="B560" s="35"/>
      <c r="C560" s="27"/>
      <c r="D560" s="36"/>
      <c r="E560" s="34"/>
      <c r="F560" s="38"/>
      <c r="G560" s="34"/>
      <c r="H560" s="34"/>
      <c r="I560" s="27"/>
      <c r="J560" s="27"/>
      <c r="K560" s="27"/>
      <c r="L560" s="27"/>
      <c r="M560" s="27"/>
      <c r="N560" s="27"/>
      <c r="O560" s="27"/>
      <c r="P560" s="27"/>
    </row>
    <row r="561">
      <c r="A561" s="27"/>
      <c r="B561" s="35"/>
      <c r="C561" s="27"/>
      <c r="D561" s="36"/>
      <c r="E561" s="34"/>
      <c r="F561" s="38"/>
      <c r="G561" s="34"/>
      <c r="H561" s="34"/>
      <c r="I561" s="27"/>
      <c r="J561" s="27"/>
      <c r="K561" s="27"/>
      <c r="L561" s="27"/>
      <c r="M561" s="27"/>
      <c r="N561" s="27"/>
      <c r="O561" s="27"/>
      <c r="P561" s="27"/>
    </row>
    <row r="562">
      <c r="A562" s="27"/>
      <c r="B562" s="35"/>
      <c r="C562" s="27"/>
      <c r="D562" s="36"/>
      <c r="E562" s="34"/>
      <c r="F562" s="38"/>
      <c r="G562" s="34"/>
      <c r="H562" s="34"/>
      <c r="I562" s="27"/>
      <c r="J562" s="27"/>
      <c r="K562" s="27"/>
      <c r="L562" s="27"/>
      <c r="M562" s="27"/>
      <c r="N562" s="27"/>
      <c r="O562" s="27"/>
      <c r="P562" s="27"/>
    </row>
    <row r="563">
      <c r="A563" s="27"/>
      <c r="B563" s="35"/>
      <c r="C563" s="27"/>
      <c r="D563" s="36"/>
      <c r="E563" s="34"/>
      <c r="F563" s="38"/>
      <c r="G563" s="34"/>
      <c r="H563" s="34"/>
      <c r="I563" s="27"/>
      <c r="J563" s="27"/>
      <c r="K563" s="27"/>
      <c r="L563" s="27"/>
      <c r="M563" s="27"/>
      <c r="N563" s="27"/>
      <c r="O563" s="27"/>
      <c r="P563" s="27"/>
    </row>
    <row r="564">
      <c r="A564" s="27"/>
      <c r="B564" s="35"/>
      <c r="C564" s="27"/>
      <c r="D564" s="36"/>
      <c r="E564" s="34"/>
      <c r="F564" s="38"/>
      <c r="G564" s="34"/>
      <c r="H564" s="34"/>
      <c r="I564" s="27"/>
      <c r="J564" s="27"/>
      <c r="K564" s="27"/>
      <c r="L564" s="27"/>
      <c r="M564" s="27"/>
      <c r="N564" s="27"/>
      <c r="O564" s="27"/>
      <c r="P564" s="27"/>
    </row>
    <row r="565">
      <c r="A565" s="27"/>
      <c r="B565" s="35"/>
      <c r="C565" s="27"/>
      <c r="D565" s="36"/>
      <c r="E565" s="34"/>
      <c r="F565" s="38"/>
      <c r="G565" s="34"/>
      <c r="H565" s="34"/>
      <c r="I565" s="27"/>
      <c r="J565" s="27"/>
      <c r="K565" s="27"/>
      <c r="L565" s="27"/>
      <c r="M565" s="27"/>
      <c r="N565" s="27"/>
      <c r="O565" s="27"/>
      <c r="P565" s="27"/>
    </row>
    <row r="566">
      <c r="A566" s="27"/>
      <c r="B566" s="35"/>
      <c r="C566" s="27"/>
      <c r="D566" s="36"/>
      <c r="E566" s="34"/>
      <c r="F566" s="38"/>
      <c r="G566" s="34"/>
      <c r="H566" s="34"/>
      <c r="I566" s="27"/>
      <c r="J566" s="27"/>
      <c r="K566" s="27"/>
      <c r="L566" s="27"/>
      <c r="M566" s="27"/>
      <c r="N566" s="27"/>
      <c r="O566" s="27"/>
      <c r="P566" s="27"/>
    </row>
    <row r="567">
      <c r="A567" s="27"/>
      <c r="B567" s="35"/>
      <c r="C567" s="27"/>
      <c r="D567" s="36"/>
      <c r="E567" s="34"/>
      <c r="F567" s="38"/>
      <c r="G567" s="34"/>
      <c r="H567" s="34"/>
      <c r="I567" s="27"/>
      <c r="J567" s="27"/>
      <c r="K567" s="27"/>
      <c r="L567" s="27"/>
      <c r="M567" s="27"/>
      <c r="N567" s="27"/>
      <c r="O567" s="27"/>
      <c r="P567" s="27"/>
    </row>
    <row r="568">
      <c r="A568" s="27"/>
      <c r="B568" s="35"/>
      <c r="C568" s="27"/>
      <c r="D568" s="36"/>
      <c r="E568" s="34"/>
      <c r="F568" s="38"/>
      <c r="G568" s="34"/>
      <c r="H568" s="34"/>
      <c r="I568" s="27"/>
      <c r="J568" s="27"/>
      <c r="K568" s="27"/>
      <c r="L568" s="27"/>
      <c r="M568" s="27"/>
      <c r="N568" s="27"/>
      <c r="O568" s="27"/>
      <c r="P568" s="27"/>
    </row>
    <row r="569">
      <c r="A569" s="27"/>
      <c r="B569" s="35"/>
      <c r="C569" s="27"/>
      <c r="D569" s="36"/>
      <c r="E569" s="34"/>
      <c r="F569" s="38"/>
      <c r="G569" s="34"/>
      <c r="H569" s="34"/>
      <c r="I569" s="27"/>
      <c r="J569" s="27"/>
      <c r="K569" s="27"/>
      <c r="L569" s="27"/>
      <c r="M569" s="27"/>
      <c r="N569" s="27"/>
      <c r="O569" s="27"/>
      <c r="P569" s="27"/>
    </row>
    <row r="570">
      <c r="A570" s="27"/>
      <c r="B570" s="35"/>
      <c r="C570" s="27"/>
      <c r="D570" s="36"/>
      <c r="E570" s="34"/>
      <c r="F570" s="38"/>
      <c r="G570" s="34"/>
      <c r="H570" s="34"/>
      <c r="I570" s="27"/>
      <c r="J570" s="27"/>
      <c r="K570" s="27"/>
      <c r="L570" s="27"/>
      <c r="M570" s="27"/>
      <c r="N570" s="27"/>
      <c r="O570" s="27"/>
      <c r="P570" s="27"/>
    </row>
    <row r="571">
      <c r="A571" s="27"/>
      <c r="B571" s="35"/>
      <c r="C571" s="27"/>
      <c r="D571" s="36"/>
      <c r="E571" s="34"/>
      <c r="F571" s="38"/>
      <c r="G571" s="34"/>
      <c r="H571" s="34"/>
      <c r="I571" s="27"/>
      <c r="J571" s="27"/>
      <c r="K571" s="27"/>
      <c r="L571" s="27"/>
      <c r="M571" s="27"/>
      <c r="N571" s="27"/>
      <c r="O571" s="27"/>
      <c r="P571" s="27"/>
    </row>
    <row r="572">
      <c r="A572" s="27"/>
      <c r="B572" s="35"/>
      <c r="C572" s="27"/>
      <c r="D572" s="36"/>
      <c r="E572" s="34"/>
      <c r="F572" s="38"/>
      <c r="G572" s="34"/>
      <c r="H572" s="34"/>
      <c r="I572" s="27"/>
      <c r="J572" s="27"/>
      <c r="K572" s="27"/>
      <c r="L572" s="27"/>
      <c r="M572" s="27"/>
      <c r="N572" s="27"/>
      <c r="O572" s="27"/>
      <c r="P572" s="27"/>
    </row>
    <row r="573">
      <c r="A573" s="27"/>
      <c r="B573" s="35"/>
      <c r="C573" s="27"/>
      <c r="D573" s="36"/>
      <c r="E573" s="34"/>
      <c r="F573" s="38"/>
      <c r="G573" s="34"/>
      <c r="H573" s="34"/>
      <c r="I573" s="27"/>
      <c r="J573" s="27"/>
      <c r="K573" s="27"/>
      <c r="L573" s="27"/>
      <c r="M573" s="27"/>
      <c r="N573" s="27"/>
      <c r="O573" s="27"/>
      <c r="P573" s="27"/>
    </row>
    <row r="574">
      <c r="A574" s="27"/>
      <c r="B574" s="35"/>
      <c r="C574" s="27"/>
      <c r="D574" s="36"/>
      <c r="E574" s="34"/>
      <c r="F574" s="38"/>
      <c r="G574" s="34"/>
      <c r="H574" s="34"/>
      <c r="I574" s="27"/>
      <c r="J574" s="27"/>
      <c r="K574" s="27"/>
      <c r="L574" s="27"/>
      <c r="M574" s="27"/>
      <c r="N574" s="27"/>
      <c r="O574" s="27"/>
      <c r="P574" s="27"/>
    </row>
    <row r="575">
      <c r="A575" s="27"/>
      <c r="B575" s="35"/>
      <c r="C575" s="27"/>
      <c r="D575" s="36"/>
      <c r="E575" s="34"/>
      <c r="F575" s="38"/>
      <c r="G575" s="34"/>
      <c r="H575" s="34"/>
      <c r="I575" s="27"/>
      <c r="J575" s="27"/>
      <c r="K575" s="27"/>
      <c r="L575" s="27"/>
      <c r="M575" s="27"/>
      <c r="N575" s="27"/>
      <c r="O575" s="27"/>
      <c r="P575" s="27"/>
    </row>
    <row r="576">
      <c r="A576" s="27"/>
      <c r="B576" s="35"/>
      <c r="C576" s="27"/>
      <c r="D576" s="36"/>
      <c r="E576" s="34"/>
      <c r="F576" s="38"/>
      <c r="G576" s="34"/>
      <c r="H576" s="34"/>
      <c r="I576" s="27"/>
      <c r="J576" s="27"/>
      <c r="K576" s="27"/>
      <c r="L576" s="27"/>
      <c r="M576" s="27"/>
      <c r="N576" s="27"/>
      <c r="O576" s="27"/>
      <c r="P576" s="27"/>
    </row>
    <row r="577">
      <c r="A577" s="27"/>
      <c r="B577" s="35"/>
      <c r="C577" s="27"/>
      <c r="D577" s="36"/>
      <c r="E577" s="34"/>
      <c r="F577" s="38"/>
      <c r="G577" s="34"/>
      <c r="H577" s="34"/>
      <c r="I577" s="27"/>
      <c r="J577" s="27"/>
      <c r="K577" s="27"/>
      <c r="L577" s="27"/>
      <c r="M577" s="27"/>
      <c r="N577" s="27"/>
      <c r="O577" s="27"/>
      <c r="P577" s="27"/>
    </row>
    <row r="578">
      <c r="A578" s="27"/>
      <c r="B578" s="35"/>
      <c r="C578" s="27"/>
      <c r="D578" s="36"/>
      <c r="E578" s="34"/>
      <c r="F578" s="38"/>
      <c r="G578" s="34"/>
      <c r="H578" s="34"/>
      <c r="I578" s="27"/>
      <c r="J578" s="27"/>
      <c r="K578" s="27"/>
      <c r="L578" s="27"/>
      <c r="M578" s="27"/>
      <c r="N578" s="27"/>
      <c r="O578" s="27"/>
      <c r="P578" s="27"/>
    </row>
    <row r="579">
      <c r="A579" s="27"/>
      <c r="B579" s="35"/>
      <c r="C579" s="27"/>
      <c r="D579" s="36"/>
      <c r="E579" s="34"/>
      <c r="F579" s="38"/>
      <c r="G579" s="34"/>
      <c r="H579" s="34"/>
      <c r="I579" s="27"/>
      <c r="J579" s="27"/>
      <c r="K579" s="27"/>
      <c r="L579" s="27"/>
      <c r="M579" s="27"/>
      <c r="N579" s="27"/>
      <c r="O579" s="27"/>
      <c r="P579" s="27"/>
    </row>
    <row r="580">
      <c r="A580" s="27"/>
      <c r="B580" s="35"/>
      <c r="C580" s="27"/>
      <c r="D580" s="36"/>
      <c r="E580" s="34"/>
      <c r="F580" s="38"/>
      <c r="G580" s="34"/>
      <c r="H580" s="34"/>
      <c r="I580" s="27"/>
      <c r="J580" s="27"/>
      <c r="K580" s="27"/>
      <c r="L580" s="27"/>
      <c r="M580" s="27"/>
      <c r="N580" s="27"/>
      <c r="O580" s="27"/>
      <c r="P580" s="27"/>
    </row>
    <row r="581">
      <c r="A581" s="27"/>
      <c r="B581" s="35"/>
      <c r="C581" s="27"/>
      <c r="D581" s="36"/>
      <c r="E581" s="34"/>
      <c r="F581" s="38"/>
      <c r="G581" s="34"/>
      <c r="H581" s="34"/>
      <c r="I581" s="27"/>
      <c r="J581" s="27"/>
      <c r="K581" s="27"/>
      <c r="L581" s="27"/>
      <c r="M581" s="27"/>
      <c r="N581" s="27"/>
      <c r="O581" s="27"/>
      <c r="P581" s="27"/>
    </row>
    <row r="582">
      <c r="A582" s="27"/>
      <c r="B582" s="35"/>
      <c r="C582" s="27"/>
      <c r="D582" s="36"/>
      <c r="E582" s="34"/>
      <c r="F582" s="38"/>
      <c r="G582" s="34"/>
      <c r="H582" s="34"/>
      <c r="I582" s="27"/>
      <c r="J582" s="27"/>
      <c r="K582" s="27"/>
      <c r="L582" s="27"/>
      <c r="M582" s="27"/>
      <c r="N582" s="27"/>
      <c r="O582" s="27"/>
      <c r="P582" s="27"/>
    </row>
    <row r="583">
      <c r="A583" s="27"/>
      <c r="B583" s="35"/>
      <c r="C583" s="27"/>
      <c r="D583" s="36"/>
      <c r="E583" s="34"/>
      <c r="F583" s="38"/>
      <c r="G583" s="34"/>
      <c r="H583" s="34"/>
      <c r="I583" s="27"/>
      <c r="J583" s="27"/>
      <c r="K583" s="27"/>
      <c r="L583" s="27"/>
      <c r="M583" s="27"/>
      <c r="N583" s="27"/>
      <c r="O583" s="27"/>
      <c r="P583" s="27"/>
    </row>
    <row r="584">
      <c r="A584" s="27"/>
      <c r="B584" s="35"/>
      <c r="C584" s="27"/>
      <c r="D584" s="36"/>
      <c r="E584" s="34"/>
      <c r="F584" s="38"/>
      <c r="G584" s="34"/>
      <c r="H584" s="34"/>
      <c r="I584" s="27"/>
      <c r="J584" s="27"/>
      <c r="K584" s="27"/>
      <c r="L584" s="27"/>
      <c r="M584" s="27"/>
      <c r="N584" s="27"/>
      <c r="O584" s="27"/>
      <c r="P584" s="27"/>
    </row>
    <row r="585">
      <c r="A585" s="27"/>
      <c r="B585" s="35"/>
      <c r="C585" s="27"/>
      <c r="D585" s="36"/>
      <c r="E585" s="34"/>
      <c r="F585" s="38"/>
      <c r="G585" s="34"/>
      <c r="H585" s="34"/>
      <c r="I585" s="27"/>
      <c r="J585" s="27"/>
      <c r="K585" s="27"/>
      <c r="L585" s="27"/>
      <c r="M585" s="27"/>
      <c r="N585" s="27"/>
      <c r="O585" s="27"/>
      <c r="P585" s="27"/>
    </row>
    <row r="586">
      <c r="A586" s="27"/>
      <c r="B586" s="35"/>
      <c r="C586" s="27"/>
      <c r="D586" s="36"/>
      <c r="E586" s="34"/>
      <c r="F586" s="38"/>
      <c r="G586" s="34"/>
      <c r="H586" s="34"/>
      <c r="I586" s="27"/>
      <c r="J586" s="27"/>
      <c r="K586" s="27"/>
      <c r="L586" s="27"/>
      <c r="M586" s="27"/>
      <c r="N586" s="27"/>
      <c r="O586" s="27"/>
      <c r="P586" s="27"/>
    </row>
    <row r="587">
      <c r="A587" s="27"/>
      <c r="B587" s="35"/>
      <c r="C587" s="27"/>
      <c r="D587" s="36"/>
      <c r="E587" s="34"/>
      <c r="F587" s="38"/>
      <c r="G587" s="34"/>
      <c r="H587" s="34"/>
      <c r="I587" s="27"/>
      <c r="J587" s="27"/>
      <c r="K587" s="27"/>
      <c r="L587" s="27"/>
      <c r="M587" s="27"/>
      <c r="N587" s="27"/>
      <c r="O587" s="27"/>
      <c r="P587" s="27"/>
    </row>
    <row r="588">
      <c r="A588" s="27"/>
      <c r="B588" s="35"/>
      <c r="C588" s="27"/>
      <c r="D588" s="36"/>
      <c r="E588" s="34"/>
      <c r="F588" s="38"/>
      <c r="G588" s="34"/>
      <c r="H588" s="34"/>
      <c r="I588" s="27"/>
      <c r="J588" s="27"/>
      <c r="K588" s="27"/>
      <c r="L588" s="27"/>
      <c r="M588" s="27"/>
      <c r="N588" s="27"/>
      <c r="O588" s="27"/>
      <c r="P588" s="27"/>
    </row>
    <row r="589">
      <c r="A589" s="27"/>
      <c r="B589" s="35"/>
      <c r="C589" s="27"/>
      <c r="D589" s="36"/>
      <c r="E589" s="34"/>
      <c r="F589" s="38"/>
      <c r="G589" s="34"/>
      <c r="H589" s="34"/>
      <c r="I589" s="27"/>
      <c r="J589" s="27"/>
      <c r="K589" s="27"/>
      <c r="L589" s="27"/>
      <c r="M589" s="27"/>
      <c r="N589" s="27"/>
      <c r="O589" s="27"/>
      <c r="P589" s="27"/>
    </row>
    <row r="590">
      <c r="A590" s="27"/>
      <c r="B590" s="35"/>
      <c r="C590" s="27"/>
      <c r="D590" s="36"/>
      <c r="E590" s="34"/>
      <c r="F590" s="38"/>
      <c r="G590" s="34"/>
      <c r="H590" s="34"/>
      <c r="I590" s="27"/>
      <c r="J590" s="27"/>
      <c r="K590" s="27"/>
      <c r="L590" s="27"/>
      <c r="M590" s="27"/>
      <c r="N590" s="27"/>
      <c r="O590" s="27"/>
      <c r="P590" s="27"/>
    </row>
    <row r="591">
      <c r="A591" s="27"/>
      <c r="B591" s="35"/>
      <c r="C591" s="27"/>
      <c r="D591" s="36"/>
      <c r="E591" s="34"/>
      <c r="F591" s="38"/>
      <c r="G591" s="34"/>
      <c r="H591" s="34"/>
      <c r="I591" s="27"/>
      <c r="J591" s="27"/>
      <c r="K591" s="27"/>
      <c r="L591" s="27"/>
      <c r="M591" s="27"/>
      <c r="N591" s="27"/>
      <c r="O591" s="27"/>
      <c r="P591" s="27"/>
    </row>
    <row r="592">
      <c r="A592" s="27"/>
      <c r="B592" s="35"/>
      <c r="C592" s="27"/>
      <c r="D592" s="36"/>
      <c r="E592" s="34"/>
      <c r="F592" s="38"/>
      <c r="G592" s="34"/>
      <c r="H592" s="34"/>
      <c r="I592" s="27"/>
      <c r="J592" s="27"/>
      <c r="K592" s="27"/>
      <c r="L592" s="27"/>
      <c r="M592" s="27"/>
      <c r="N592" s="27"/>
      <c r="O592" s="27"/>
      <c r="P592" s="27"/>
    </row>
    <row r="593">
      <c r="A593" s="27"/>
      <c r="B593" s="35"/>
      <c r="C593" s="27"/>
      <c r="D593" s="36"/>
      <c r="E593" s="34"/>
      <c r="F593" s="38"/>
      <c r="G593" s="34"/>
      <c r="H593" s="34"/>
      <c r="I593" s="27"/>
      <c r="J593" s="27"/>
      <c r="K593" s="27"/>
      <c r="L593" s="27"/>
      <c r="M593" s="27"/>
      <c r="N593" s="27"/>
      <c r="O593" s="27"/>
      <c r="P593" s="27"/>
    </row>
    <row r="594">
      <c r="A594" s="27"/>
      <c r="B594" s="35"/>
      <c r="C594" s="27"/>
      <c r="D594" s="36"/>
      <c r="E594" s="34"/>
      <c r="F594" s="38"/>
      <c r="G594" s="34"/>
      <c r="H594" s="34"/>
      <c r="I594" s="27"/>
      <c r="J594" s="27"/>
      <c r="K594" s="27"/>
      <c r="L594" s="27"/>
      <c r="M594" s="27"/>
      <c r="N594" s="27"/>
      <c r="O594" s="27"/>
      <c r="P594" s="27"/>
    </row>
    <row r="595">
      <c r="A595" s="27"/>
      <c r="B595" s="35"/>
      <c r="C595" s="27"/>
      <c r="D595" s="36"/>
      <c r="E595" s="34"/>
      <c r="F595" s="38"/>
      <c r="G595" s="34"/>
      <c r="H595" s="34"/>
      <c r="I595" s="27"/>
      <c r="J595" s="27"/>
      <c r="K595" s="27"/>
      <c r="L595" s="27"/>
      <c r="M595" s="27"/>
      <c r="N595" s="27"/>
      <c r="O595" s="27"/>
      <c r="P595" s="27"/>
    </row>
    <row r="596">
      <c r="A596" s="27"/>
      <c r="B596" s="35"/>
      <c r="C596" s="27"/>
      <c r="D596" s="36"/>
      <c r="E596" s="34"/>
      <c r="F596" s="38"/>
      <c r="G596" s="34"/>
      <c r="H596" s="34"/>
      <c r="I596" s="27"/>
      <c r="J596" s="27"/>
      <c r="K596" s="27"/>
      <c r="L596" s="27"/>
      <c r="M596" s="27"/>
      <c r="N596" s="27"/>
      <c r="O596" s="27"/>
      <c r="P596" s="27"/>
    </row>
    <row r="597">
      <c r="A597" s="27"/>
      <c r="B597" s="35"/>
      <c r="C597" s="27"/>
      <c r="D597" s="36"/>
      <c r="E597" s="34"/>
      <c r="F597" s="38"/>
      <c r="G597" s="34"/>
      <c r="H597" s="34"/>
      <c r="I597" s="27"/>
      <c r="J597" s="27"/>
      <c r="K597" s="27"/>
      <c r="L597" s="27"/>
      <c r="M597" s="27"/>
      <c r="N597" s="27"/>
      <c r="O597" s="27"/>
      <c r="P597" s="27"/>
    </row>
    <row r="598">
      <c r="A598" s="27"/>
      <c r="B598" s="35"/>
      <c r="C598" s="27"/>
      <c r="D598" s="36"/>
      <c r="E598" s="34"/>
      <c r="F598" s="38"/>
      <c r="G598" s="34"/>
      <c r="H598" s="34"/>
      <c r="I598" s="27"/>
      <c r="J598" s="27"/>
      <c r="K598" s="27"/>
      <c r="L598" s="27"/>
      <c r="M598" s="27"/>
      <c r="N598" s="27"/>
      <c r="O598" s="27"/>
      <c r="P598" s="27"/>
    </row>
    <row r="599">
      <c r="A599" s="27"/>
      <c r="B599" s="35"/>
      <c r="C599" s="27"/>
      <c r="D599" s="36"/>
      <c r="E599" s="34"/>
      <c r="F599" s="38"/>
      <c r="G599" s="34"/>
      <c r="H599" s="34"/>
      <c r="I599" s="27"/>
      <c r="J599" s="27"/>
      <c r="K599" s="27"/>
      <c r="L599" s="27"/>
      <c r="M599" s="27"/>
      <c r="N599" s="27"/>
      <c r="O599" s="27"/>
      <c r="P599" s="27"/>
    </row>
    <row r="600">
      <c r="A600" s="27"/>
      <c r="B600" s="35"/>
      <c r="C600" s="27"/>
      <c r="D600" s="36"/>
      <c r="E600" s="34"/>
      <c r="F600" s="38"/>
      <c r="G600" s="34"/>
      <c r="H600" s="34"/>
      <c r="I600" s="27"/>
      <c r="J600" s="27"/>
      <c r="K600" s="27"/>
      <c r="L600" s="27"/>
      <c r="M600" s="27"/>
      <c r="N600" s="27"/>
      <c r="O600" s="27"/>
      <c r="P600" s="27"/>
    </row>
    <row r="601">
      <c r="A601" s="27"/>
      <c r="B601" s="35"/>
      <c r="C601" s="27"/>
      <c r="D601" s="36"/>
      <c r="E601" s="34"/>
      <c r="F601" s="38"/>
      <c r="G601" s="34"/>
      <c r="H601" s="34"/>
      <c r="I601" s="27"/>
      <c r="J601" s="27"/>
      <c r="K601" s="27"/>
      <c r="L601" s="27"/>
      <c r="M601" s="27"/>
      <c r="N601" s="27"/>
      <c r="O601" s="27"/>
      <c r="P601" s="27"/>
    </row>
    <row r="602">
      <c r="A602" s="27"/>
      <c r="B602" s="35"/>
      <c r="C602" s="27"/>
      <c r="D602" s="36"/>
      <c r="E602" s="34"/>
      <c r="F602" s="38"/>
      <c r="G602" s="34"/>
      <c r="H602" s="34"/>
      <c r="I602" s="27"/>
      <c r="J602" s="27"/>
      <c r="K602" s="27"/>
      <c r="L602" s="27"/>
      <c r="M602" s="27"/>
      <c r="N602" s="27"/>
      <c r="O602" s="27"/>
      <c r="P602" s="27"/>
    </row>
    <row r="603">
      <c r="A603" s="27"/>
      <c r="B603" s="35"/>
      <c r="C603" s="27"/>
      <c r="D603" s="36"/>
      <c r="E603" s="34"/>
      <c r="F603" s="38"/>
      <c r="G603" s="34"/>
      <c r="H603" s="34"/>
      <c r="I603" s="27"/>
      <c r="J603" s="27"/>
      <c r="K603" s="27"/>
      <c r="L603" s="27"/>
      <c r="M603" s="27"/>
      <c r="N603" s="27"/>
      <c r="O603" s="27"/>
      <c r="P603" s="27"/>
    </row>
    <row r="604">
      <c r="A604" s="27"/>
      <c r="B604" s="35"/>
      <c r="C604" s="27"/>
      <c r="D604" s="36"/>
      <c r="E604" s="34"/>
      <c r="F604" s="38"/>
      <c r="G604" s="34"/>
      <c r="H604" s="34"/>
      <c r="I604" s="27"/>
      <c r="J604" s="27"/>
      <c r="K604" s="27"/>
      <c r="L604" s="27"/>
      <c r="M604" s="27"/>
      <c r="N604" s="27"/>
      <c r="O604" s="27"/>
      <c r="P604" s="27"/>
    </row>
    <row r="605">
      <c r="A605" s="27"/>
      <c r="B605" s="35"/>
      <c r="C605" s="27"/>
      <c r="D605" s="36"/>
      <c r="E605" s="34"/>
      <c r="F605" s="38"/>
      <c r="G605" s="34"/>
      <c r="H605" s="34"/>
      <c r="I605" s="27"/>
      <c r="J605" s="27"/>
      <c r="K605" s="27"/>
      <c r="L605" s="27"/>
      <c r="M605" s="27"/>
      <c r="N605" s="27"/>
      <c r="O605" s="27"/>
      <c r="P605" s="27"/>
    </row>
    <row r="606">
      <c r="A606" s="27"/>
      <c r="B606" s="35"/>
      <c r="C606" s="27"/>
      <c r="D606" s="36"/>
      <c r="E606" s="34"/>
      <c r="F606" s="38"/>
      <c r="G606" s="34"/>
      <c r="H606" s="34"/>
      <c r="I606" s="27"/>
      <c r="J606" s="27"/>
      <c r="K606" s="27"/>
      <c r="L606" s="27"/>
      <c r="M606" s="27"/>
      <c r="N606" s="27"/>
      <c r="O606" s="27"/>
      <c r="P606" s="27"/>
    </row>
    <row r="607">
      <c r="A607" s="27"/>
      <c r="B607" s="35"/>
      <c r="C607" s="27"/>
      <c r="D607" s="36"/>
      <c r="E607" s="34"/>
      <c r="F607" s="38"/>
      <c r="G607" s="34"/>
      <c r="H607" s="34"/>
      <c r="I607" s="27"/>
      <c r="J607" s="27"/>
      <c r="K607" s="27"/>
      <c r="L607" s="27"/>
      <c r="M607" s="27"/>
      <c r="N607" s="27"/>
      <c r="O607" s="27"/>
      <c r="P607" s="27"/>
    </row>
    <row r="608">
      <c r="A608" s="27"/>
      <c r="B608" s="35"/>
      <c r="C608" s="27"/>
      <c r="D608" s="36"/>
      <c r="E608" s="34"/>
      <c r="F608" s="38"/>
      <c r="G608" s="34"/>
      <c r="H608" s="34"/>
      <c r="I608" s="27"/>
      <c r="J608" s="27"/>
      <c r="K608" s="27"/>
      <c r="L608" s="27"/>
      <c r="M608" s="27"/>
      <c r="N608" s="27"/>
      <c r="O608" s="27"/>
      <c r="P608" s="27"/>
    </row>
    <row r="609">
      <c r="A609" s="27"/>
      <c r="B609" s="35"/>
      <c r="C609" s="27"/>
      <c r="D609" s="36"/>
      <c r="E609" s="34"/>
      <c r="F609" s="38"/>
      <c r="G609" s="34"/>
      <c r="H609" s="34"/>
      <c r="I609" s="27"/>
      <c r="J609" s="27"/>
      <c r="K609" s="27"/>
      <c r="L609" s="27"/>
      <c r="M609" s="27"/>
      <c r="N609" s="27"/>
      <c r="O609" s="27"/>
      <c r="P609" s="27"/>
    </row>
    <row r="610">
      <c r="A610" s="27"/>
      <c r="B610" s="35"/>
      <c r="C610" s="27"/>
      <c r="D610" s="36"/>
      <c r="E610" s="34"/>
      <c r="F610" s="38"/>
      <c r="G610" s="34"/>
      <c r="H610" s="34"/>
      <c r="I610" s="27"/>
      <c r="J610" s="27"/>
      <c r="K610" s="27"/>
      <c r="L610" s="27"/>
      <c r="M610" s="27"/>
      <c r="N610" s="27"/>
      <c r="O610" s="27"/>
      <c r="P610" s="27"/>
    </row>
    <row r="611">
      <c r="A611" s="27"/>
      <c r="B611" s="35"/>
      <c r="C611" s="27"/>
      <c r="D611" s="36"/>
      <c r="E611" s="34"/>
      <c r="F611" s="38"/>
      <c r="G611" s="34"/>
      <c r="H611" s="34"/>
      <c r="I611" s="27"/>
      <c r="J611" s="27"/>
      <c r="K611" s="27"/>
      <c r="L611" s="27"/>
      <c r="M611" s="27"/>
      <c r="N611" s="27"/>
      <c r="O611" s="27"/>
      <c r="P611" s="27"/>
    </row>
    <row r="612">
      <c r="A612" s="27"/>
      <c r="B612" s="35"/>
      <c r="C612" s="27"/>
      <c r="D612" s="36"/>
      <c r="E612" s="34"/>
      <c r="F612" s="38"/>
      <c r="G612" s="34"/>
      <c r="H612" s="34"/>
      <c r="I612" s="27"/>
      <c r="J612" s="27"/>
      <c r="K612" s="27"/>
      <c r="L612" s="27"/>
      <c r="M612" s="27"/>
      <c r="N612" s="27"/>
      <c r="O612" s="27"/>
      <c r="P612" s="27"/>
    </row>
    <row r="613">
      <c r="A613" s="27"/>
      <c r="B613" s="35"/>
      <c r="C613" s="27"/>
      <c r="D613" s="36"/>
      <c r="E613" s="34"/>
      <c r="F613" s="38"/>
      <c r="G613" s="34"/>
      <c r="H613" s="34"/>
      <c r="I613" s="27"/>
      <c r="J613" s="27"/>
      <c r="K613" s="27"/>
      <c r="L613" s="27"/>
      <c r="M613" s="27"/>
      <c r="N613" s="27"/>
      <c r="O613" s="27"/>
      <c r="P613" s="27"/>
    </row>
    <row r="614">
      <c r="A614" s="27"/>
      <c r="B614" s="35"/>
      <c r="C614" s="27"/>
      <c r="D614" s="36"/>
      <c r="E614" s="34"/>
      <c r="F614" s="38"/>
      <c r="G614" s="34"/>
      <c r="H614" s="34"/>
      <c r="I614" s="27"/>
      <c r="J614" s="27"/>
      <c r="K614" s="27"/>
      <c r="L614" s="27"/>
      <c r="M614" s="27"/>
      <c r="N614" s="27"/>
      <c r="O614" s="27"/>
      <c r="P614" s="27"/>
    </row>
    <row r="615">
      <c r="A615" s="27"/>
      <c r="B615" s="35"/>
      <c r="C615" s="27"/>
      <c r="D615" s="36"/>
      <c r="E615" s="34"/>
      <c r="F615" s="38"/>
      <c r="G615" s="34"/>
      <c r="H615" s="34"/>
      <c r="I615" s="27"/>
      <c r="J615" s="27"/>
      <c r="K615" s="27"/>
      <c r="L615" s="27"/>
      <c r="M615" s="27"/>
      <c r="N615" s="27"/>
      <c r="O615" s="27"/>
      <c r="P615" s="27"/>
    </row>
    <row r="616">
      <c r="A616" s="27"/>
      <c r="B616" s="35"/>
      <c r="C616" s="27"/>
      <c r="D616" s="36"/>
      <c r="E616" s="34"/>
      <c r="F616" s="38"/>
      <c r="G616" s="34"/>
      <c r="H616" s="34"/>
      <c r="I616" s="27"/>
      <c r="J616" s="27"/>
      <c r="K616" s="27"/>
      <c r="L616" s="27"/>
      <c r="M616" s="27"/>
      <c r="N616" s="27"/>
      <c r="O616" s="27"/>
      <c r="P616" s="27"/>
    </row>
    <row r="617">
      <c r="A617" s="27"/>
      <c r="B617" s="35"/>
      <c r="C617" s="27"/>
      <c r="D617" s="36"/>
      <c r="E617" s="34"/>
      <c r="F617" s="38"/>
      <c r="G617" s="34"/>
      <c r="H617" s="34"/>
      <c r="I617" s="27"/>
      <c r="J617" s="27"/>
      <c r="K617" s="27"/>
      <c r="L617" s="27"/>
      <c r="M617" s="27"/>
      <c r="N617" s="27"/>
      <c r="O617" s="27"/>
      <c r="P617" s="27"/>
    </row>
    <row r="618">
      <c r="A618" s="27"/>
      <c r="B618" s="35"/>
      <c r="C618" s="27"/>
      <c r="D618" s="36"/>
      <c r="E618" s="34"/>
      <c r="F618" s="38"/>
      <c r="G618" s="34"/>
      <c r="H618" s="34"/>
      <c r="I618" s="27"/>
      <c r="J618" s="27"/>
      <c r="K618" s="27"/>
      <c r="L618" s="27"/>
      <c r="M618" s="27"/>
      <c r="N618" s="27"/>
      <c r="O618" s="27"/>
      <c r="P618" s="27"/>
    </row>
    <row r="619">
      <c r="A619" s="27"/>
      <c r="B619" s="35"/>
      <c r="C619" s="27"/>
      <c r="D619" s="36"/>
      <c r="E619" s="34"/>
      <c r="F619" s="38"/>
      <c r="G619" s="34"/>
      <c r="H619" s="34"/>
      <c r="I619" s="27"/>
      <c r="J619" s="27"/>
      <c r="K619" s="27"/>
      <c r="L619" s="27"/>
      <c r="M619" s="27"/>
      <c r="N619" s="27"/>
      <c r="O619" s="27"/>
      <c r="P619" s="27"/>
    </row>
    <row r="620">
      <c r="A620" s="27"/>
      <c r="B620" s="35"/>
      <c r="C620" s="27"/>
      <c r="D620" s="36"/>
      <c r="E620" s="34"/>
      <c r="F620" s="38"/>
      <c r="G620" s="34"/>
      <c r="H620" s="34"/>
      <c r="I620" s="27"/>
      <c r="J620" s="27"/>
      <c r="K620" s="27"/>
      <c r="L620" s="27"/>
      <c r="M620" s="27"/>
      <c r="N620" s="27"/>
      <c r="O620" s="27"/>
      <c r="P620" s="27"/>
    </row>
    <row r="621">
      <c r="A621" s="27"/>
      <c r="B621" s="35"/>
      <c r="C621" s="27"/>
      <c r="D621" s="36"/>
      <c r="E621" s="34"/>
      <c r="F621" s="38"/>
      <c r="G621" s="34"/>
      <c r="H621" s="34"/>
      <c r="I621" s="27"/>
      <c r="J621" s="27"/>
      <c r="K621" s="27"/>
      <c r="L621" s="27"/>
      <c r="M621" s="27"/>
      <c r="N621" s="27"/>
      <c r="O621" s="27"/>
      <c r="P621" s="27"/>
    </row>
    <row r="622">
      <c r="A622" s="27"/>
      <c r="B622" s="35"/>
      <c r="C622" s="27"/>
      <c r="D622" s="36"/>
      <c r="E622" s="34"/>
      <c r="F622" s="38"/>
      <c r="G622" s="34"/>
      <c r="H622" s="34"/>
      <c r="I622" s="27"/>
      <c r="J622" s="27"/>
      <c r="K622" s="27"/>
      <c r="L622" s="27"/>
      <c r="M622" s="27"/>
      <c r="N622" s="27"/>
      <c r="O622" s="27"/>
      <c r="P622" s="27"/>
    </row>
    <row r="623">
      <c r="A623" s="27"/>
      <c r="B623" s="35"/>
      <c r="C623" s="27"/>
      <c r="D623" s="36"/>
      <c r="E623" s="34"/>
      <c r="F623" s="38"/>
      <c r="G623" s="34"/>
      <c r="H623" s="34"/>
      <c r="I623" s="27"/>
      <c r="J623" s="27"/>
      <c r="K623" s="27"/>
      <c r="L623" s="27"/>
      <c r="M623" s="27"/>
      <c r="N623" s="27"/>
      <c r="O623" s="27"/>
      <c r="P623" s="27"/>
    </row>
    <row r="624">
      <c r="A624" s="27"/>
      <c r="B624" s="35"/>
      <c r="C624" s="27"/>
      <c r="D624" s="36"/>
      <c r="E624" s="34"/>
      <c r="F624" s="38"/>
      <c r="G624" s="34"/>
      <c r="H624" s="34"/>
      <c r="I624" s="27"/>
      <c r="J624" s="27"/>
      <c r="K624" s="27"/>
      <c r="L624" s="27"/>
      <c r="M624" s="27"/>
      <c r="N624" s="27"/>
      <c r="O624" s="27"/>
      <c r="P624" s="27"/>
    </row>
    <row r="625">
      <c r="A625" s="27"/>
      <c r="B625" s="35"/>
      <c r="C625" s="27"/>
      <c r="D625" s="36"/>
      <c r="E625" s="34"/>
      <c r="F625" s="38"/>
      <c r="G625" s="34"/>
      <c r="H625" s="34"/>
      <c r="I625" s="27"/>
      <c r="J625" s="27"/>
      <c r="K625" s="27"/>
      <c r="L625" s="27"/>
      <c r="M625" s="27"/>
      <c r="N625" s="27"/>
      <c r="O625" s="27"/>
      <c r="P625" s="27"/>
    </row>
    <row r="626">
      <c r="A626" s="27"/>
      <c r="B626" s="35"/>
      <c r="C626" s="27"/>
      <c r="D626" s="36"/>
      <c r="E626" s="34"/>
      <c r="F626" s="38"/>
      <c r="G626" s="34"/>
      <c r="H626" s="34"/>
      <c r="I626" s="27"/>
      <c r="J626" s="27"/>
      <c r="K626" s="27"/>
      <c r="L626" s="27"/>
      <c r="M626" s="27"/>
      <c r="N626" s="27"/>
      <c r="O626" s="27"/>
      <c r="P626" s="27"/>
    </row>
    <row r="627">
      <c r="A627" s="27"/>
      <c r="B627" s="35"/>
      <c r="C627" s="27"/>
      <c r="D627" s="36"/>
      <c r="E627" s="34"/>
      <c r="F627" s="38"/>
      <c r="G627" s="34"/>
      <c r="H627" s="34"/>
      <c r="I627" s="27"/>
      <c r="J627" s="27"/>
      <c r="K627" s="27"/>
      <c r="L627" s="27"/>
      <c r="M627" s="27"/>
      <c r="N627" s="27"/>
      <c r="O627" s="27"/>
      <c r="P627" s="27"/>
    </row>
    <row r="628">
      <c r="A628" s="27"/>
      <c r="B628" s="35"/>
      <c r="C628" s="27"/>
      <c r="D628" s="36"/>
      <c r="E628" s="34"/>
      <c r="F628" s="38"/>
      <c r="G628" s="34"/>
      <c r="H628" s="34"/>
      <c r="I628" s="27"/>
      <c r="J628" s="27"/>
      <c r="K628" s="27"/>
      <c r="L628" s="27"/>
      <c r="M628" s="27"/>
      <c r="N628" s="27"/>
      <c r="O628" s="27"/>
      <c r="P628" s="27"/>
    </row>
    <row r="629">
      <c r="A629" s="27"/>
      <c r="B629" s="35"/>
      <c r="C629" s="27"/>
      <c r="D629" s="36"/>
      <c r="E629" s="34"/>
      <c r="F629" s="38"/>
      <c r="G629" s="34"/>
      <c r="H629" s="34"/>
      <c r="I629" s="27"/>
      <c r="J629" s="27"/>
      <c r="K629" s="27"/>
      <c r="L629" s="27"/>
      <c r="M629" s="27"/>
      <c r="N629" s="27"/>
      <c r="O629" s="27"/>
      <c r="P629" s="27"/>
    </row>
    <row r="630">
      <c r="A630" s="27"/>
      <c r="B630" s="35"/>
      <c r="C630" s="27"/>
      <c r="D630" s="36"/>
      <c r="E630" s="34"/>
      <c r="F630" s="38"/>
      <c r="G630" s="34"/>
      <c r="H630" s="34"/>
      <c r="I630" s="27"/>
      <c r="J630" s="27"/>
      <c r="K630" s="27"/>
      <c r="L630" s="27"/>
      <c r="M630" s="27"/>
      <c r="N630" s="27"/>
      <c r="O630" s="27"/>
      <c r="P630" s="27"/>
    </row>
    <row r="631">
      <c r="A631" s="27"/>
      <c r="B631" s="35"/>
      <c r="C631" s="27"/>
      <c r="D631" s="36"/>
      <c r="E631" s="34"/>
      <c r="F631" s="38"/>
      <c r="G631" s="34"/>
      <c r="H631" s="34"/>
      <c r="I631" s="27"/>
      <c r="J631" s="27"/>
      <c r="K631" s="27"/>
      <c r="L631" s="27"/>
      <c r="M631" s="27"/>
      <c r="N631" s="27"/>
      <c r="O631" s="27"/>
      <c r="P631" s="27"/>
    </row>
    <row r="632">
      <c r="A632" s="27"/>
      <c r="B632" s="35"/>
      <c r="C632" s="27"/>
      <c r="D632" s="36"/>
      <c r="E632" s="34"/>
      <c r="F632" s="38"/>
      <c r="G632" s="34"/>
      <c r="H632" s="34"/>
      <c r="I632" s="27"/>
      <c r="J632" s="27"/>
      <c r="K632" s="27"/>
      <c r="L632" s="27"/>
      <c r="M632" s="27"/>
      <c r="N632" s="27"/>
      <c r="O632" s="27"/>
      <c r="P632" s="27"/>
    </row>
    <row r="633">
      <c r="A633" s="27"/>
      <c r="B633" s="35"/>
      <c r="C633" s="27"/>
      <c r="D633" s="36"/>
      <c r="E633" s="34"/>
      <c r="F633" s="38"/>
      <c r="G633" s="34"/>
      <c r="H633" s="34"/>
      <c r="I633" s="27"/>
      <c r="J633" s="27"/>
      <c r="K633" s="27"/>
      <c r="L633" s="27"/>
      <c r="M633" s="27"/>
      <c r="N633" s="27"/>
      <c r="O633" s="27"/>
      <c r="P633" s="27"/>
    </row>
    <row r="634">
      <c r="A634" s="27"/>
      <c r="B634" s="35"/>
      <c r="C634" s="27"/>
      <c r="D634" s="36"/>
      <c r="E634" s="34"/>
      <c r="F634" s="38"/>
      <c r="G634" s="34"/>
      <c r="H634" s="34"/>
      <c r="I634" s="27"/>
      <c r="J634" s="27"/>
      <c r="K634" s="27"/>
      <c r="L634" s="27"/>
      <c r="M634" s="27"/>
      <c r="N634" s="27"/>
      <c r="O634" s="27"/>
      <c r="P634" s="27"/>
    </row>
    <row r="635">
      <c r="A635" s="27"/>
      <c r="B635" s="35"/>
      <c r="C635" s="27"/>
      <c r="D635" s="36"/>
      <c r="E635" s="34"/>
      <c r="F635" s="38"/>
      <c r="G635" s="34"/>
      <c r="H635" s="34"/>
      <c r="I635" s="27"/>
      <c r="J635" s="27"/>
      <c r="K635" s="27"/>
      <c r="L635" s="27"/>
      <c r="M635" s="27"/>
      <c r="N635" s="27"/>
      <c r="O635" s="27"/>
      <c r="P635" s="27"/>
    </row>
    <row r="636">
      <c r="A636" s="27"/>
      <c r="B636" s="35"/>
      <c r="C636" s="27"/>
      <c r="D636" s="36"/>
      <c r="E636" s="34"/>
      <c r="F636" s="38"/>
      <c r="G636" s="34"/>
      <c r="H636" s="34"/>
      <c r="I636" s="27"/>
      <c r="J636" s="27"/>
      <c r="K636" s="27"/>
      <c r="L636" s="27"/>
      <c r="M636" s="27"/>
      <c r="N636" s="27"/>
      <c r="O636" s="27"/>
      <c r="P636" s="27"/>
    </row>
    <row r="637">
      <c r="A637" s="27"/>
      <c r="B637" s="35"/>
      <c r="C637" s="27"/>
      <c r="D637" s="36"/>
      <c r="E637" s="34"/>
      <c r="F637" s="38"/>
      <c r="G637" s="34"/>
      <c r="H637" s="34"/>
      <c r="I637" s="27"/>
      <c r="J637" s="27"/>
      <c r="K637" s="27"/>
      <c r="L637" s="27"/>
      <c r="M637" s="27"/>
      <c r="N637" s="27"/>
      <c r="O637" s="27"/>
      <c r="P637" s="27"/>
    </row>
    <row r="638">
      <c r="A638" s="27"/>
      <c r="B638" s="35"/>
      <c r="C638" s="27"/>
      <c r="D638" s="36"/>
      <c r="E638" s="34"/>
      <c r="F638" s="38"/>
      <c r="G638" s="34"/>
      <c r="H638" s="34"/>
      <c r="I638" s="27"/>
      <c r="J638" s="27"/>
      <c r="K638" s="27"/>
      <c r="L638" s="27"/>
      <c r="M638" s="27"/>
      <c r="N638" s="27"/>
      <c r="O638" s="27"/>
      <c r="P638" s="27"/>
    </row>
    <row r="639">
      <c r="A639" s="27"/>
      <c r="B639" s="35"/>
      <c r="C639" s="27"/>
      <c r="D639" s="36"/>
      <c r="E639" s="34"/>
      <c r="F639" s="38"/>
      <c r="G639" s="34"/>
      <c r="H639" s="34"/>
      <c r="I639" s="27"/>
      <c r="J639" s="27"/>
      <c r="K639" s="27"/>
      <c r="L639" s="27"/>
      <c r="M639" s="27"/>
      <c r="N639" s="27"/>
      <c r="O639" s="27"/>
      <c r="P639" s="27"/>
    </row>
    <row r="640">
      <c r="A640" s="27"/>
      <c r="B640" s="35"/>
      <c r="C640" s="27"/>
      <c r="D640" s="36"/>
      <c r="E640" s="34"/>
      <c r="F640" s="38"/>
      <c r="G640" s="34"/>
      <c r="H640" s="34"/>
      <c r="I640" s="27"/>
      <c r="J640" s="27"/>
      <c r="K640" s="27"/>
      <c r="L640" s="27"/>
      <c r="M640" s="27"/>
      <c r="N640" s="27"/>
      <c r="O640" s="27"/>
      <c r="P640" s="27"/>
    </row>
    <row r="641">
      <c r="A641" s="27"/>
      <c r="B641" s="35"/>
      <c r="C641" s="27"/>
      <c r="D641" s="36"/>
      <c r="E641" s="34"/>
      <c r="F641" s="38"/>
      <c r="G641" s="34"/>
      <c r="H641" s="34"/>
      <c r="I641" s="27"/>
      <c r="J641" s="27"/>
      <c r="K641" s="27"/>
      <c r="L641" s="27"/>
      <c r="M641" s="27"/>
      <c r="N641" s="27"/>
      <c r="O641" s="27"/>
      <c r="P641" s="27"/>
    </row>
    <row r="642">
      <c r="A642" s="27"/>
      <c r="B642" s="35"/>
      <c r="C642" s="27"/>
      <c r="D642" s="36"/>
      <c r="E642" s="34"/>
      <c r="F642" s="38"/>
      <c r="G642" s="34"/>
      <c r="H642" s="34"/>
      <c r="I642" s="27"/>
      <c r="J642" s="27"/>
      <c r="K642" s="27"/>
      <c r="L642" s="27"/>
      <c r="M642" s="27"/>
      <c r="N642" s="27"/>
      <c r="O642" s="27"/>
      <c r="P642" s="27"/>
    </row>
    <row r="643">
      <c r="A643" s="27"/>
      <c r="B643" s="35"/>
      <c r="C643" s="27"/>
      <c r="D643" s="36"/>
      <c r="E643" s="34"/>
      <c r="F643" s="38"/>
      <c r="G643" s="34"/>
      <c r="H643" s="34"/>
      <c r="I643" s="27"/>
      <c r="J643" s="27"/>
      <c r="K643" s="27"/>
      <c r="L643" s="27"/>
      <c r="M643" s="27"/>
      <c r="N643" s="27"/>
      <c r="O643" s="27"/>
      <c r="P643" s="27"/>
    </row>
    <row r="644">
      <c r="A644" s="27"/>
      <c r="B644" s="35"/>
      <c r="C644" s="27"/>
      <c r="D644" s="36"/>
      <c r="E644" s="34"/>
      <c r="F644" s="38"/>
      <c r="G644" s="34"/>
      <c r="H644" s="34"/>
      <c r="I644" s="27"/>
      <c r="J644" s="27"/>
      <c r="K644" s="27"/>
      <c r="L644" s="27"/>
      <c r="M644" s="27"/>
      <c r="N644" s="27"/>
      <c r="O644" s="27"/>
      <c r="P644" s="27"/>
    </row>
    <row r="645">
      <c r="A645" s="27"/>
      <c r="B645" s="35"/>
      <c r="C645" s="27"/>
      <c r="D645" s="36"/>
      <c r="E645" s="34"/>
      <c r="F645" s="38"/>
      <c r="G645" s="34"/>
      <c r="H645" s="34"/>
      <c r="I645" s="27"/>
      <c r="J645" s="27"/>
      <c r="K645" s="27"/>
      <c r="L645" s="27"/>
      <c r="M645" s="27"/>
      <c r="N645" s="27"/>
      <c r="O645" s="27"/>
      <c r="P645" s="27"/>
    </row>
    <row r="646">
      <c r="A646" s="27"/>
      <c r="B646" s="35"/>
      <c r="C646" s="27"/>
      <c r="D646" s="36"/>
      <c r="E646" s="34"/>
      <c r="F646" s="38"/>
      <c r="G646" s="34"/>
      <c r="H646" s="34"/>
      <c r="I646" s="27"/>
      <c r="J646" s="27"/>
      <c r="K646" s="27"/>
      <c r="L646" s="27"/>
      <c r="M646" s="27"/>
      <c r="N646" s="27"/>
      <c r="O646" s="27"/>
      <c r="P646" s="27"/>
    </row>
    <row r="647">
      <c r="A647" s="27"/>
      <c r="B647" s="35"/>
      <c r="C647" s="27"/>
      <c r="D647" s="36"/>
      <c r="E647" s="34"/>
      <c r="F647" s="38"/>
      <c r="G647" s="34"/>
      <c r="H647" s="34"/>
      <c r="I647" s="27"/>
      <c r="J647" s="27"/>
      <c r="K647" s="27"/>
      <c r="L647" s="27"/>
      <c r="M647" s="27"/>
      <c r="N647" s="27"/>
      <c r="O647" s="27"/>
      <c r="P647" s="27"/>
    </row>
    <row r="648">
      <c r="A648" s="27"/>
      <c r="B648" s="35"/>
      <c r="C648" s="27"/>
      <c r="D648" s="36"/>
      <c r="E648" s="34"/>
      <c r="F648" s="38"/>
      <c r="G648" s="34"/>
      <c r="H648" s="34"/>
      <c r="I648" s="27"/>
      <c r="J648" s="27"/>
      <c r="K648" s="27"/>
      <c r="L648" s="27"/>
      <c r="M648" s="27"/>
      <c r="N648" s="27"/>
      <c r="O648" s="27"/>
      <c r="P648" s="27"/>
    </row>
    <row r="649">
      <c r="A649" s="27"/>
      <c r="B649" s="35"/>
      <c r="C649" s="27"/>
      <c r="D649" s="36"/>
      <c r="E649" s="34"/>
      <c r="F649" s="38"/>
      <c r="G649" s="34"/>
      <c r="H649" s="34"/>
      <c r="I649" s="27"/>
      <c r="J649" s="27"/>
      <c r="K649" s="27"/>
      <c r="L649" s="27"/>
      <c r="M649" s="27"/>
      <c r="N649" s="27"/>
      <c r="O649" s="27"/>
      <c r="P649" s="27"/>
    </row>
    <row r="650">
      <c r="A650" s="27"/>
      <c r="B650" s="35"/>
      <c r="C650" s="27"/>
      <c r="D650" s="36"/>
      <c r="E650" s="34"/>
      <c r="F650" s="38"/>
      <c r="G650" s="34"/>
      <c r="H650" s="34"/>
      <c r="I650" s="27"/>
      <c r="J650" s="27"/>
      <c r="K650" s="27"/>
      <c r="L650" s="27"/>
      <c r="M650" s="27"/>
      <c r="N650" s="27"/>
      <c r="O650" s="27"/>
      <c r="P650" s="27"/>
    </row>
    <row r="651">
      <c r="A651" s="27"/>
      <c r="B651" s="35"/>
      <c r="C651" s="27"/>
      <c r="D651" s="36"/>
      <c r="E651" s="34"/>
      <c r="F651" s="38"/>
      <c r="G651" s="34"/>
      <c r="H651" s="34"/>
      <c r="I651" s="27"/>
      <c r="J651" s="27"/>
      <c r="K651" s="27"/>
      <c r="L651" s="27"/>
      <c r="M651" s="27"/>
      <c r="N651" s="27"/>
      <c r="O651" s="27"/>
      <c r="P651" s="27"/>
    </row>
    <row r="652">
      <c r="A652" s="27"/>
      <c r="B652" s="35"/>
      <c r="C652" s="27"/>
      <c r="D652" s="36"/>
      <c r="E652" s="34"/>
      <c r="F652" s="38"/>
      <c r="G652" s="34"/>
      <c r="H652" s="34"/>
      <c r="I652" s="27"/>
      <c r="J652" s="27"/>
      <c r="K652" s="27"/>
      <c r="L652" s="27"/>
      <c r="M652" s="27"/>
      <c r="N652" s="27"/>
      <c r="O652" s="27"/>
      <c r="P652" s="27"/>
    </row>
    <row r="653">
      <c r="A653" s="27"/>
      <c r="B653" s="35"/>
      <c r="C653" s="27"/>
      <c r="D653" s="36"/>
      <c r="E653" s="34"/>
      <c r="F653" s="38"/>
      <c r="G653" s="34"/>
      <c r="H653" s="34"/>
      <c r="I653" s="27"/>
      <c r="J653" s="27"/>
      <c r="K653" s="27"/>
      <c r="L653" s="27"/>
      <c r="M653" s="27"/>
      <c r="N653" s="27"/>
      <c r="O653" s="27"/>
      <c r="P653" s="27"/>
    </row>
    <row r="654">
      <c r="A654" s="27"/>
      <c r="B654" s="35"/>
      <c r="C654" s="27"/>
      <c r="D654" s="36"/>
      <c r="E654" s="34"/>
      <c r="F654" s="38"/>
      <c r="G654" s="34"/>
      <c r="H654" s="34"/>
      <c r="I654" s="27"/>
      <c r="J654" s="27"/>
      <c r="K654" s="27"/>
      <c r="L654" s="27"/>
      <c r="M654" s="27"/>
      <c r="N654" s="27"/>
      <c r="O654" s="27"/>
      <c r="P654" s="27"/>
    </row>
    <row r="655">
      <c r="A655" s="27"/>
      <c r="B655" s="35"/>
      <c r="C655" s="27"/>
      <c r="D655" s="36"/>
      <c r="E655" s="34"/>
      <c r="F655" s="38"/>
      <c r="G655" s="34"/>
      <c r="H655" s="34"/>
      <c r="I655" s="27"/>
      <c r="J655" s="27"/>
      <c r="K655" s="27"/>
      <c r="L655" s="27"/>
      <c r="M655" s="27"/>
      <c r="N655" s="27"/>
      <c r="O655" s="27"/>
      <c r="P655" s="27"/>
    </row>
    <row r="656">
      <c r="A656" s="27"/>
      <c r="B656" s="35"/>
      <c r="C656" s="27"/>
      <c r="D656" s="36"/>
      <c r="E656" s="34"/>
      <c r="F656" s="38"/>
      <c r="G656" s="34"/>
      <c r="H656" s="34"/>
      <c r="I656" s="27"/>
      <c r="J656" s="27"/>
      <c r="K656" s="27"/>
      <c r="L656" s="27"/>
      <c r="M656" s="27"/>
      <c r="N656" s="27"/>
      <c r="O656" s="27"/>
      <c r="P656" s="27"/>
    </row>
    <row r="657">
      <c r="A657" s="27"/>
      <c r="B657" s="35"/>
      <c r="C657" s="27"/>
      <c r="D657" s="36"/>
      <c r="E657" s="34"/>
      <c r="F657" s="38"/>
      <c r="G657" s="34"/>
      <c r="H657" s="34"/>
      <c r="I657" s="27"/>
      <c r="J657" s="27"/>
      <c r="K657" s="27"/>
      <c r="L657" s="27"/>
      <c r="M657" s="27"/>
      <c r="N657" s="27"/>
      <c r="O657" s="27"/>
      <c r="P657" s="27"/>
    </row>
    <row r="658">
      <c r="A658" s="27"/>
      <c r="B658" s="35"/>
      <c r="C658" s="27"/>
      <c r="D658" s="36"/>
      <c r="E658" s="34"/>
      <c r="F658" s="38"/>
      <c r="G658" s="34"/>
      <c r="H658" s="34"/>
      <c r="I658" s="27"/>
      <c r="J658" s="27"/>
      <c r="K658" s="27"/>
      <c r="L658" s="27"/>
      <c r="M658" s="27"/>
      <c r="N658" s="27"/>
      <c r="O658" s="27"/>
      <c r="P658" s="27"/>
    </row>
    <row r="659">
      <c r="A659" s="27"/>
      <c r="B659" s="35"/>
      <c r="C659" s="27"/>
      <c r="D659" s="36"/>
      <c r="E659" s="34"/>
      <c r="F659" s="38"/>
      <c r="G659" s="34"/>
      <c r="H659" s="34"/>
      <c r="I659" s="27"/>
      <c r="J659" s="27"/>
      <c r="K659" s="27"/>
      <c r="L659" s="27"/>
      <c r="M659" s="27"/>
      <c r="N659" s="27"/>
      <c r="O659" s="27"/>
      <c r="P659" s="27"/>
    </row>
    <row r="660">
      <c r="A660" s="27"/>
      <c r="B660" s="35"/>
      <c r="C660" s="27"/>
      <c r="D660" s="36"/>
      <c r="E660" s="34"/>
      <c r="F660" s="38"/>
      <c r="G660" s="34"/>
      <c r="H660" s="34"/>
      <c r="I660" s="27"/>
      <c r="J660" s="27"/>
      <c r="K660" s="27"/>
      <c r="L660" s="27"/>
      <c r="M660" s="27"/>
      <c r="N660" s="27"/>
      <c r="O660" s="27"/>
      <c r="P660" s="27"/>
    </row>
    <row r="661">
      <c r="A661" s="27"/>
      <c r="B661" s="35"/>
      <c r="C661" s="27"/>
      <c r="D661" s="36"/>
      <c r="E661" s="34"/>
      <c r="F661" s="38"/>
      <c r="G661" s="34"/>
      <c r="H661" s="34"/>
      <c r="I661" s="27"/>
      <c r="J661" s="27"/>
      <c r="K661" s="27"/>
      <c r="L661" s="27"/>
      <c r="M661" s="27"/>
      <c r="N661" s="27"/>
      <c r="O661" s="27"/>
      <c r="P661" s="27"/>
    </row>
    <row r="662">
      <c r="A662" s="27"/>
      <c r="B662" s="35"/>
      <c r="C662" s="27"/>
      <c r="D662" s="36"/>
      <c r="E662" s="34"/>
      <c r="F662" s="38"/>
      <c r="G662" s="34"/>
      <c r="H662" s="34"/>
      <c r="I662" s="27"/>
      <c r="J662" s="27"/>
      <c r="K662" s="27"/>
      <c r="L662" s="27"/>
      <c r="M662" s="27"/>
      <c r="N662" s="27"/>
      <c r="O662" s="27"/>
      <c r="P662" s="27"/>
    </row>
    <row r="663">
      <c r="A663" s="27"/>
      <c r="B663" s="35"/>
      <c r="C663" s="27"/>
      <c r="D663" s="36"/>
      <c r="E663" s="34"/>
      <c r="F663" s="38"/>
      <c r="G663" s="34"/>
      <c r="H663" s="34"/>
      <c r="I663" s="27"/>
      <c r="J663" s="27"/>
      <c r="K663" s="27"/>
      <c r="L663" s="27"/>
      <c r="M663" s="27"/>
      <c r="N663" s="27"/>
      <c r="O663" s="27"/>
      <c r="P663" s="27"/>
    </row>
    <row r="664">
      <c r="A664" s="27"/>
      <c r="B664" s="35"/>
      <c r="C664" s="27"/>
      <c r="D664" s="36"/>
      <c r="E664" s="34"/>
      <c r="F664" s="38"/>
      <c r="G664" s="34"/>
      <c r="H664" s="34"/>
      <c r="I664" s="27"/>
      <c r="J664" s="27"/>
      <c r="K664" s="27"/>
      <c r="L664" s="27"/>
      <c r="M664" s="27"/>
      <c r="N664" s="27"/>
      <c r="O664" s="27"/>
      <c r="P664" s="27"/>
    </row>
    <row r="665">
      <c r="A665" s="27"/>
      <c r="B665" s="35"/>
      <c r="C665" s="27"/>
      <c r="D665" s="36"/>
      <c r="E665" s="34"/>
      <c r="F665" s="38"/>
      <c r="G665" s="34"/>
      <c r="H665" s="34"/>
      <c r="I665" s="27"/>
      <c r="J665" s="27"/>
      <c r="K665" s="27"/>
      <c r="L665" s="27"/>
      <c r="M665" s="27"/>
      <c r="N665" s="27"/>
      <c r="O665" s="27"/>
      <c r="P665" s="27"/>
    </row>
    <row r="666">
      <c r="A666" s="27"/>
      <c r="B666" s="35"/>
      <c r="C666" s="27"/>
      <c r="D666" s="36"/>
      <c r="E666" s="34"/>
      <c r="F666" s="38"/>
      <c r="G666" s="34"/>
      <c r="H666" s="34"/>
      <c r="I666" s="27"/>
      <c r="J666" s="27"/>
      <c r="K666" s="27"/>
      <c r="L666" s="27"/>
      <c r="M666" s="27"/>
      <c r="N666" s="27"/>
      <c r="O666" s="27"/>
      <c r="P666" s="27"/>
    </row>
    <row r="667">
      <c r="A667" s="27"/>
      <c r="B667" s="35"/>
      <c r="C667" s="27"/>
      <c r="D667" s="36"/>
      <c r="E667" s="34"/>
      <c r="F667" s="38"/>
      <c r="G667" s="34"/>
      <c r="H667" s="34"/>
      <c r="I667" s="27"/>
      <c r="J667" s="27"/>
      <c r="K667" s="27"/>
      <c r="L667" s="27"/>
      <c r="M667" s="27"/>
      <c r="N667" s="27"/>
      <c r="O667" s="27"/>
      <c r="P667" s="27"/>
    </row>
    <row r="668">
      <c r="A668" s="27"/>
      <c r="B668" s="35"/>
      <c r="C668" s="27"/>
      <c r="D668" s="36"/>
      <c r="E668" s="34"/>
      <c r="F668" s="38"/>
      <c r="G668" s="34"/>
      <c r="H668" s="34"/>
      <c r="I668" s="27"/>
      <c r="J668" s="27"/>
      <c r="K668" s="27"/>
      <c r="L668" s="27"/>
      <c r="M668" s="27"/>
      <c r="N668" s="27"/>
      <c r="O668" s="27"/>
      <c r="P668" s="27"/>
    </row>
    <row r="669">
      <c r="A669" s="27"/>
      <c r="B669" s="35"/>
      <c r="C669" s="27"/>
      <c r="D669" s="36"/>
      <c r="E669" s="34"/>
      <c r="F669" s="38"/>
      <c r="G669" s="34"/>
      <c r="H669" s="34"/>
      <c r="I669" s="27"/>
      <c r="J669" s="27"/>
      <c r="K669" s="27"/>
      <c r="L669" s="27"/>
      <c r="M669" s="27"/>
      <c r="N669" s="27"/>
      <c r="O669" s="27"/>
      <c r="P669" s="27"/>
    </row>
    <row r="670">
      <c r="A670" s="27"/>
      <c r="B670" s="35"/>
      <c r="C670" s="27"/>
      <c r="D670" s="36"/>
      <c r="E670" s="34"/>
      <c r="F670" s="38"/>
      <c r="G670" s="34"/>
      <c r="H670" s="34"/>
      <c r="I670" s="27"/>
      <c r="J670" s="27"/>
      <c r="K670" s="27"/>
      <c r="L670" s="27"/>
      <c r="M670" s="27"/>
      <c r="N670" s="27"/>
      <c r="O670" s="27"/>
      <c r="P670" s="27"/>
    </row>
    <row r="671">
      <c r="A671" s="27"/>
      <c r="B671" s="35"/>
      <c r="C671" s="27"/>
      <c r="D671" s="36"/>
      <c r="E671" s="34"/>
      <c r="F671" s="38"/>
      <c r="G671" s="34"/>
      <c r="H671" s="34"/>
      <c r="I671" s="27"/>
      <c r="J671" s="27"/>
      <c r="K671" s="27"/>
      <c r="L671" s="27"/>
      <c r="M671" s="27"/>
      <c r="N671" s="27"/>
      <c r="O671" s="27"/>
      <c r="P671" s="27"/>
    </row>
    <row r="672">
      <c r="A672" s="27"/>
      <c r="B672" s="35"/>
      <c r="C672" s="27"/>
      <c r="D672" s="36"/>
      <c r="E672" s="34"/>
      <c r="F672" s="38"/>
      <c r="G672" s="34"/>
      <c r="H672" s="34"/>
      <c r="I672" s="27"/>
      <c r="J672" s="27"/>
      <c r="K672" s="27"/>
      <c r="L672" s="27"/>
      <c r="M672" s="27"/>
      <c r="N672" s="27"/>
      <c r="O672" s="27"/>
      <c r="P672" s="27"/>
    </row>
    <row r="673">
      <c r="A673" s="27"/>
      <c r="B673" s="35"/>
      <c r="C673" s="27"/>
      <c r="D673" s="36"/>
      <c r="E673" s="34"/>
      <c r="F673" s="38"/>
      <c r="G673" s="34"/>
      <c r="H673" s="34"/>
      <c r="I673" s="27"/>
      <c r="J673" s="27"/>
      <c r="K673" s="27"/>
      <c r="L673" s="27"/>
      <c r="M673" s="27"/>
      <c r="N673" s="27"/>
      <c r="O673" s="27"/>
      <c r="P673" s="27"/>
    </row>
    <row r="674">
      <c r="A674" s="27"/>
      <c r="B674" s="35"/>
      <c r="C674" s="27"/>
      <c r="D674" s="36"/>
      <c r="E674" s="34"/>
      <c r="F674" s="38"/>
      <c r="G674" s="34"/>
      <c r="H674" s="34"/>
      <c r="I674" s="27"/>
      <c r="J674" s="27"/>
      <c r="K674" s="27"/>
      <c r="L674" s="27"/>
      <c r="M674" s="27"/>
      <c r="N674" s="27"/>
      <c r="O674" s="27"/>
      <c r="P674" s="27"/>
    </row>
    <row r="675">
      <c r="A675" s="27"/>
      <c r="B675" s="35"/>
      <c r="C675" s="27"/>
      <c r="D675" s="36"/>
      <c r="E675" s="34"/>
      <c r="F675" s="38"/>
      <c r="G675" s="34"/>
      <c r="H675" s="34"/>
      <c r="I675" s="27"/>
      <c r="J675" s="27"/>
      <c r="K675" s="27"/>
      <c r="L675" s="27"/>
      <c r="M675" s="27"/>
      <c r="N675" s="27"/>
      <c r="O675" s="27"/>
      <c r="P675" s="27"/>
    </row>
    <row r="676">
      <c r="A676" s="27"/>
      <c r="B676" s="35"/>
      <c r="C676" s="27"/>
      <c r="D676" s="36"/>
      <c r="E676" s="34"/>
      <c r="F676" s="38"/>
      <c r="G676" s="34"/>
      <c r="H676" s="34"/>
      <c r="I676" s="27"/>
      <c r="J676" s="27"/>
      <c r="K676" s="27"/>
      <c r="L676" s="27"/>
      <c r="M676" s="27"/>
      <c r="N676" s="27"/>
      <c r="O676" s="27"/>
      <c r="P676" s="27"/>
    </row>
    <row r="677">
      <c r="A677" s="27"/>
      <c r="B677" s="35"/>
      <c r="C677" s="27"/>
      <c r="D677" s="36"/>
      <c r="E677" s="34"/>
      <c r="F677" s="38"/>
      <c r="G677" s="34"/>
      <c r="H677" s="34"/>
      <c r="I677" s="27"/>
      <c r="J677" s="27"/>
      <c r="K677" s="27"/>
      <c r="L677" s="27"/>
      <c r="M677" s="27"/>
      <c r="N677" s="27"/>
      <c r="O677" s="27"/>
      <c r="P677" s="27"/>
    </row>
    <row r="678">
      <c r="A678" s="27"/>
      <c r="B678" s="35"/>
      <c r="C678" s="27"/>
      <c r="D678" s="36"/>
      <c r="E678" s="34"/>
      <c r="F678" s="38"/>
      <c r="G678" s="34"/>
      <c r="H678" s="34"/>
      <c r="I678" s="27"/>
      <c r="J678" s="27"/>
      <c r="K678" s="27"/>
      <c r="L678" s="27"/>
      <c r="M678" s="27"/>
      <c r="N678" s="27"/>
      <c r="O678" s="27"/>
      <c r="P678" s="27"/>
    </row>
    <row r="679">
      <c r="A679" s="27"/>
      <c r="B679" s="35"/>
      <c r="C679" s="27"/>
      <c r="D679" s="36"/>
      <c r="E679" s="34"/>
      <c r="F679" s="38"/>
      <c r="G679" s="34"/>
      <c r="H679" s="34"/>
      <c r="I679" s="27"/>
      <c r="J679" s="27"/>
      <c r="K679" s="27"/>
      <c r="L679" s="27"/>
      <c r="M679" s="27"/>
      <c r="N679" s="27"/>
      <c r="O679" s="27"/>
      <c r="P679" s="27"/>
    </row>
    <row r="680">
      <c r="A680" s="27"/>
      <c r="B680" s="35"/>
      <c r="C680" s="27"/>
      <c r="D680" s="36"/>
      <c r="E680" s="34"/>
      <c r="F680" s="38"/>
      <c r="G680" s="34"/>
      <c r="H680" s="34"/>
      <c r="I680" s="27"/>
      <c r="J680" s="27"/>
      <c r="K680" s="27"/>
      <c r="L680" s="27"/>
      <c r="M680" s="27"/>
      <c r="N680" s="27"/>
      <c r="O680" s="27"/>
      <c r="P680" s="27"/>
    </row>
    <row r="681">
      <c r="A681" s="27"/>
      <c r="B681" s="35"/>
      <c r="C681" s="27"/>
      <c r="D681" s="36"/>
      <c r="E681" s="34"/>
      <c r="F681" s="38"/>
      <c r="G681" s="34"/>
      <c r="H681" s="34"/>
      <c r="I681" s="27"/>
      <c r="J681" s="27"/>
      <c r="K681" s="27"/>
      <c r="L681" s="27"/>
      <c r="M681" s="27"/>
      <c r="N681" s="27"/>
      <c r="O681" s="27"/>
      <c r="P681" s="27"/>
    </row>
    <row r="682">
      <c r="A682" s="27"/>
      <c r="B682" s="35"/>
      <c r="C682" s="27"/>
      <c r="D682" s="36"/>
      <c r="E682" s="34"/>
      <c r="F682" s="38"/>
      <c r="G682" s="34"/>
      <c r="H682" s="34"/>
      <c r="I682" s="27"/>
      <c r="J682" s="27"/>
      <c r="K682" s="27"/>
      <c r="L682" s="27"/>
      <c r="M682" s="27"/>
      <c r="N682" s="27"/>
      <c r="O682" s="27"/>
      <c r="P682" s="27"/>
    </row>
    <row r="683">
      <c r="A683" s="27"/>
      <c r="B683" s="35"/>
      <c r="C683" s="27"/>
      <c r="D683" s="36"/>
      <c r="E683" s="34"/>
      <c r="F683" s="38"/>
      <c r="G683" s="34"/>
      <c r="H683" s="34"/>
      <c r="I683" s="27"/>
      <c r="J683" s="27"/>
      <c r="K683" s="27"/>
      <c r="L683" s="27"/>
      <c r="M683" s="27"/>
      <c r="N683" s="27"/>
      <c r="O683" s="27"/>
      <c r="P683" s="27"/>
    </row>
    <row r="684">
      <c r="A684" s="27"/>
      <c r="B684" s="35"/>
      <c r="C684" s="27"/>
      <c r="D684" s="36"/>
      <c r="E684" s="34"/>
      <c r="F684" s="38"/>
      <c r="G684" s="34"/>
      <c r="H684" s="34"/>
      <c r="I684" s="27"/>
      <c r="J684" s="27"/>
      <c r="K684" s="27"/>
      <c r="L684" s="27"/>
      <c r="M684" s="27"/>
      <c r="N684" s="27"/>
      <c r="O684" s="27"/>
      <c r="P684" s="27"/>
    </row>
    <row r="685">
      <c r="A685" s="27"/>
      <c r="B685" s="35"/>
      <c r="C685" s="27"/>
      <c r="D685" s="36"/>
      <c r="E685" s="34"/>
      <c r="F685" s="38"/>
      <c r="G685" s="34"/>
      <c r="H685" s="34"/>
      <c r="I685" s="27"/>
      <c r="J685" s="27"/>
      <c r="K685" s="27"/>
      <c r="L685" s="27"/>
      <c r="M685" s="27"/>
      <c r="N685" s="27"/>
      <c r="O685" s="27"/>
      <c r="P685" s="27"/>
    </row>
    <row r="686">
      <c r="A686" s="27"/>
      <c r="B686" s="35"/>
      <c r="C686" s="27"/>
      <c r="D686" s="36"/>
      <c r="E686" s="34"/>
      <c r="F686" s="38"/>
      <c r="G686" s="34"/>
      <c r="H686" s="34"/>
      <c r="I686" s="27"/>
      <c r="J686" s="27"/>
      <c r="K686" s="27"/>
      <c r="L686" s="27"/>
      <c r="M686" s="27"/>
      <c r="N686" s="27"/>
      <c r="O686" s="27"/>
      <c r="P686" s="27"/>
    </row>
    <row r="687">
      <c r="A687" s="27"/>
      <c r="B687" s="35"/>
      <c r="C687" s="27"/>
      <c r="D687" s="36"/>
      <c r="E687" s="34"/>
      <c r="F687" s="38"/>
      <c r="G687" s="34"/>
      <c r="H687" s="34"/>
      <c r="I687" s="27"/>
      <c r="J687" s="27"/>
      <c r="K687" s="27"/>
      <c r="L687" s="27"/>
      <c r="M687" s="27"/>
      <c r="N687" s="27"/>
      <c r="O687" s="27"/>
      <c r="P687" s="27"/>
    </row>
    <row r="688">
      <c r="A688" s="27"/>
      <c r="B688" s="35"/>
      <c r="C688" s="27"/>
      <c r="D688" s="36"/>
      <c r="E688" s="34"/>
      <c r="F688" s="38"/>
      <c r="G688" s="34"/>
      <c r="H688" s="34"/>
      <c r="I688" s="27"/>
      <c r="J688" s="27"/>
      <c r="K688" s="27"/>
      <c r="L688" s="27"/>
      <c r="M688" s="27"/>
      <c r="N688" s="27"/>
      <c r="O688" s="27"/>
      <c r="P688" s="27"/>
    </row>
    <row r="689">
      <c r="A689" s="27"/>
      <c r="B689" s="35"/>
      <c r="C689" s="27"/>
      <c r="D689" s="36"/>
      <c r="E689" s="34"/>
      <c r="F689" s="38"/>
      <c r="G689" s="34"/>
      <c r="H689" s="34"/>
      <c r="I689" s="27"/>
      <c r="J689" s="27"/>
      <c r="K689" s="27"/>
      <c r="L689" s="27"/>
      <c r="M689" s="27"/>
      <c r="N689" s="27"/>
      <c r="O689" s="27"/>
      <c r="P689" s="27"/>
    </row>
    <row r="690">
      <c r="A690" s="27"/>
      <c r="B690" s="35"/>
      <c r="C690" s="27"/>
      <c r="D690" s="36"/>
      <c r="E690" s="34"/>
      <c r="F690" s="38"/>
      <c r="G690" s="34"/>
      <c r="H690" s="34"/>
      <c r="I690" s="27"/>
      <c r="J690" s="27"/>
      <c r="K690" s="27"/>
      <c r="L690" s="27"/>
      <c r="M690" s="27"/>
      <c r="N690" s="27"/>
      <c r="O690" s="27"/>
      <c r="P690" s="27"/>
    </row>
    <row r="691">
      <c r="A691" s="27"/>
      <c r="B691" s="35"/>
      <c r="C691" s="27"/>
      <c r="D691" s="36"/>
      <c r="E691" s="34"/>
      <c r="F691" s="38"/>
      <c r="G691" s="34"/>
      <c r="H691" s="34"/>
      <c r="I691" s="27"/>
      <c r="J691" s="27"/>
      <c r="K691" s="27"/>
      <c r="L691" s="27"/>
      <c r="M691" s="27"/>
      <c r="N691" s="27"/>
      <c r="O691" s="27"/>
      <c r="P691" s="27"/>
    </row>
    <row r="692">
      <c r="A692" s="27"/>
      <c r="B692" s="35"/>
      <c r="C692" s="27"/>
      <c r="D692" s="36"/>
      <c r="E692" s="34"/>
      <c r="F692" s="38"/>
      <c r="G692" s="34"/>
      <c r="H692" s="34"/>
      <c r="I692" s="27"/>
      <c r="J692" s="27"/>
      <c r="K692" s="27"/>
      <c r="L692" s="27"/>
      <c r="M692" s="27"/>
      <c r="N692" s="27"/>
      <c r="O692" s="27"/>
      <c r="P692" s="27"/>
    </row>
    <row r="693">
      <c r="A693" s="27"/>
      <c r="B693" s="35"/>
      <c r="C693" s="27"/>
      <c r="D693" s="36"/>
      <c r="E693" s="34"/>
      <c r="F693" s="38"/>
      <c r="G693" s="34"/>
      <c r="H693" s="34"/>
      <c r="I693" s="27"/>
      <c r="J693" s="27"/>
      <c r="K693" s="27"/>
      <c r="L693" s="27"/>
      <c r="M693" s="27"/>
      <c r="N693" s="27"/>
      <c r="O693" s="27"/>
      <c r="P693" s="27"/>
    </row>
    <row r="694">
      <c r="A694" s="27"/>
      <c r="B694" s="35"/>
      <c r="C694" s="27"/>
      <c r="D694" s="36"/>
      <c r="E694" s="34"/>
      <c r="F694" s="38"/>
      <c r="G694" s="34"/>
      <c r="H694" s="34"/>
      <c r="I694" s="27"/>
      <c r="J694" s="27"/>
      <c r="K694" s="27"/>
      <c r="L694" s="27"/>
      <c r="M694" s="27"/>
      <c r="N694" s="27"/>
      <c r="O694" s="27"/>
      <c r="P694" s="27"/>
    </row>
    <row r="695">
      <c r="A695" s="27"/>
      <c r="B695" s="35"/>
      <c r="C695" s="27"/>
      <c r="D695" s="36"/>
      <c r="E695" s="34"/>
      <c r="F695" s="38"/>
      <c r="G695" s="34"/>
      <c r="H695" s="34"/>
      <c r="I695" s="27"/>
      <c r="J695" s="27"/>
      <c r="K695" s="27"/>
      <c r="L695" s="27"/>
      <c r="M695" s="27"/>
      <c r="N695" s="27"/>
      <c r="O695" s="27"/>
      <c r="P695" s="27"/>
    </row>
    <row r="696">
      <c r="A696" s="27"/>
      <c r="B696" s="35"/>
      <c r="C696" s="27"/>
      <c r="D696" s="36"/>
      <c r="E696" s="34"/>
      <c r="F696" s="38"/>
      <c r="G696" s="34"/>
      <c r="H696" s="34"/>
      <c r="I696" s="27"/>
      <c r="J696" s="27"/>
      <c r="K696" s="27"/>
      <c r="L696" s="27"/>
      <c r="M696" s="27"/>
      <c r="N696" s="27"/>
      <c r="O696" s="27"/>
      <c r="P696" s="27"/>
    </row>
    <row r="697">
      <c r="A697" s="27"/>
      <c r="B697" s="35"/>
      <c r="C697" s="27"/>
      <c r="D697" s="36"/>
      <c r="E697" s="34"/>
      <c r="F697" s="38"/>
      <c r="G697" s="34"/>
      <c r="H697" s="34"/>
      <c r="I697" s="27"/>
      <c r="J697" s="27"/>
      <c r="K697" s="27"/>
      <c r="L697" s="27"/>
      <c r="M697" s="27"/>
      <c r="N697" s="27"/>
      <c r="O697" s="27"/>
      <c r="P697" s="27"/>
    </row>
    <row r="698">
      <c r="A698" s="27"/>
      <c r="B698" s="35"/>
      <c r="C698" s="27"/>
      <c r="D698" s="36"/>
      <c r="E698" s="34"/>
      <c r="F698" s="38"/>
      <c r="G698" s="34"/>
      <c r="H698" s="34"/>
      <c r="I698" s="27"/>
      <c r="J698" s="27"/>
      <c r="K698" s="27"/>
      <c r="L698" s="27"/>
      <c r="M698" s="27"/>
      <c r="N698" s="27"/>
      <c r="O698" s="27"/>
      <c r="P698" s="27"/>
    </row>
    <row r="699">
      <c r="A699" s="27"/>
      <c r="B699" s="35"/>
      <c r="C699" s="27"/>
      <c r="D699" s="36"/>
      <c r="E699" s="34"/>
      <c r="F699" s="38"/>
      <c r="G699" s="34"/>
      <c r="H699" s="34"/>
      <c r="I699" s="27"/>
      <c r="J699" s="27"/>
      <c r="K699" s="27"/>
      <c r="L699" s="27"/>
      <c r="M699" s="27"/>
      <c r="N699" s="27"/>
      <c r="O699" s="27"/>
      <c r="P699" s="27"/>
    </row>
    <row r="700">
      <c r="A700" s="27"/>
      <c r="B700" s="35"/>
      <c r="C700" s="27"/>
      <c r="D700" s="36"/>
      <c r="E700" s="34"/>
      <c r="F700" s="38"/>
      <c r="G700" s="34"/>
      <c r="H700" s="34"/>
      <c r="I700" s="27"/>
      <c r="J700" s="27"/>
      <c r="K700" s="27"/>
      <c r="L700" s="27"/>
      <c r="M700" s="27"/>
      <c r="N700" s="27"/>
      <c r="O700" s="27"/>
      <c r="P700" s="27"/>
    </row>
    <row r="701">
      <c r="A701" s="27"/>
      <c r="B701" s="35"/>
      <c r="C701" s="27"/>
      <c r="D701" s="36"/>
      <c r="E701" s="34"/>
      <c r="F701" s="38"/>
      <c r="G701" s="34"/>
      <c r="H701" s="34"/>
      <c r="I701" s="27"/>
      <c r="J701" s="27"/>
      <c r="K701" s="27"/>
      <c r="L701" s="27"/>
      <c r="M701" s="27"/>
      <c r="N701" s="27"/>
      <c r="O701" s="27"/>
      <c r="P701" s="27"/>
    </row>
    <row r="702">
      <c r="A702" s="27"/>
      <c r="B702" s="35"/>
      <c r="C702" s="27"/>
      <c r="D702" s="36"/>
      <c r="E702" s="34"/>
      <c r="F702" s="38"/>
      <c r="G702" s="34"/>
      <c r="H702" s="34"/>
      <c r="I702" s="27"/>
      <c r="J702" s="27"/>
      <c r="K702" s="27"/>
      <c r="L702" s="27"/>
      <c r="M702" s="27"/>
      <c r="N702" s="27"/>
      <c r="O702" s="27"/>
      <c r="P702" s="27"/>
    </row>
    <row r="703">
      <c r="A703" s="27"/>
      <c r="B703" s="35"/>
      <c r="C703" s="27"/>
      <c r="D703" s="36"/>
      <c r="E703" s="34"/>
      <c r="F703" s="38"/>
      <c r="G703" s="34"/>
      <c r="H703" s="34"/>
      <c r="I703" s="27"/>
      <c r="J703" s="27"/>
      <c r="K703" s="27"/>
      <c r="L703" s="27"/>
      <c r="M703" s="27"/>
      <c r="N703" s="27"/>
      <c r="O703" s="27"/>
      <c r="P703" s="27"/>
    </row>
    <row r="704">
      <c r="A704" s="27"/>
      <c r="B704" s="35"/>
      <c r="C704" s="27"/>
      <c r="D704" s="36"/>
      <c r="E704" s="34"/>
      <c r="F704" s="38"/>
      <c r="G704" s="34"/>
      <c r="H704" s="34"/>
      <c r="I704" s="27"/>
      <c r="J704" s="27"/>
      <c r="K704" s="27"/>
      <c r="L704" s="27"/>
      <c r="M704" s="27"/>
      <c r="N704" s="27"/>
      <c r="O704" s="27"/>
      <c r="P704" s="27"/>
    </row>
    <row r="705">
      <c r="A705" s="27"/>
      <c r="B705" s="35"/>
      <c r="C705" s="27"/>
      <c r="D705" s="36"/>
      <c r="E705" s="34"/>
      <c r="F705" s="38"/>
      <c r="G705" s="34"/>
      <c r="H705" s="34"/>
      <c r="I705" s="27"/>
      <c r="J705" s="27"/>
      <c r="K705" s="27"/>
      <c r="L705" s="27"/>
      <c r="M705" s="27"/>
      <c r="N705" s="27"/>
      <c r="O705" s="27"/>
      <c r="P705" s="27"/>
    </row>
    <row r="706">
      <c r="A706" s="27"/>
      <c r="B706" s="35"/>
      <c r="C706" s="27"/>
      <c r="D706" s="36"/>
      <c r="E706" s="34"/>
      <c r="F706" s="38"/>
      <c r="G706" s="34"/>
      <c r="H706" s="34"/>
      <c r="I706" s="27"/>
      <c r="J706" s="27"/>
      <c r="K706" s="27"/>
      <c r="L706" s="27"/>
      <c r="M706" s="27"/>
      <c r="N706" s="27"/>
      <c r="O706" s="27"/>
      <c r="P706" s="27"/>
    </row>
    <row r="707">
      <c r="A707" s="27"/>
      <c r="B707" s="35"/>
      <c r="C707" s="27"/>
      <c r="D707" s="36"/>
      <c r="E707" s="34"/>
      <c r="F707" s="38"/>
      <c r="G707" s="34"/>
      <c r="H707" s="34"/>
      <c r="I707" s="27"/>
      <c r="J707" s="27"/>
      <c r="K707" s="27"/>
      <c r="L707" s="27"/>
      <c r="M707" s="27"/>
      <c r="N707" s="27"/>
      <c r="O707" s="27"/>
      <c r="P707" s="27"/>
    </row>
    <row r="708">
      <c r="A708" s="27"/>
      <c r="B708" s="35"/>
      <c r="C708" s="27"/>
      <c r="D708" s="36"/>
      <c r="E708" s="34"/>
      <c r="F708" s="38"/>
      <c r="G708" s="34"/>
      <c r="H708" s="34"/>
      <c r="I708" s="27"/>
      <c r="J708" s="27"/>
      <c r="K708" s="27"/>
      <c r="L708" s="27"/>
      <c r="M708" s="27"/>
      <c r="N708" s="27"/>
      <c r="O708" s="27"/>
      <c r="P708" s="27"/>
    </row>
    <row r="709">
      <c r="A709" s="27"/>
      <c r="B709" s="35"/>
      <c r="C709" s="27"/>
      <c r="D709" s="36"/>
      <c r="E709" s="34"/>
      <c r="F709" s="38"/>
      <c r="G709" s="34"/>
      <c r="H709" s="34"/>
      <c r="I709" s="27"/>
      <c r="J709" s="27"/>
      <c r="K709" s="27"/>
      <c r="L709" s="27"/>
      <c r="M709" s="27"/>
      <c r="N709" s="27"/>
      <c r="O709" s="27"/>
      <c r="P709" s="27"/>
    </row>
    <row r="710">
      <c r="A710" s="27"/>
      <c r="B710" s="35"/>
      <c r="C710" s="27"/>
      <c r="D710" s="36"/>
      <c r="E710" s="34"/>
      <c r="F710" s="38"/>
      <c r="G710" s="34"/>
      <c r="H710" s="34"/>
      <c r="I710" s="27"/>
      <c r="J710" s="27"/>
      <c r="K710" s="27"/>
      <c r="L710" s="27"/>
      <c r="M710" s="27"/>
      <c r="N710" s="27"/>
      <c r="O710" s="27"/>
      <c r="P710" s="27"/>
    </row>
    <row r="711">
      <c r="A711" s="27"/>
      <c r="B711" s="35"/>
      <c r="C711" s="27"/>
      <c r="D711" s="36"/>
      <c r="E711" s="34"/>
      <c r="F711" s="38"/>
      <c r="G711" s="34"/>
      <c r="H711" s="34"/>
      <c r="I711" s="27"/>
      <c r="J711" s="27"/>
      <c r="K711" s="27"/>
      <c r="L711" s="27"/>
      <c r="M711" s="27"/>
      <c r="N711" s="27"/>
      <c r="O711" s="27"/>
      <c r="P711" s="27"/>
    </row>
    <row r="712">
      <c r="A712" s="27"/>
      <c r="B712" s="35"/>
      <c r="C712" s="27"/>
      <c r="D712" s="36"/>
      <c r="E712" s="34"/>
      <c r="F712" s="38"/>
      <c r="G712" s="34"/>
      <c r="H712" s="34"/>
      <c r="I712" s="27"/>
      <c r="J712" s="27"/>
      <c r="K712" s="27"/>
      <c r="L712" s="27"/>
      <c r="M712" s="27"/>
      <c r="N712" s="27"/>
      <c r="O712" s="27"/>
      <c r="P712" s="27"/>
    </row>
    <row r="713">
      <c r="A713" s="27"/>
      <c r="B713" s="35"/>
      <c r="C713" s="27"/>
      <c r="D713" s="36"/>
      <c r="E713" s="34"/>
      <c r="F713" s="38"/>
      <c r="G713" s="34"/>
      <c r="H713" s="34"/>
      <c r="I713" s="27"/>
      <c r="J713" s="27"/>
      <c r="K713" s="27"/>
      <c r="L713" s="27"/>
      <c r="M713" s="27"/>
      <c r="N713" s="27"/>
      <c r="O713" s="27"/>
      <c r="P713" s="27"/>
    </row>
    <row r="714">
      <c r="A714" s="27"/>
      <c r="B714" s="35"/>
      <c r="C714" s="27"/>
      <c r="D714" s="36"/>
      <c r="E714" s="34"/>
      <c r="F714" s="38"/>
      <c r="G714" s="34"/>
      <c r="H714" s="34"/>
      <c r="I714" s="27"/>
      <c r="J714" s="27"/>
      <c r="K714" s="27"/>
      <c r="L714" s="27"/>
      <c r="M714" s="27"/>
      <c r="N714" s="27"/>
      <c r="O714" s="27"/>
      <c r="P714" s="27"/>
    </row>
    <row r="715">
      <c r="A715" s="27"/>
      <c r="B715" s="35"/>
      <c r="C715" s="27"/>
      <c r="D715" s="36"/>
      <c r="E715" s="34"/>
      <c r="F715" s="38"/>
      <c r="G715" s="34"/>
      <c r="H715" s="34"/>
      <c r="I715" s="27"/>
      <c r="J715" s="27"/>
      <c r="K715" s="27"/>
      <c r="L715" s="27"/>
      <c r="M715" s="27"/>
      <c r="N715" s="27"/>
      <c r="O715" s="27"/>
      <c r="P715" s="27"/>
    </row>
    <row r="716">
      <c r="A716" s="27"/>
      <c r="B716" s="35"/>
      <c r="C716" s="27"/>
      <c r="D716" s="36"/>
      <c r="E716" s="34"/>
      <c r="F716" s="38"/>
      <c r="G716" s="34"/>
      <c r="H716" s="34"/>
      <c r="I716" s="27"/>
      <c r="J716" s="27"/>
      <c r="K716" s="27"/>
      <c r="L716" s="27"/>
      <c r="M716" s="27"/>
      <c r="N716" s="27"/>
      <c r="O716" s="27"/>
      <c r="P716" s="27"/>
    </row>
    <row r="717">
      <c r="A717" s="27"/>
      <c r="B717" s="35"/>
      <c r="C717" s="27"/>
      <c r="D717" s="36"/>
      <c r="E717" s="34"/>
      <c r="F717" s="38"/>
      <c r="G717" s="34"/>
      <c r="H717" s="34"/>
      <c r="I717" s="27"/>
      <c r="J717" s="27"/>
      <c r="K717" s="27"/>
      <c r="L717" s="27"/>
      <c r="M717" s="27"/>
      <c r="N717" s="27"/>
      <c r="O717" s="27"/>
      <c r="P717" s="27"/>
    </row>
    <row r="718">
      <c r="A718" s="27"/>
      <c r="B718" s="35"/>
      <c r="C718" s="27"/>
      <c r="D718" s="36"/>
      <c r="E718" s="34"/>
      <c r="F718" s="38"/>
      <c r="G718" s="34"/>
      <c r="H718" s="34"/>
      <c r="I718" s="27"/>
      <c r="J718" s="27"/>
      <c r="K718" s="27"/>
      <c r="L718" s="27"/>
      <c r="M718" s="27"/>
      <c r="N718" s="27"/>
      <c r="O718" s="27"/>
      <c r="P718" s="27"/>
    </row>
    <row r="719">
      <c r="A719" s="27"/>
      <c r="B719" s="35"/>
      <c r="C719" s="27"/>
      <c r="D719" s="36"/>
      <c r="E719" s="34"/>
      <c r="F719" s="38"/>
      <c r="G719" s="34"/>
      <c r="H719" s="34"/>
      <c r="I719" s="27"/>
      <c r="J719" s="27"/>
      <c r="K719" s="27"/>
      <c r="L719" s="27"/>
      <c r="M719" s="27"/>
      <c r="N719" s="27"/>
      <c r="O719" s="27"/>
      <c r="P719" s="27"/>
    </row>
    <row r="720">
      <c r="A720" s="27"/>
      <c r="B720" s="35"/>
      <c r="C720" s="27"/>
      <c r="D720" s="36"/>
      <c r="E720" s="34"/>
      <c r="F720" s="38"/>
      <c r="G720" s="34"/>
      <c r="H720" s="34"/>
      <c r="I720" s="27"/>
      <c r="J720" s="27"/>
      <c r="K720" s="27"/>
      <c r="L720" s="27"/>
      <c r="M720" s="27"/>
      <c r="N720" s="27"/>
      <c r="O720" s="27"/>
      <c r="P720" s="27"/>
    </row>
    <row r="721">
      <c r="A721" s="27"/>
      <c r="B721" s="35"/>
      <c r="C721" s="27"/>
      <c r="D721" s="36"/>
      <c r="E721" s="34"/>
      <c r="F721" s="38"/>
      <c r="G721" s="34"/>
      <c r="H721" s="34"/>
      <c r="I721" s="27"/>
      <c r="J721" s="27"/>
      <c r="K721" s="27"/>
      <c r="L721" s="27"/>
      <c r="M721" s="27"/>
      <c r="N721" s="27"/>
      <c r="O721" s="27"/>
      <c r="P721" s="27"/>
    </row>
    <row r="722">
      <c r="A722" s="27"/>
      <c r="B722" s="35"/>
      <c r="C722" s="27"/>
      <c r="D722" s="36"/>
      <c r="E722" s="34"/>
      <c r="F722" s="38"/>
      <c r="G722" s="34"/>
      <c r="H722" s="34"/>
      <c r="I722" s="27"/>
      <c r="J722" s="27"/>
      <c r="K722" s="27"/>
      <c r="L722" s="27"/>
      <c r="M722" s="27"/>
      <c r="N722" s="27"/>
      <c r="O722" s="27"/>
      <c r="P722" s="27"/>
    </row>
    <row r="723">
      <c r="A723" s="27"/>
      <c r="B723" s="35"/>
      <c r="C723" s="27"/>
      <c r="D723" s="36"/>
      <c r="E723" s="34"/>
      <c r="F723" s="38"/>
      <c r="G723" s="34"/>
      <c r="H723" s="34"/>
      <c r="I723" s="27"/>
      <c r="J723" s="27"/>
      <c r="K723" s="27"/>
      <c r="L723" s="27"/>
      <c r="M723" s="27"/>
      <c r="N723" s="27"/>
      <c r="O723" s="27"/>
      <c r="P723" s="27"/>
    </row>
    <row r="724">
      <c r="A724" s="27"/>
      <c r="B724" s="35"/>
      <c r="C724" s="27"/>
      <c r="D724" s="36"/>
      <c r="E724" s="34"/>
      <c r="F724" s="38"/>
      <c r="G724" s="34"/>
      <c r="H724" s="34"/>
      <c r="I724" s="27"/>
      <c r="J724" s="27"/>
      <c r="K724" s="27"/>
      <c r="L724" s="27"/>
      <c r="M724" s="27"/>
      <c r="N724" s="27"/>
      <c r="O724" s="27"/>
      <c r="P724" s="27"/>
    </row>
    <row r="725">
      <c r="A725" s="27"/>
      <c r="B725" s="35"/>
      <c r="C725" s="27"/>
      <c r="D725" s="36"/>
      <c r="E725" s="34"/>
      <c r="F725" s="38"/>
      <c r="G725" s="34"/>
      <c r="H725" s="34"/>
      <c r="I725" s="27"/>
      <c r="J725" s="27"/>
      <c r="K725" s="27"/>
      <c r="L725" s="27"/>
      <c r="M725" s="27"/>
      <c r="N725" s="27"/>
      <c r="O725" s="27"/>
      <c r="P725" s="27"/>
    </row>
    <row r="726">
      <c r="A726" s="27"/>
      <c r="B726" s="35"/>
      <c r="C726" s="27"/>
      <c r="D726" s="36"/>
      <c r="E726" s="34"/>
      <c r="F726" s="38"/>
      <c r="G726" s="34"/>
      <c r="H726" s="34"/>
      <c r="I726" s="27"/>
      <c r="J726" s="27"/>
      <c r="K726" s="27"/>
      <c r="L726" s="27"/>
      <c r="M726" s="27"/>
      <c r="N726" s="27"/>
      <c r="O726" s="27"/>
      <c r="P726" s="27"/>
    </row>
    <row r="727">
      <c r="A727" s="27"/>
      <c r="B727" s="35"/>
      <c r="C727" s="27"/>
      <c r="D727" s="36"/>
      <c r="E727" s="34"/>
      <c r="F727" s="38"/>
      <c r="G727" s="34"/>
      <c r="H727" s="34"/>
      <c r="I727" s="27"/>
      <c r="J727" s="27"/>
      <c r="K727" s="27"/>
      <c r="L727" s="27"/>
      <c r="M727" s="27"/>
      <c r="N727" s="27"/>
      <c r="O727" s="27"/>
      <c r="P727" s="27"/>
    </row>
    <row r="728">
      <c r="A728" s="27"/>
      <c r="B728" s="35"/>
      <c r="C728" s="27"/>
      <c r="D728" s="36"/>
      <c r="E728" s="34"/>
      <c r="F728" s="38"/>
      <c r="G728" s="34"/>
      <c r="H728" s="34"/>
      <c r="I728" s="27"/>
      <c r="J728" s="27"/>
      <c r="K728" s="27"/>
      <c r="L728" s="27"/>
      <c r="M728" s="27"/>
      <c r="N728" s="27"/>
      <c r="O728" s="27"/>
      <c r="P728" s="27"/>
    </row>
    <row r="729">
      <c r="A729" s="27"/>
      <c r="B729" s="35"/>
      <c r="C729" s="27"/>
      <c r="D729" s="36"/>
      <c r="E729" s="34"/>
      <c r="F729" s="38"/>
      <c r="G729" s="34"/>
      <c r="H729" s="34"/>
      <c r="I729" s="27"/>
      <c r="J729" s="27"/>
      <c r="K729" s="27"/>
      <c r="L729" s="27"/>
      <c r="M729" s="27"/>
      <c r="N729" s="27"/>
      <c r="O729" s="27"/>
      <c r="P729" s="27"/>
    </row>
    <row r="730">
      <c r="A730" s="27"/>
      <c r="B730" s="35"/>
      <c r="C730" s="27"/>
      <c r="D730" s="36"/>
      <c r="E730" s="34"/>
      <c r="F730" s="38"/>
      <c r="G730" s="34"/>
      <c r="H730" s="34"/>
      <c r="I730" s="27"/>
      <c r="J730" s="27"/>
      <c r="K730" s="27"/>
      <c r="L730" s="27"/>
      <c r="M730" s="27"/>
      <c r="N730" s="27"/>
      <c r="O730" s="27"/>
      <c r="P730" s="27"/>
    </row>
    <row r="731">
      <c r="A731" s="27"/>
      <c r="B731" s="35"/>
      <c r="C731" s="27"/>
      <c r="D731" s="36"/>
      <c r="E731" s="34"/>
      <c r="F731" s="38"/>
      <c r="G731" s="34"/>
      <c r="H731" s="34"/>
      <c r="I731" s="27"/>
      <c r="J731" s="27"/>
      <c r="K731" s="27"/>
      <c r="L731" s="27"/>
      <c r="M731" s="27"/>
      <c r="N731" s="27"/>
      <c r="O731" s="27"/>
      <c r="P731" s="27"/>
    </row>
    <row r="732">
      <c r="A732" s="27"/>
      <c r="B732" s="35"/>
      <c r="C732" s="27"/>
      <c r="D732" s="36"/>
      <c r="E732" s="34"/>
      <c r="F732" s="38"/>
      <c r="G732" s="34"/>
      <c r="H732" s="34"/>
      <c r="I732" s="27"/>
      <c r="J732" s="27"/>
      <c r="K732" s="27"/>
      <c r="L732" s="27"/>
      <c r="M732" s="27"/>
      <c r="N732" s="27"/>
      <c r="O732" s="27"/>
      <c r="P732" s="27"/>
    </row>
    <row r="733">
      <c r="A733" s="27"/>
      <c r="B733" s="35"/>
      <c r="C733" s="27"/>
      <c r="D733" s="36"/>
      <c r="E733" s="34"/>
      <c r="F733" s="38"/>
      <c r="G733" s="34"/>
      <c r="H733" s="34"/>
      <c r="I733" s="27"/>
      <c r="J733" s="27"/>
      <c r="K733" s="27"/>
      <c r="L733" s="27"/>
      <c r="M733" s="27"/>
      <c r="N733" s="27"/>
      <c r="O733" s="27"/>
      <c r="P733" s="27"/>
    </row>
    <row r="734">
      <c r="A734" s="27"/>
      <c r="B734" s="35"/>
      <c r="C734" s="27"/>
      <c r="D734" s="36"/>
      <c r="E734" s="34"/>
      <c r="F734" s="38"/>
      <c r="G734" s="34"/>
      <c r="H734" s="34"/>
      <c r="I734" s="27"/>
      <c r="J734" s="27"/>
      <c r="K734" s="27"/>
      <c r="L734" s="27"/>
      <c r="M734" s="27"/>
      <c r="N734" s="27"/>
      <c r="O734" s="27"/>
      <c r="P734" s="27"/>
    </row>
    <row r="735">
      <c r="A735" s="27"/>
      <c r="B735" s="35"/>
      <c r="C735" s="27"/>
      <c r="D735" s="36"/>
      <c r="E735" s="34"/>
      <c r="F735" s="38"/>
      <c r="G735" s="34"/>
      <c r="H735" s="34"/>
      <c r="I735" s="27"/>
      <c r="J735" s="27"/>
      <c r="K735" s="27"/>
      <c r="L735" s="27"/>
      <c r="M735" s="27"/>
      <c r="N735" s="27"/>
      <c r="O735" s="27"/>
      <c r="P735" s="27"/>
    </row>
    <row r="736">
      <c r="A736" s="27"/>
      <c r="B736" s="35"/>
      <c r="C736" s="27"/>
      <c r="D736" s="36"/>
      <c r="E736" s="34"/>
      <c r="F736" s="38"/>
      <c r="G736" s="34"/>
      <c r="H736" s="34"/>
      <c r="I736" s="27"/>
      <c r="J736" s="27"/>
      <c r="K736" s="27"/>
      <c r="L736" s="27"/>
      <c r="M736" s="27"/>
      <c r="N736" s="27"/>
      <c r="O736" s="27"/>
      <c r="P736" s="27"/>
    </row>
    <row r="737">
      <c r="A737" s="27"/>
      <c r="B737" s="35"/>
      <c r="C737" s="27"/>
      <c r="D737" s="36"/>
      <c r="E737" s="34"/>
      <c r="F737" s="38"/>
      <c r="G737" s="34"/>
      <c r="H737" s="34"/>
      <c r="I737" s="27"/>
      <c r="J737" s="27"/>
      <c r="K737" s="27"/>
      <c r="L737" s="27"/>
      <c r="M737" s="27"/>
      <c r="N737" s="27"/>
      <c r="O737" s="27"/>
      <c r="P737" s="27"/>
    </row>
    <row r="738">
      <c r="A738" s="27"/>
      <c r="B738" s="35"/>
      <c r="C738" s="27"/>
      <c r="D738" s="36"/>
      <c r="E738" s="34"/>
      <c r="F738" s="38"/>
      <c r="G738" s="34"/>
      <c r="H738" s="34"/>
      <c r="I738" s="27"/>
      <c r="J738" s="27"/>
      <c r="K738" s="27"/>
      <c r="L738" s="27"/>
      <c r="M738" s="27"/>
      <c r="N738" s="27"/>
      <c r="O738" s="27"/>
      <c r="P738" s="27"/>
    </row>
    <row r="739">
      <c r="A739" s="27"/>
      <c r="B739" s="35"/>
      <c r="C739" s="27"/>
      <c r="D739" s="36"/>
      <c r="E739" s="34"/>
      <c r="F739" s="38"/>
      <c r="G739" s="34"/>
      <c r="H739" s="34"/>
      <c r="I739" s="27"/>
      <c r="J739" s="27"/>
      <c r="K739" s="27"/>
      <c r="L739" s="27"/>
      <c r="M739" s="27"/>
      <c r="N739" s="27"/>
      <c r="O739" s="27"/>
      <c r="P739" s="27"/>
    </row>
    <row r="740">
      <c r="A740" s="27"/>
      <c r="B740" s="35"/>
      <c r="C740" s="27"/>
      <c r="D740" s="36"/>
      <c r="E740" s="34"/>
      <c r="F740" s="38"/>
      <c r="G740" s="34"/>
      <c r="H740" s="34"/>
      <c r="I740" s="27"/>
      <c r="J740" s="27"/>
      <c r="K740" s="27"/>
      <c r="L740" s="27"/>
      <c r="M740" s="27"/>
      <c r="N740" s="27"/>
      <c r="O740" s="27"/>
      <c r="P740" s="27"/>
    </row>
    <row r="741">
      <c r="A741" s="27"/>
      <c r="B741" s="35"/>
      <c r="C741" s="27"/>
      <c r="D741" s="36"/>
      <c r="E741" s="34"/>
      <c r="F741" s="38"/>
      <c r="G741" s="34"/>
      <c r="H741" s="34"/>
      <c r="I741" s="27"/>
      <c r="J741" s="27"/>
      <c r="K741" s="27"/>
      <c r="L741" s="27"/>
      <c r="M741" s="27"/>
      <c r="N741" s="27"/>
      <c r="O741" s="27"/>
      <c r="P741" s="27"/>
    </row>
    <row r="742">
      <c r="A742" s="27"/>
      <c r="B742" s="35"/>
      <c r="C742" s="27"/>
      <c r="D742" s="36"/>
      <c r="E742" s="34"/>
      <c r="F742" s="38"/>
      <c r="G742" s="34"/>
      <c r="H742" s="34"/>
      <c r="I742" s="27"/>
      <c r="J742" s="27"/>
      <c r="K742" s="27"/>
      <c r="L742" s="27"/>
      <c r="M742" s="27"/>
      <c r="N742" s="27"/>
      <c r="O742" s="27"/>
      <c r="P742" s="27"/>
    </row>
    <row r="743">
      <c r="A743" s="27"/>
      <c r="B743" s="35"/>
      <c r="C743" s="27"/>
      <c r="D743" s="36"/>
      <c r="E743" s="34"/>
      <c r="F743" s="38"/>
      <c r="G743" s="34"/>
      <c r="H743" s="34"/>
      <c r="I743" s="27"/>
      <c r="J743" s="27"/>
      <c r="K743" s="27"/>
      <c r="L743" s="27"/>
      <c r="M743" s="27"/>
      <c r="N743" s="27"/>
      <c r="O743" s="27"/>
      <c r="P743" s="27"/>
    </row>
    <row r="744">
      <c r="A744" s="27"/>
      <c r="B744" s="35"/>
      <c r="C744" s="27"/>
      <c r="D744" s="36"/>
      <c r="E744" s="34"/>
      <c r="F744" s="38"/>
      <c r="G744" s="34"/>
      <c r="H744" s="34"/>
      <c r="I744" s="27"/>
      <c r="J744" s="27"/>
      <c r="K744" s="27"/>
      <c r="L744" s="27"/>
      <c r="M744" s="27"/>
      <c r="N744" s="27"/>
      <c r="O744" s="27"/>
      <c r="P744" s="27"/>
    </row>
    <row r="745">
      <c r="A745" s="27"/>
      <c r="B745" s="35"/>
      <c r="C745" s="27"/>
      <c r="D745" s="36"/>
      <c r="E745" s="34"/>
      <c r="F745" s="38"/>
      <c r="G745" s="34"/>
      <c r="H745" s="34"/>
      <c r="I745" s="27"/>
      <c r="J745" s="27"/>
      <c r="K745" s="27"/>
      <c r="L745" s="27"/>
      <c r="M745" s="27"/>
      <c r="N745" s="27"/>
      <c r="O745" s="27"/>
      <c r="P745" s="27"/>
    </row>
    <row r="746">
      <c r="A746" s="27"/>
      <c r="B746" s="35"/>
      <c r="C746" s="27"/>
      <c r="D746" s="36"/>
      <c r="E746" s="34"/>
      <c r="F746" s="38"/>
      <c r="G746" s="34"/>
      <c r="H746" s="34"/>
      <c r="I746" s="27"/>
      <c r="J746" s="27"/>
      <c r="K746" s="27"/>
      <c r="L746" s="27"/>
      <c r="M746" s="27"/>
      <c r="N746" s="27"/>
      <c r="O746" s="27"/>
      <c r="P746" s="27"/>
    </row>
    <row r="747">
      <c r="A747" s="27"/>
      <c r="B747" s="35"/>
      <c r="C747" s="27"/>
      <c r="D747" s="36"/>
      <c r="E747" s="34"/>
      <c r="F747" s="38"/>
      <c r="G747" s="34"/>
      <c r="H747" s="34"/>
      <c r="I747" s="27"/>
      <c r="J747" s="27"/>
      <c r="K747" s="27"/>
      <c r="L747" s="27"/>
      <c r="M747" s="27"/>
      <c r="N747" s="27"/>
      <c r="O747" s="27"/>
      <c r="P747" s="27"/>
    </row>
    <row r="748">
      <c r="A748" s="27"/>
      <c r="B748" s="35"/>
      <c r="C748" s="27"/>
      <c r="D748" s="36"/>
      <c r="E748" s="34"/>
      <c r="F748" s="38"/>
      <c r="G748" s="34"/>
      <c r="H748" s="34"/>
      <c r="I748" s="27"/>
      <c r="J748" s="27"/>
      <c r="K748" s="27"/>
      <c r="L748" s="27"/>
      <c r="M748" s="27"/>
      <c r="N748" s="27"/>
      <c r="O748" s="27"/>
      <c r="P748" s="27"/>
    </row>
    <row r="749">
      <c r="A749" s="27"/>
      <c r="B749" s="35"/>
      <c r="C749" s="27"/>
      <c r="D749" s="36"/>
      <c r="E749" s="34"/>
      <c r="F749" s="38"/>
      <c r="G749" s="34"/>
      <c r="H749" s="34"/>
      <c r="I749" s="27"/>
      <c r="J749" s="27"/>
      <c r="K749" s="27"/>
      <c r="L749" s="27"/>
      <c r="M749" s="27"/>
      <c r="N749" s="27"/>
      <c r="O749" s="27"/>
      <c r="P749" s="27"/>
    </row>
    <row r="750">
      <c r="A750" s="27"/>
      <c r="B750" s="35"/>
      <c r="C750" s="27"/>
      <c r="D750" s="36"/>
      <c r="E750" s="34"/>
      <c r="F750" s="38"/>
      <c r="G750" s="34"/>
      <c r="H750" s="34"/>
      <c r="I750" s="27"/>
      <c r="J750" s="27"/>
      <c r="K750" s="27"/>
      <c r="L750" s="27"/>
      <c r="M750" s="27"/>
      <c r="N750" s="27"/>
      <c r="O750" s="27"/>
      <c r="P750" s="27"/>
    </row>
    <row r="751">
      <c r="A751" s="27"/>
      <c r="B751" s="35"/>
      <c r="C751" s="27"/>
      <c r="D751" s="36"/>
      <c r="E751" s="34"/>
      <c r="F751" s="38"/>
      <c r="G751" s="34"/>
      <c r="H751" s="34"/>
      <c r="I751" s="27"/>
      <c r="J751" s="27"/>
      <c r="K751" s="27"/>
      <c r="L751" s="27"/>
      <c r="M751" s="27"/>
      <c r="N751" s="27"/>
      <c r="O751" s="27"/>
      <c r="P751" s="27"/>
    </row>
    <row r="752">
      <c r="A752" s="27"/>
      <c r="B752" s="35"/>
      <c r="C752" s="27"/>
      <c r="D752" s="36"/>
      <c r="E752" s="34"/>
      <c r="F752" s="38"/>
      <c r="G752" s="34"/>
      <c r="H752" s="34"/>
      <c r="I752" s="27"/>
      <c r="J752" s="27"/>
      <c r="K752" s="27"/>
      <c r="L752" s="27"/>
      <c r="M752" s="27"/>
      <c r="N752" s="27"/>
      <c r="O752" s="27"/>
      <c r="P752" s="27"/>
    </row>
    <row r="753">
      <c r="A753" s="27"/>
      <c r="B753" s="35"/>
      <c r="C753" s="27"/>
      <c r="D753" s="36"/>
      <c r="E753" s="34"/>
      <c r="F753" s="38"/>
      <c r="G753" s="34"/>
      <c r="H753" s="34"/>
      <c r="I753" s="27"/>
      <c r="J753" s="27"/>
      <c r="K753" s="27"/>
      <c r="L753" s="27"/>
      <c r="M753" s="27"/>
      <c r="N753" s="27"/>
      <c r="O753" s="27"/>
      <c r="P753" s="27"/>
    </row>
    <row r="754">
      <c r="A754" s="27"/>
      <c r="B754" s="35"/>
      <c r="C754" s="27"/>
      <c r="D754" s="36"/>
      <c r="E754" s="34"/>
      <c r="F754" s="38"/>
      <c r="G754" s="34"/>
      <c r="H754" s="34"/>
      <c r="I754" s="27"/>
      <c r="J754" s="27"/>
      <c r="K754" s="27"/>
      <c r="L754" s="27"/>
      <c r="M754" s="27"/>
      <c r="N754" s="27"/>
      <c r="O754" s="27"/>
      <c r="P754" s="27"/>
    </row>
    <row r="755">
      <c r="A755" s="27"/>
      <c r="B755" s="35"/>
      <c r="C755" s="27"/>
      <c r="D755" s="36"/>
      <c r="E755" s="34"/>
      <c r="F755" s="38"/>
      <c r="G755" s="34"/>
      <c r="H755" s="34"/>
      <c r="I755" s="27"/>
      <c r="J755" s="27"/>
      <c r="K755" s="27"/>
      <c r="L755" s="27"/>
      <c r="M755" s="27"/>
      <c r="N755" s="27"/>
      <c r="O755" s="27"/>
      <c r="P755" s="27"/>
    </row>
    <row r="756">
      <c r="A756" s="27"/>
      <c r="B756" s="35"/>
      <c r="C756" s="27"/>
      <c r="D756" s="36"/>
      <c r="E756" s="34"/>
      <c r="F756" s="38"/>
      <c r="G756" s="34"/>
      <c r="H756" s="34"/>
      <c r="I756" s="27"/>
      <c r="J756" s="27"/>
      <c r="K756" s="27"/>
      <c r="L756" s="27"/>
      <c r="M756" s="27"/>
      <c r="N756" s="27"/>
      <c r="O756" s="27"/>
      <c r="P756" s="27"/>
    </row>
    <row r="757">
      <c r="A757" s="27"/>
      <c r="B757" s="35"/>
      <c r="C757" s="27"/>
      <c r="D757" s="36"/>
      <c r="E757" s="34"/>
      <c r="F757" s="38"/>
      <c r="G757" s="34"/>
      <c r="H757" s="34"/>
      <c r="I757" s="27"/>
      <c r="J757" s="27"/>
      <c r="K757" s="27"/>
      <c r="L757" s="27"/>
      <c r="M757" s="27"/>
      <c r="N757" s="27"/>
      <c r="O757" s="27"/>
      <c r="P757" s="27"/>
    </row>
    <row r="758">
      <c r="A758" s="27"/>
      <c r="B758" s="35"/>
      <c r="C758" s="27"/>
      <c r="D758" s="36"/>
      <c r="E758" s="34"/>
      <c r="F758" s="38"/>
      <c r="G758" s="34"/>
      <c r="H758" s="34"/>
      <c r="I758" s="27"/>
      <c r="J758" s="27"/>
      <c r="K758" s="27"/>
      <c r="L758" s="27"/>
      <c r="M758" s="27"/>
      <c r="N758" s="27"/>
      <c r="O758" s="27"/>
      <c r="P758" s="27"/>
    </row>
    <row r="759">
      <c r="A759" s="27"/>
      <c r="B759" s="35"/>
      <c r="C759" s="27"/>
      <c r="D759" s="36"/>
      <c r="E759" s="34"/>
      <c r="F759" s="38"/>
      <c r="G759" s="34"/>
      <c r="H759" s="34"/>
      <c r="I759" s="27"/>
      <c r="J759" s="27"/>
      <c r="K759" s="27"/>
      <c r="L759" s="27"/>
      <c r="M759" s="27"/>
      <c r="N759" s="27"/>
      <c r="O759" s="27"/>
      <c r="P759" s="27"/>
    </row>
    <row r="760">
      <c r="A760" s="27"/>
      <c r="B760" s="35"/>
      <c r="C760" s="27"/>
      <c r="D760" s="36"/>
      <c r="E760" s="34"/>
      <c r="F760" s="38"/>
      <c r="G760" s="34"/>
      <c r="H760" s="34"/>
      <c r="I760" s="27"/>
      <c r="J760" s="27"/>
      <c r="K760" s="27"/>
      <c r="L760" s="27"/>
      <c r="M760" s="27"/>
      <c r="N760" s="27"/>
      <c r="O760" s="27"/>
      <c r="P760" s="27"/>
    </row>
    <row r="761">
      <c r="A761" s="27"/>
      <c r="B761" s="35"/>
      <c r="C761" s="27"/>
      <c r="D761" s="36"/>
      <c r="E761" s="34"/>
      <c r="F761" s="38"/>
      <c r="G761" s="34"/>
      <c r="H761" s="34"/>
      <c r="I761" s="27"/>
      <c r="J761" s="27"/>
      <c r="K761" s="27"/>
      <c r="L761" s="27"/>
      <c r="M761" s="27"/>
      <c r="N761" s="27"/>
      <c r="O761" s="27"/>
      <c r="P761" s="27"/>
    </row>
    <row r="762">
      <c r="A762" s="27"/>
      <c r="B762" s="35"/>
      <c r="C762" s="27"/>
      <c r="D762" s="36"/>
      <c r="E762" s="34"/>
      <c r="F762" s="38"/>
      <c r="G762" s="34"/>
      <c r="H762" s="34"/>
      <c r="I762" s="27"/>
      <c r="J762" s="27"/>
      <c r="K762" s="27"/>
      <c r="L762" s="27"/>
      <c r="M762" s="27"/>
      <c r="N762" s="27"/>
      <c r="O762" s="27"/>
      <c r="P762" s="27"/>
    </row>
    <row r="763">
      <c r="A763" s="27"/>
      <c r="B763" s="35"/>
      <c r="C763" s="27"/>
      <c r="D763" s="36"/>
      <c r="E763" s="34"/>
      <c r="F763" s="38"/>
      <c r="G763" s="34"/>
      <c r="H763" s="34"/>
      <c r="I763" s="27"/>
      <c r="J763" s="27"/>
      <c r="K763" s="27"/>
      <c r="L763" s="27"/>
      <c r="M763" s="27"/>
      <c r="N763" s="27"/>
      <c r="O763" s="27"/>
      <c r="P763" s="27"/>
    </row>
    <row r="764">
      <c r="A764" s="27"/>
      <c r="B764" s="35"/>
      <c r="C764" s="27"/>
      <c r="D764" s="36"/>
      <c r="E764" s="34"/>
      <c r="F764" s="38"/>
      <c r="G764" s="34"/>
      <c r="H764" s="34"/>
      <c r="I764" s="27"/>
      <c r="J764" s="27"/>
      <c r="K764" s="27"/>
      <c r="L764" s="27"/>
      <c r="M764" s="27"/>
      <c r="N764" s="27"/>
      <c r="O764" s="27"/>
      <c r="P764" s="27"/>
    </row>
    <row r="765">
      <c r="A765" s="27"/>
      <c r="B765" s="35"/>
      <c r="C765" s="27"/>
      <c r="D765" s="36"/>
      <c r="E765" s="34"/>
      <c r="F765" s="38"/>
      <c r="G765" s="34"/>
      <c r="H765" s="34"/>
      <c r="I765" s="27"/>
      <c r="J765" s="27"/>
      <c r="K765" s="27"/>
      <c r="L765" s="27"/>
      <c r="M765" s="27"/>
      <c r="N765" s="27"/>
      <c r="O765" s="27"/>
      <c r="P765" s="27"/>
    </row>
    <row r="766">
      <c r="A766" s="27"/>
      <c r="B766" s="35"/>
      <c r="C766" s="27"/>
      <c r="D766" s="36"/>
      <c r="E766" s="34"/>
      <c r="F766" s="38"/>
      <c r="G766" s="34"/>
      <c r="H766" s="34"/>
      <c r="I766" s="27"/>
      <c r="J766" s="27"/>
      <c r="K766" s="27"/>
      <c r="L766" s="27"/>
      <c r="M766" s="27"/>
      <c r="N766" s="27"/>
      <c r="O766" s="27"/>
      <c r="P766" s="27"/>
    </row>
    <row r="767">
      <c r="A767" s="27"/>
      <c r="B767" s="35"/>
      <c r="C767" s="27"/>
      <c r="D767" s="36"/>
      <c r="E767" s="34"/>
      <c r="F767" s="38"/>
      <c r="G767" s="34"/>
      <c r="H767" s="34"/>
      <c r="I767" s="27"/>
      <c r="J767" s="27"/>
      <c r="K767" s="27"/>
      <c r="L767" s="27"/>
      <c r="M767" s="27"/>
      <c r="N767" s="27"/>
      <c r="O767" s="27"/>
      <c r="P767" s="27"/>
    </row>
    <row r="768">
      <c r="A768" s="27"/>
      <c r="B768" s="35"/>
      <c r="C768" s="27"/>
      <c r="D768" s="36"/>
      <c r="E768" s="34"/>
      <c r="F768" s="38"/>
      <c r="G768" s="34"/>
      <c r="H768" s="34"/>
      <c r="I768" s="27"/>
      <c r="J768" s="27"/>
      <c r="K768" s="27"/>
      <c r="L768" s="27"/>
      <c r="M768" s="27"/>
      <c r="N768" s="27"/>
      <c r="O768" s="27"/>
      <c r="P768" s="27"/>
    </row>
    <row r="769">
      <c r="A769" s="27"/>
      <c r="B769" s="35"/>
      <c r="C769" s="27"/>
      <c r="D769" s="36"/>
      <c r="E769" s="34"/>
      <c r="F769" s="38"/>
      <c r="G769" s="34"/>
      <c r="H769" s="34"/>
      <c r="I769" s="27"/>
      <c r="J769" s="27"/>
      <c r="K769" s="27"/>
      <c r="L769" s="27"/>
      <c r="M769" s="27"/>
      <c r="N769" s="27"/>
      <c r="O769" s="27"/>
      <c r="P769" s="27"/>
    </row>
    <row r="770">
      <c r="A770" s="27"/>
      <c r="B770" s="35"/>
      <c r="C770" s="27"/>
      <c r="D770" s="36"/>
      <c r="E770" s="34"/>
      <c r="F770" s="38"/>
      <c r="G770" s="34"/>
      <c r="H770" s="34"/>
      <c r="I770" s="27"/>
      <c r="J770" s="27"/>
      <c r="K770" s="27"/>
      <c r="L770" s="27"/>
      <c r="M770" s="27"/>
      <c r="N770" s="27"/>
      <c r="O770" s="27"/>
      <c r="P770" s="27"/>
    </row>
    <row r="771">
      <c r="A771" s="27"/>
      <c r="B771" s="35"/>
      <c r="C771" s="27"/>
      <c r="D771" s="36"/>
      <c r="E771" s="34"/>
      <c r="F771" s="38"/>
      <c r="G771" s="34"/>
      <c r="H771" s="34"/>
      <c r="I771" s="27"/>
      <c r="J771" s="27"/>
      <c r="K771" s="27"/>
      <c r="L771" s="27"/>
      <c r="M771" s="27"/>
      <c r="N771" s="27"/>
      <c r="O771" s="27"/>
      <c r="P771" s="27"/>
    </row>
    <row r="772">
      <c r="A772" s="27"/>
      <c r="B772" s="35"/>
      <c r="C772" s="27"/>
      <c r="D772" s="36"/>
      <c r="E772" s="34"/>
      <c r="F772" s="38"/>
      <c r="G772" s="34"/>
      <c r="H772" s="34"/>
      <c r="I772" s="27"/>
      <c r="J772" s="27"/>
      <c r="K772" s="27"/>
      <c r="L772" s="27"/>
      <c r="M772" s="27"/>
      <c r="N772" s="27"/>
      <c r="O772" s="27"/>
      <c r="P772" s="27"/>
    </row>
    <row r="773">
      <c r="A773" s="27"/>
      <c r="B773" s="35"/>
      <c r="C773" s="27"/>
      <c r="D773" s="36"/>
      <c r="E773" s="34"/>
      <c r="F773" s="38"/>
      <c r="G773" s="34"/>
      <c r="H773" s="34"/>
      <c r="I773" s="27"/>
      <c r="J773" s="27"/>
      <c r="K773" s="27"/>
      <c r="L773" s="27"/>
      <c r="M773" s="27"/>
      <c r="N773" s="27"/>
      <c r="O773" s="27"/>
      <c r="P773" s="27"/>
    </row>
    <row r="774">
      <c r="A774" s="27"/>
      <c r="B774" s="35"/>
      <c r="C774" s="27"/>
      <c r="D774" s="36"/>
      <c r="E774" s="34"/>
      <c r="F774" s="38"/>
      <c r="G774" s="34"/>
      <c r="H774" s="34"/>
      <c r="I774" s="27"/>
      <c r="J774" s="27"/>
      <c r="K774" s="27"/>
      <c r="L774" s="27"/>
      <c r="M774" s="27"/>
      <c r="N774" s="27"/>
      <c r="O774" s="27"/>
      <c r="P774" s="27"/>
    </row>
    <row r="775">
      <c r="A775" s="27"/>
      <c r="B775" s="35"/>
      <c r="C775" s="27"/>
      <c r="D775" s="36"/>
      <c r="E775" s="34"/>
      <c r="F775" s="38"/>
      <c r="G775" s="34"/>
      <c r="H775" s="34"/>
      <c r="I775" s="27"/>
      <c r="J775" s="27"/>
      <c r="K775" s="27"/>
      <c r="L775" s="27"/>
      <c r="M775" s="27"/>
      <c r="N775" s="27"/>
      <c r="O775" s="27"/>
      <c r="P775" s="27"/>
    </row>
    <row r="776">
      <c r="A776" s="27"/>
      <c r="B776" s="35"/>
      <c r="C776" s="27"/>
      <c r="D776" s="36"/>
      <c r="E776" s="34"/>
      <c r="F776" s="38"/>
      <c r="G776" s="34"/>
      <c r="H776" s="34"/>
      <c r="I776" s="27"/>
      <c r="J776" s="27"/>
      <c r="K776" s="27"/>
      <c r="L776" s="27"/>
      <c r="M776" s="27"/>
      <c r="N776" s="27"/>
      <c r="O776" s="27"/>
      <c r="P776" s="27"/>
    </row>
    <row r="777">
      <c r="A777" s="27"/>
      <c r="B777" s="35"/>
      <c r="C777" s="27"/>
      <c r="D777" s="36"/>
      <c r="E777" s="34"/>
      <c r="F777" s="38"/>
      <c r="G777" s="34"/>
      <c r="H777" s="34"/>
      <c r="I777" s="27"/>
      <c r="J777" s="27"/>
      <c r="K777" s="27"/>
      <c r="L777" s="27"/>
      <c r="M777" s="27"/>
      <c r="N777" s="27"/>
      <c r="O777" s="27"/>
      <c r="P777" s="27"/>
    </row>
    <row r="778">
      <c r="A778" s="27"/>
      <c r="B778" s="35"/>
      <c r="C778" s="27"/>
      <c r="D778" s="36"/>
      <c r="E778" s="34"/>
      <c r="F778" s="38"/>
      <c r="G778" s="34"/>
      <c r="H778" s="34"/>
      <c r="I778" s="27"/>
      <c r="J778" s="27"/>
      <c r="K778" s="27"/>
      <c r="L778" s="27"/>
      <c r="M778" s="27"/>
      <c r="N778" s="27"/>
      <c r="O778" s="27"/>
      <c r="P778" s="27"/>
    </row>
    <row r="779">
      <c r="A779" s="27"/>
      <c r="B779" s="35"/>
      <c r="C779" s="27"/>
      <c r="D779" s="36"/>
      <c r="E779" s="34"/>
      <c r="F779" s="38"/>
      <c r="G779" s="34"/>
      <c r="H779" s="34"/>
      <c r="I779" s="27"/>
      <c r="J779" s="27"/>
      <c r="K779" s="27"/>
      <c r="L779" s="27"/>
      <c r="M779" s="27"/>
      <c r="N779" s="27"/>
      <c r="O779" s="27"/>
      <c r="P779" s="27"/>
    </row>
    <row r="780">
      <c r="A780" s="27"/>
      <c r="B780" s="35"/>
      <c r="C780" s="27"/>
      <c r="D780" s="36"/>
      <c r="E780" s="34"/>
      <c r="F780" s="38"/>
      <c r="G780" s="34"/>
      <c r="H780" s="34"/>
      <c r="I780" s="27"/>
      <c r="J780" s="27"/>
      <c r="K780" s="27"/>
      <c r="L780" s="27"/>
      <c r="M780" s="27"/>
      <c r="N780" s="27"/>
      <c r="O780" s="27"/>
      <c r="P780" s="27"/>
    </row>
    <row r="781">
      <c r="A781" s="27"/>
      <c r="B781" s="35"/>
      <c r="C781" s="27"/>
      <c r="D781" s="36"/>
      <c r="E781" s="34"/>
      <c r="F781" s="38"/>
      <c r="G781" s="34"/>
      <c r="H781" s="34"/>
      <c r="I781" s="27"/>
      <c r="J781" s="27"/>
      <c r="K781" s="27"/>
      <c r="L781" s="27"/>
      <c r="M781" s="27"/>
      <c r="N781" s="27"/>
      <c r="O781" s="27"/>
      <c r="P781" s="27"/>
    </row>
    <row r="782">
      <c r="A782" s="27"/>
      <c r="B782" s="35"/>
      <c r="C782" s="27"/>
      <c r="D782" s="36"/>
      <c r="E782" s="34"/>
      <c r="F782" s="38"/>
      <c r="G782" s="34"/>
      <c r="H782" s="34"/>
      <c r="I782" s="27"/>
      <c r="J782" s="27"/>
      <c r="K782" s="27"/>
      <c r="L782" s="27"/>
      <c r="M782" s="27"/>
      <c r="N782" s="27"/>
      <c r="O782" s="27"/>
      <c r="P782" s="27"/>
    </row>
    <row r="783">
      <c r="A783" s="27"/>
      <c r="B783" s="35"/>
      <c r="C783" s="27"/>
      <c r="D783" s="36"/>
      <c r="E783" s="34"/>
      <c r="F783" s="38"/>
      <c r="G783" s="34"/>
      <c r="H783" s="34"/>
      <c r="I783" s="27"/>
      <c r="J783" s="27"/>
      <c r="K783" s="27"/>
      <c r="L783" s="27"/>
      <c r="M783" s="27"/>
      <c r="N783" s="27"/>
      <c r="O783" s="27"/>
      <c r="P783" s="27"/>
    </row>
    <row r="784">
      <c r="A784" s="27"/>
      <c r="B784" s="35"/>
      <c r="C784" s="27"/>
      <c r="D784" s="36"/>
      <c r="E784" s="34"/>
      <c r="F784" s="38"/>
      <c r="G784" s="34"/>
      <c r="H784" s="34"/>
      <c r="I784" s="27"/>
      <c r="J784" s="27"/>
      <c r="K784" s="27"/>
      <c r="L784" s="27"/>
      <c r="M784" s="27"/>
      <c r="N784" s="27"/>
      <c r="O784" s="27"/>
      <c r="P784" s="27"/>
    </row>
    <row r="785">
      <c r="A785" s="27"/>
      <c r="B785" s="35"/>
      <c r="C785" s="27"/>
      <c r="D785" s="36"/>
      <c r="E785" s="34"/>
      <c r="F785" s="38"/>
      <c r="G785" s="34"/>
      <c r="H785" s="34"/>
      <c r="I785" s="27"/>
      <c r="J785" s="27"/>
      <c r="K785" s="27"/>
      <c r="L785" s="27"/>
      <c r="M785" s="27"/>
      <c r="N785" s="27"/>
      <c r="O785" s="27"/>
      <c r="P785" s="27"/>
    </row>
    <row r="786">
      <c r="A786" s="27"/>
      <c r="B786" s="35"/>
      <c r="C786" s="27"/>
      <c r="D786" s="36"/>
      <c r="E786" s="34"/>
      <c r="F786" s="38"/>
      <c r="G786" s="34"/>
      <c r="H786" s="34"/>
      <c r="I786" s="27"/>
      <c r="J786" s="27"/>
      <c r="K786" s="27"/>
      <c r="L786" s="27"/>
      <c r="M786" s="27"/>
      <c r="N786" s="27"/>
      <c r="O786" s="27"/>
      <c r="P786" s="27"/>
    </row>
    <row r="787">
      <c r="A787" s="27"/>
      <c r="B787" s="35"/>
      <c r="C787" s="27"/>
      <c r="D787" s="36"/>
      <c r="E787" s="34"/>
      <c r="F787" s="38"/>
      <c r="G787" s="34"/>
      <c r="H787" s="34"/>
      <c r="I787" s="27"/>
      <c r="J787" s="27"/>
      <c r="K787" s="27"/>
      <c r="L787" s="27"/>
      <c r="M787" s="27"/>
      <c r="N787" s="27"/>
      <c r="O787" s="27"/>
      <c r="P787" s="27"/>
    </row>
    <row r="788">
      <c r="A788" s="27"/>
      <c r="B788" s="35"/>
      <c r="C788" s="27"/>
      <c r="D788" s="36"/>
      <c r="E788" s="34"/>
      <c r="F788" s="38"/>
      <c r="G788" s="34"/>
      <c r="H788" s="34"/>
      <c r="I788" s="27"/>
      <c r="J788" s="27"/>
      <c r="K788" s="27"/>
      <c r="L788" s="27"/>
      <c r="M788" s="27"/>
      <c r="N788" s="27"/>
      <c r="O788" s="27"/>
      <c r="P788" s="27"/>
    </row>
    <row r="789">
      <c r="A789" s="27"/>
      <c r="B789" s="35"/>
      <c r="C789" s="27"/>
      <c r="D789" s="36"/>
      <c r="E789" s="34"/>
      <c r="F789" s="38"/>
      <c r="G789" s="34"/>
      <c r="H789" s="34"/>
      <c r="I789" s="27"/>
      <c r="J789" s="27"/>
      <c r="K789" s="27"/>
      <c r="L789" s="27"/>
      <c r="M789" s="27"/>
      <c r="N789" s="27"/>
      <c r="O789" s="27"/>
      <c r="P789" s="27"/>
    </row>
    <row r="790">
      <c r="A790" s="27"/>
      <c r="B790" s="35"/>
      <c r="C790" s="27"/>
      <c r="D790" s="36"/>
      <c r="E790" s="34"/>
      <c r="F790" s="38"/>
      <c r="G790" s="34"/>
      <c r="H790" s="34"/>
      <c r="I790" s="27"/>
      <c r="J790" s="27"/>
      <c r="K790" s="27"/>
      <c r="L790" s="27"/>
      <c r="M790" s="27"/>
      <c r="N790" s="27"/>
      <c r="O790" s="27"/>
      <c r="P790" s="27"/>
    </row>
    <row r="791">
      <c r="A791" s="27"/>
      <c r="B791" s="35"/>
      <c r="C791" s="27"/>
      <c r="D791" s="36"/>
      <c r="E791" s="34"/>
      <c r="F791" s="38"/>
      <c r="G791" s="34"/>
      <c r="H791" s="34"/>
      <c r="I791" s="27"/>
      <c r="J791" s="27"/>
      <c r="K791" s="27"/>
      <c r="L791" s="27"/>
      <c r="M791" s="27"/>
      <c r="N791" s="27"/>
      <c r="O791" s="27"/>
      <c r="P791" s="27"/>
    </row>
    <row r="792">
      <c r="A792" s="27"/>
      <c r="B792" s="35"/>
      <c r="C792" s="27"/>
      <c r="D792" s="36"/>
      <c r="E792" s="34"/>
      <c r="F792" s="38"/>
      <c r="G792" s="34"/>
      <c r="H792" s="34"/>
      <c r="I792" s="27"/>
      <c r="J792" s="27"/>
      <c r="K792" s="27"/>
      <c r="L792" s="27"/>
      <c r="M792" s="27"/>
      <c r="N792" s="27"/>
      <c r="O792" s="27"/>
      <c r="P792" s="27"/>
    </row>
    <row r="793">
      <c r="A793" s="27"/>
      <c r="B793" s="35"/>
      <c r="C793" s="27"/>
      <c r="D793" s="36"/>
      <c r="E793" s="34"/>
      <c r="F793" s="38"/>
      <c r="G793" s="34"/>
      <c r="H793" s="34"/>
      <c r="I793" s="27"/>
      <c r="J793" s="27"/>
      <c r="K793" s="27"/>
      <c r="L793" s="27"/>
      <c r="M793" s="27"/>
      <c r="N793" s="27"/>
      <c r="O793" s="27"/>
      <c r="P793" s="27"/>
    </row>
    <row r="794">
      <c r="A794" s="27"/>
      <c r="B794" s="35"/>
      <c r="C794" s="27"/>
      <c r="D794" s="36"/>
      <c r="E794" s="34"/>
      <c r="F794" s="38"/>
      <c r="G794" s="34"/>
      <c r="H794" s="34"/>
      <c r="I794" s="27"/>
      <c r="J794" s="27"/>
      <c r="K794" s="27"/>
      <c r="L794" s="27"/>
      <c r="M794" s="27"/>
      <c r="N794" s="27"/>
      <c r="O794" s="27"/>
      <c r="P794" s="27"/>
    </row>
    <row r="795">
      <c r="A795" s="27"/>
      <c r="B795" s="35"/>
      <c r="C795" s="27"/>
      <c r="D795" s="36"/>
      <c r="E795" s="34"/>
      <c r="F795" s="38"/>
      <c r="G795" s="34"/>
      <c r="H795" s="34"/>
      <c r="I795" s="27"/>
      <c r="J795" s="27"/>
      <c r="K795" s="27"/>
      <c r="L795" s="27"/>
      <c r="M795" s="27"/>
      <c r="N795" s="27"/>
      <c r="O795" s="27"/>
      <c r="P795" s="27"/>
    </row>
    <row r="796">
      <c r="A796" s="27"/>
      <c r="B796" s="35"/>
      <c r="C796" s="27"/>
      <c r="D796" s="36"/>
      <c r="E796" s="34"/>
      <c r="F796" s="38"/>
      <c r="G796" s="34"/>
      <c r="H796" s="34"/>
      <c r="I796" s="27"/>
      <c r="J796" s="27"/>
      <c r="K796" s="27"/>
      <c r="L796" s="27"/>
      <c r="M796" s="27"/>
      <c r="N796" s="27"/>
      <c r="O796" s="27"/>
      <c r="P796" s="27"/>
    </row>
    <row r="797">
      <c r="A797" s="27"/>
      <c r="B797" s="35"/>
      <c r="C797" s="27"/>
      <c r="D797" s="36"/>
      <c r="E797" s="34"/>
      <c r="F797" s="38"/>
      <c r="G797" s="34"/>
      <c r="H797" s="34"/>
      <c r="I797" s="27"/>
      <c r="J797" s="27"/>
      <c r="K797" s="27"/>
      <c r="L797" s="27"/>
      <c r="M797" s="27"/>
      <c r="N797" s="27"/>
      <c r="O797" s="27"/>
      <c r="P797" s="27"/>
    </row>
    <row r="798">
      <c r="A798" s="27"/>
      <c r="B798" s="35"/>
      <c r="C798" s="27"/>
      <c r="D798" s="36"/>
      <c r="E798" s="34"/>
      <c r="F798" s="38"/>
      <c r="G798" s="34"/>
      <c r="H798" s="34"/>
      <c r="I798" s="27"/>
      <c r="J798" s="27"/>
      <c r="K798" s="27"/>
      <c r="L798" s="27"/>
      <c r="M798" s="27"/>
      <c r="N798" s="27"/>
      <c r="O798" s="27"/>
      <c r="P798" s="27"/>
    </row>
    <row r="799">
      <c r="A799" s="27"/>
      <c r="B799" s="35"/>
      <c r="C799" s="27"/>
      <c r="D799" s="36"/>
      <c r="E799" s="34"/>
      <c r="F799" s="38"/>
      <c r="G799" s="34"/>
      <c r="H799" s="34"/>
      <c r="I799" s="27"/>
      <c r="J799" s="27"/>
      <c r="K799" s="27"/>
      <c r="L799" s="27"/>
      <c r="M799" s="27"/>
      <c r="N799" s="27"/>
      <c r="O799" s="27"/>
      <c r="P799" s="27"/>
    </row>
    <row r="800">
      <c r="A800" s="27"/>
      <c r="B800" s="35"/>
      <c r="C800" s="27"/>
      <c r="D800" s="36"/>
      <c r="E800" s="34"/>
      <c r="F800" s="38"/>
      <c r="G800" s="34"/>
      <c r="H800" s="34"/>
      <c r="I800" s="27"/>
      <c r="J800" s="27"/>
      <c r="K800" s="27"/>
      <c r="L800" s="27"/>
      <c r="M800" s="27"/>
      <c r="N800" s="27"/>
      <c r="O800" s="27"/>
      <c r="P800" s="27"/>
    </row>
    <row r="801">
      <c r="A801" s="27"/>
      <c r="B801" s="35"/>
      <c r="C801" s="27"/>
      <c r="D801" s="36"/>
      <c r="E801" s="34"/>
      <c r="F801" s="38"/>
      <c r="G801" s="34"/>
      <c r="H801" s="34"/>
      <c r="I801" s="27"/>
      <c r="J801" s="27"/>
      <c r="K801" s="27"/>
      <c r="L801" s="27"/>
      <c r="M801" s="27"/>
      <c r="N801" s="27"/>
      <c r="O801" s="27"/>
      <c r="P801" s="27"/>
    </row>
    <row r="802">
      <c r="A802" s="27"/>
      <c r="B802" s="35"/>
      <c r="C802" s="27"/>
      <c r="D802" s="36"/>
      <c r="E802" s="34"/>
      <c r="F802" s="38"/>
      <c r="G802" s="34"/>
      <c r="H802" s="34"/>
      <c r="I802" s="27"/>
      <c r="J802" s="27"/>
      <c r="K802" s="27"/>
      <c r="L802" s="27"/>
      <c r="M802" s="27"/>
      <c r="N802" s="27"/>
      <c r="O802" s="27"/>
      <c r="P802" s="27"/>
    </row>
    <row r="803">
      <c r="A803" s="27"/>
      <c r="B803" s="35"/>
      <c r="C803" s="27"/>
      <c r="D803" s="36"/>
      <c r="E803" s="34"/>
      <c r="F803" s="38"/>
      <c r="G803" s="34"/>
      <c r="H803" s="34"/>
      <c r="I803" s="27"/>
      <c r="J803" s="27"/>
      <c r="K803" s="27"/>
      <c r="L803" s="27"/>
      <c r="M803" s="27"/>
      <c r="N803" s="27"/>
      <c r="O803" s="27"/>
      <c r="P803" s="27"/>
    </row>
    <row r="804">
      <c r="A804" s="27"/>
      <c r="B804" s="35"/>
      <c r="C804" s="27"/>
      <c r="D804" s="36"/>
      <c r="E804" s="34"/>
      <c r="F804" s="38"/>
      <c r="G804" s="34"/>
      <c r="H804" s="34"/>
      <c r="I804" s="27"/>
      <c r="J804" s="27"/>
      <c r="K804" s="27"/>
      <c r="L804" s="27"/>
      <c r="M804" s="27"/>
      <c r="N804" s="27"/>
      <c r="O804" s="27"/>
      <c r="P804" s="27"/>
    </row>
    <row r="805">
      <c r="A805" s="27"/>
      <c r="B805" s="35"/>
      <c r="C805" s="27"/>
      <c r="D805" s="36"/>
      <c r="E805" s="34"/>
      <c r="F805" s="38"/>
      <c r="G805" s="34"/>
      <c r="H805" s="34"/>
      <c r="I805" s="27"/>
      <c r="J805" s="27"/>
      <c r="K805" s="27"/>
      <c r="L805" s="27"/>
      <c r="M805" s="27"/>
      <c r="N805" s="27"/>
      <c r="O805" s="27"/>
      <c r="P805" s="27"/>
    </row>
    <row r="806">
      <c r="A806" s="27"/>
      <c r="B806" s="35"/>
      <c r="C806" s="27"/>
      <c r="D806" s="36"/>
      <c r="E806" s="34"/>
      <c r="F806" s="38"/>
      <c r="G806" s="34"/>
      <c r="H806" s="34"/>
      <c r="I806" s="27"/>
      <c r="J806" s="27"/>
      <c r="K806" s="27"/>
      <c r="L806" s="27"/>
      <c r="M806" s="27"/>
      <c r="N806" s="27"/>
      <c r="O806" s="27"/>
      <c r="P806" s="27"/>
    </row>
    <row r="807">
      <c r="A807" s="27"/>
      <c r="B807" s="35"/>
      <c r="C807" s="27"/>
      <c r="D807" s="36"/>
      <c r="E807" s="34"/>
      <c r="F807" s="38"/>
      <c r="G807" s="34"/>
      <c r="H807" s="34"/>
      <c r="I807" s="27"/>
      <c r="J807" s="27"/>
      <c r="K807" s="27"/>
      <c r="L807" s="27"/>
      <c r="M807" s="27"/>
      <c r="N807" s="27"/>
      <c r="O807" s="27"/>
      <c r="P807" s="27"/>
    </row>
    <row r="808">
      <c r="A808" s="27"/>
      <c r="B808" s="35"/>
      <c r="C808" s="27"/>
      <c r="D808" s="36"/>
      <c r="E808" s="34"/>
      <c r="F808" s="38"/>
      <c r="G808" s="34"/>
      <c r="H808" s="34"/>
      <c r="I808" s="27"/>
      <c r="J808" s="27"/>
      <c r="K808" s="27"/>
      <c r="L808" s="27"/>
      <c r="M808" s="27"/>
      <c r="N808" s="27"/>
      <c r="O808" s="27"/>
      <c r="P808" s="27"/>
    </row>
    <row r="809">
      <c r="A809" s="27"/>
      <c r="B809" s="35"/>
      <c r="C809" s="27"/>
      <c r="D809" s="36"/>
      <c r="E809" s="34"/>
      <c r="F809" s="38"/>
      <c r="G809" s="34"/>
      <c r="H809" s="34"/>
      <c r="I809" s="27"/>
      <c r="J809" s="27"/>
      <c r="K809" s="27"/>
      <c r="L809" s="27"/>
      <c r="M809" s="27"/>
      <c r="N809" s="27"/>
      <c r="O809" s="27"/>
      <c r="P809" s="27"/>
    </row>
    <row r="810">
      <c r="A810" s="27"/>
      <c r="B810" s="35"/>
      <c r="C810" s="27"/>
      <c r="D810" s="36"/>
      <c r="E810" s="34"/>
      <c r="F810" s="38"/>
      <c r="G810" s="34"/>
      <c r="H810" s="34"/>
      <c r="I810" s="27"/>
      <c r="J810" s="27"/>
      <c r="K810" s="27"/>
      <c r="L810" s="27"/>
      <c r="M810" s="27"/>
      <c r="N810" s="27"/>
      <c r="O810" s="27"/>
      <c r="P810" s="27"/>
    </row>
    <row r="811">
      <c r="A811" s="27"/>
      <c r="B811" s="35"/>
      <c r="C811" s="27"/>
      <c r="D811" s="36"/>
      <c r="E811" s="34"/>
      <c r="F811" s="38"/>
      <c r="G811" s="34"/>
      <c r="H811" s="34"/>
      <c r="I811" s="27"/>
      <c r="J811" s="27"/>
      <c r="K811" s="27"/>
      <c r="L811" s="27"/>
      <c r="M811" s="27"/>
      <c r="N811" s="27"/>
      <c r="O811" s="27"/>
      <c r="P811" s="27"/>
    </row>
    <row r="812">
      <c r="A812" s="27"/>
      <c r="B812" s="35"/>
      <c r="C812" s="27"/>
      <c r="D812" s="36"/>
      <c r="E812" s="34"/>
      <c r="F812" s="38"/>
      <c r="G812" s="34"/>
      <c r="H812" s="34"/>
      <c r="I812" s="27"/>
      <c r="J812" s="27"/>
      <c r="K812" s="27"/>
      <c r="L812" s="27"/>
      <c r="M812" s="27"/>
      <c r="N812" s="27"/>
      <c r="O812" s="27"/>
      <c r="P812" s="27"/>
    </row>
    <row r="813">
      <c r="A813" s="27"/>
      <c r="B813" s="35"/>
      <c r="C813" s="27"/>
      <c r="D813" s="36"/>
      <c r="E813" s="34"/>
      <c r="F813" s="38"/>
      <c r="G813" s="34"/>
      <c r="H813" s="34"/>
      <c r="I813" s="27"/>
      <c r="J813" s="27"/>
      <c r="K813" s="27"/>
      <c r="L813" s="27"/>
      <c r="M813" s="27"/>
      <c r="N813" s="27"/>
      <c r="O813" s="27"/>
      <c r="P813" s="27"/>
    </row>
    <row r="814">
      <c r="A814" s="27"/>
      <c r="B814" s="35"/>
      <c r="C814" s="27"/>
      <c r="D814" s="36"/>
      <c r="E814" s="34"/>
      <c r="F814" s="38"/>
      <c r="G814" s="34"/>
      <c r="H814" s="34"/>
      <c r="I814" s="27"/>
      <c r="J814" s="27"/>
      <c r="K814" s="27"/>
      <c r="L814" s="27"/>
      <c r="M814" s="27"/>
      <c r="N814" s="27"/>
      <c r="O814" s="27"/>
      <c r="P814" s="27"/>
    </row>
    <row r="815">
      <c r="A815" s="27"/>
      <c r="B815" s="35"/>
      <c r="C815" s="27"/>
      <c r="D815" s="36"/>
      <c r="E815" s="34"/>
      <c r="F815" s="38"/>
      <c r="G815" s="34"/>
      <c r="H815" s="34"/>
      <c r="I815" s="27"/>
      <c r="J815" s="27"/>
      <c r="K815" s="27"/>
      <c r="L815" s="27"/>
      <c r="M815" s="27"/>
      <c r="N815" s="27"/>
      <c r="O815" s="27"/>
      <c r="P815" s="27"/>
    </row>
    <row r="816">
      <c r="A816" s="27"/>
      <c r="B816" s="35"/>
      <c r="C816" s="27"/>
      <c r="D816" s="36"/>
      <c r="E816" s="34"/>
      <c r="F816" s="38"/>
      <c r="G816" s="34"/>
      <c r="H816" s="34"/>
      <c r="I816" s="27"/>
      <c r="J816" s="27"/>
      <c r="K816" s="27"/>
      <c r="L816" s="27"/>
      <c r="M816" s="27"/>
      <c r="N816" s="27"/>
      <c r="O816" s="27"/>
      <c r="P816" s="27"/>
    </row>
    <row r="817">
      <c r="A817" s="27"/>
      <c r="B817" s="35"/>
      <c r="C817" s="27"/>
      <c r="D817" s="36"/>
      <c r="E817" s="34"/>
      <c r="F817" s="38"/>
      <c r="G817" s="34"/>
      <c r="H817" s="34"/>
      <c r="I817" s="27"/>
      <c r="J817" s="27"/>
      <c r="K817" s="27"/>
      <c r="L817" s="27"/>
      <c r="M817" s="27"/>
      <c r="N817" s="27"/>
      <c r="O817" s="27"/>
      <c r="P817" s="27"/>
    </row>
    <row r="818">
      <c r="A818" s="27"/>
      <c r="B818" s="35"/>
      <c r="C818" s="27"/>
      <c r="D818" s="36"/>
      <c r="E818" s="34"/>
      <c r="F818" s="38"/>
      <c r="G818" s="34"/>
      <c r="H818" s="34"/>
      <c r="I818" s="27"/>
      <c r="J818" s="27"/>
      <c r="K818" s="27"/>
      <c r="L818" s="27"/>
      <c r="M818" s="27"/>
      <c r="N818" s="27"/>
      <c r="O818" s="27"/>
      <c r="P818" s="27"/>
    </row>
    <row r="819">
      <c r="A819" s="27"/>
      <c r="B819" s="35"/>
      <c r="C819" s="27"/>
      <c r="D819" s="36"/>
      <c r="E819" s="34"/>
      <c r="F819" s="38"/>
      <c r="G819" s="34"/>
      <c r="H819" s="34"/>
      <c r="I819" s="27"/>
      <c r="J819" s="27"/>
      <c r="K819" s="27"/>
      <c r="L819" s="27"/>
      <c r="M819" s="27"/>
      <c r="N819" s="27"/>
      <c r="O819" s="27"/>
      <c r="P819" s="27"/>
    </row>
    <row r="820">
      <c r="A820" s="27"/>
      <c r="B820" s="35"/>
      <c r="C820" s="27"/>
      <c r="D820" s="36"/>
      <c r="E820" s="34"/>
      <c r="F820" s="38"/>
      <c r="G820" s="34"/>
      <c r="H820" s="34"/>
      <c r="I820" s="27"/>
      <c r="J820" s="27"/>
      <c r="K820" s="27"/>
      <c r="L820" s="27"/>
      <c r="M820" s="27"/>
      <c r="N820" s="27"/>
      <c r="O820" s="27"/>
      <c r="P820" s="27"/>
    </row>
    <row r="821">
      <c r="A821" s="27"/>
      <c r="B821" s="35"/>
      <c r="C821" s="27"/>
      <c r="D821" s="36"/>
      <c r="E821" s="34"/>
      <c r="F821" s="38"/>
      <c r="G821" s="34"/>
      <c r="H821" s="34"/>
      <c r="I821" s="27"/>
      <c r="J821" s="27"/>
      <c r="K821" s="27"/>
      <c r="L821" s="27"/>
      <c r="M821" s="27"/>
      <c r="N821" s="27"/>
      <c r="O821" s="27"/>
      <c r="P821" s="27"/>
    </row>
    <row r="822">
      <c r="A822" s="27"/>
      <c r="B822" s="35"/>
      <c r="C822" s="27"/>
      <c r="D822" s="36"/>
      <c r="E822" s="34"/>
      <c r="F822" s="38"/>
      <c r="G822" s="34"/>
      <c r="H822" s="34"/>
      <c r="I822" s="27"/>
      <c r="J822" s="27"/>
      <c r="K822" s="27"/>
      <c r="L822" s="27"/>
      <c r="M822" s="27"/>
      <c r="N822" s="27"/>
      <c r="O822" s="27"/>
      <c r="P822" s="27"/>
    </row>
    <row r="823">
      <c r="A823" s="27"/>
      <c r="B823" s="35"/>
      <c r="C823" s="27"/>
      <c r="D823" s="36"/>
      <c r="E823" s="34"/>
      <c r="F823" s="38"/>
      <c r="G823" s="34"/>
      <c r="H823" s="34"/>
      <c r="I823" s="27"/>
      <c r="J823" s="27"/>
      <c r="K823" s="27"/>
      <c r="L823" s="27"/>
      <c r="M823" s="27"/>
      <c r="N823" s="27"/>
      <c r="O823" s="27"/>
      <c r="P823" s="27"/>
    </row>
    <row r="824">
      <c r="A824" s="27"/>
      <c r="B824" s="35"/>
      <c r="C824" s="27"/>
      <c r="D824" s="36"/>
      <c r="E824" s="34"/>
      <c r="F824" s="38"/>
      <c r="G824" s="34"/>
      <c r="H824" s="34"/>
      <c r="I824" s="27"/>
      <c r="J824" s="27"/>
      <c r="K824" s="27"/>
      <c r="L824" s="27"/>
      <c r="M824" s="27"/>
      <c r="N824" s="27"/>
      <c r="O824" s="27"/>
      <c r="P824" s="27"/>
    </row>
    <row r="825">
      <c r="A825" s="27"/>
      <c r="B825" s="35"/>
      <c r="C825" s="27"/>
      <c r="D825" s="36"/>
      <c r="E825" s="34"/>
      <c r="F825" s="38"/>
      <c r="G825" s="34"/>
      <c r="H825" s="34"/>
      <c r="I825" s="27"/>
      <c r="J825" s="27"/>
      <c r="K825" s="27"/>
      <c r="L825" s="27"/>
      <c r="M825" s="27"/>
      <c r="N825" s="27"/>
      <c r="O825" s="27"/>
      <c r="P825" s="27"/>
    </row>
    <row r="826">
      <c r="A826" s="27"/>
      <c r="B826" s="35"/>
      <c r="C826" s="27"/>
      <c r="D826" s="36"/>
      <c r="E826" s="34"/>
      <c r="F826" s="38"/>
      <c r="G826" s="34"/>
      <c r="H826" s="34"/>
      <c r="I826" s="27"/>
      <c r="J826" s="27"/>
      <c r="K826" s="27"/>
      <c r="L826" s="27"/>
      <c r="M826" s="27"/>
      <c r="N826" s="27"/>
      <c r="O826" s="27"/>
      <c r="P826" s="27"/>
    </row>
    <row r="827">
      <c r="A827" s="27"/>
      <c r="B827" s="35"/>
      <c r="C827" s="27"/>
      <c r="D827" s="36"/>
      <c r="E827" s="34"/>
      <c r="F827" s="38"/>
      <c r="G827" s="34"/>
      <c r="H827" s="34"/>
      <c r="I827" s="27"/>
      <c r="J827" s="27"/>
      <c r="K827" s="27"/>
      <c r="L827" s="27"/>
      <c r="M827" s="27"/>
      <c r="N827" s="27"/>
      <c r="O827" s="27"/>
      <c r="P827" s="27"/>
    </row>
    <row r="828">
      <c r="A828" s="27"/>
      <c r="B828" s="35"/>
      <c r="C828" s="27"/>
      <c r="D828" s="36"/>
      <c r="E828" s="34"/>
      <c r="F828" s="38"/>
      <c r="G828" s="34"/>
      <c r="H828" s="34"/>
      <c r="I828" s="27"/>
      <c r="J828" s="27"/>
      <c r="K828" s="27"/>
      <c r="L828" s="27"/>
      <c r="M828" s="27"/>
      <c r="N828" s="27"/>
      <c r="O828" s="27"/>
      <c r="P828" s="27"/>
    </row>
    <row r="829">
      <c r="A829" s="27"/>
      <c r="B829" s="35"/>
      <c r="C829" s="27"/>
      <c r="D829" s="36"/>
      <c r="E829" s="34"/>
      <c r="F829" s="38"/>
      <c r="G829" s="34"/>
      <c r="H829" s="34"/>
      <c r="I829" s="27"/>
      <c r="J829" s="27"/>
      <c r="K829" s="27"/>
      <c r="L829" s="27"/>
      <c r="M829" s="27"/>
      <c r="N829" s="27"/>
      <c r="O829" s="27"/>
      <c r="P829" s="27"/>
    </row>
    <row r="830">
      <c r="A830" s="27"/>
      <c r="B830" s="35"/>
      <c r="C830" s="27"/>
      <c r="D830" s="36"/>
      <c r="E830" s="34"/>
      <c r="F830" s="38"/>
      <c r="G830" s="34"/>
      <c r="H830" s="34"/>
      <c r="I830" s="27"/>
      <c r="J830" s="27"/>
      <c r="K830" s="27"/>
      <c r="L830" s="27"/>
      <c r="M830" s="27"/>
      <c r="N830" s="27"/>
      <c r="O830" s="27"/>
      <c r="P830" s="27"/>
    </row>
    <row r="831">
      <c r="A831" s="27"/>
      <c r="B831" s="35"/>
      <c r="C831" s="27"/>
      <c r="D831" s="36"/>
      <c r="E831" s="34"/>
      <c r="F831" s="38"/>
      <c r="G831" s="34"/>
      <c r="H831" s="34"/>
      <c r="I831" s="27"/>
      <c r="J831" s="27"/>
      <c r="K831" s="27"/>
      <c r="L831" s="27"/>
      <c r="M831" s="27"/>
      <c r="N831" s="27"/>
      <c r="O831" s="27"/>
      <c r="P831" s="27"/>
    </row>
    <row r="832">
      <c r="A832" s="27"/>
      <c r="B832" s="35"/>
      <c r="C832" s="27"/>
      <c r="D832" s="36"/>
      <c r="E832" s="34"/>
      <c r="F832" s="38"/>
      <c r="G832" s="34"/>
      <c r="H832" s="34"/>
      <c r="I832" s="27"/>
      <c r="J832" s="27"/>
      <c r="K832" s="27"/>
      <c r="L832" s="27"/>
      <c r="M832" s="27"/>
      <c r="N832" s="27"/>
      <c r="O832" s="27"/>
      <c r="P832" s="27"/>
    </row>
    <row r="833">
      <c r="A833" s="27"/>
      <c r="B833" s="35"/>
      <c r="C833" s="27"/>
      <c r="D833" s="36"/>
      <c r="E833" s="34"/>
      <c r="F833" s="38"/>
      <c r="G833" s="34"/>
      <c r="H833" s="34"/>
      <c r="I833" s="27"/>
      <c r="J833" s="27"/>
      <c r="K833" s="27"/>
      <c r="L833" s="27"/>
      <c r="M833" s="27"/>
      <c r="N833" s="27"/>
      <c r="O833" s="27"/>
      <c r="P833" s="27"/>
    </row>
    <row r="834">
      <c r="A834" s="27"/>
      <c r="B834" s="35"/>
      <c r="C834" s="27"/>
      <c r="D834" s="36"/>
      <c r="E834" s="34"/>
      <c r="F834" s="38"/>
      <c r="G834" s="34"/>
      <c r="H834" s="34"/>
      <c r="I834" s="27"/>
      <c r="J834" s="27"/>
      <c r="K834" s="27"/>
      <c r="L834" s="27"/>
      <c r="M834" s="27"/>
      <c r="N834" s="27"/>
      <c r="O834" s="27"/>
      <c r="P834" s="27"/>
    </row>
    <row r="835">
      <c r="A835" s="27"/>
      <c r="B835" s="35"/>
      <c r="C835" s="27"/>
      <c r="D835" s="36"/>
      <c r="E835" s="34"/>
      <c r="F835" s="38"/>
      <c r="G835" s="34"/>
      <c r="H835" s="34"/>
      <c r="I835" s="27"/>
      <c r="J835" s="27"/>
      <c r="K835" s="27"/>
      <c r="L835" s="27"/>
      <c r="M835" s="27"/>
      <c r="N835" s="27"/>
      <c r="O835" s="27"/>
      <c r="P835" s="27"/>
    </row>
    <row r="836">
      <c r="A836" s="27"/>
      <c r="B836" s="35"/>
      <c r="C836" s="27"/>
      <c r="D836" s="36"/>
      <c r="E836" s="34"/>
      <c r="F836" s="38"/>
      <c r="G836" s="34"/>
      <c r="H836" s="34"/>
      <c r="I836" s="27"/>
      <c r="J836" s="27"/>
      <c r="K836" s="27"/>
      <c r="L836" s="27"/>
      <c r="M836" s="27"/>
      <c r="N836" s="27"/>
      <c r="O836" s="27"/>
      <c r="P836" s="27"/>
    </row>
    <row r="837">
      <c r="A837" s="27"/>
      <c r="B837" s="35"/>
      <c r="C837" s="27"/>
      <c r="D837" s="36"/>
      <c r="E837" s="34"/>
      <c r="F837" s="38"/>
      <c r="G837" s="34"/>
      <c r="H837" s="34"/>
      <c r="I837" s="27"/>
      <c r="J837" s="27"/>
      <c r="K837" s="27"/>
      <c r="L837" s="27"/>
      <c r="M837" s="27"/>
      <c r="N837" s="27"/>
      <c r="O837" s="27"/>
      <c r="P837" s="27"/>
    </row>
    <row r="838">
      <c r="A838" s="27"/>
      <c r="B838" s="35"/>
      <c r="C838" s="27"/>
      <c r="D838" s="36"/>
      <c r="E838" s="34"/>
      <c r="F838" s="38"/>
      <c r="G838" s="34"/>
      <c r="H838" s="34"/>
      <c r="I838" s="27"/>
      <c r="J838" s="27"/>
      <c r="K838" s="27"/>
      <c r="L838" s="27"/>
      <c r="M838" s="27"/>
      <c r="N838" s="27"/>
      <c r="O838" s="27"/>
      <c r="P838" s="27"/>
    </row>
    <row r="839">
      <c r="A839" s="27"/>
      <c r="B839" s="35"/>
      <c r="C839" s="27"/>
      <c r="D839" s="36"/>
      <c r="E839" s="34"/>
      <c r="F839" s="38"/>
      <c r="G839" s="34"/>
      <c r="H839" s="34"/>
      <c r="I839" s="27"/>
      <c r="J839" s="27"/>
      <c r="K839" s="27"/>
      <c r="L839" s="27"/>
      <c r="M839" s="27"/>
      <c r="N839" s="27"/>
      <c r="O839" s="27"/>
      <c r="P839" s="27"/>
    </row>
    <row r="840">
      <c r="A840" s="27"/>
      <c r="B840" s="35"/>
      <c r="C840" s="27"/>
      <c r="D840" s="36"/>
      <c r="E840" s="34"/>
      <c r="F840" s="38"/>
      <c r="G840" s="34"/>
      <c r="H840" s="34"/>
      <c r="I840" s="27"/>
      <c r="J840" s="27"/>
      <c r="K840" s="27"/>
      <c r="L840" s="27"/>
      <c r="M840" s="27"/>
      <c r="N840" s="27"/>
      <c r="O840" s="27"/>
      <c r="P840" s="27"/>
    </row>
    <row r="841">
      <c r="A841" s="27"/>
      <c r="B841" s="35"/>
      <c r="C841" s="27"/>
      <c r="D841" s="36"/>
      <c r="E841" s="34"/>
      <c r="F841" s="38"/>
      <c r="G841" s="34"/>
      <c r="H841" s="34"/>
      <c r="I841" s="27"/>
      <c r="J841" s="27"/>
      <c r="K841" s="27"/>
      <c r="L841" s="27"/>
      <c r="M841" s="27"/>
      <c r="N841" s="27"/>
      <c r="O841" s="27"/>
      <c r="P841" s="27"/>
    </row>
    <row r="842">
      <c r="A842" s="27"/>
      <c r="B842" s="35"/>
      <c r="C842" s="27"/>
      <c r="D842" s="36"/>
      <c r="E842" s="34"/>
      <c r="F842" s="38"/>
      <c r="G842" s="34"/>
      <c r="H842" s="34"/>
      <c r="I842" s="27"/>
      <c r="J842" s="27"/>
      <c r="K842" s="27"/>
      <c r="L842" s="27"/>
      <c r="M842" s="27"/>
      <c r="N842" s="27"/>
      <c r="O842" s="27"/>
      <c r="P842" s="27"/>
    </row>
    <row r="843">
      <c r="A843" s="27"/>
      <c r="B843" s="35"/>
      <c r="C843" s="27"/>
      <c r="D843" s="36"/>
      <c r="E843" s="34"/>
      <c r="F843" s="38"/>
      <c r="G843" s="34"/>
      <c r="H843" s="34"/>
      <c r="I843" s="27"/>
      <c r="J843" s="27"/>
      <c r="K843" s="27"/>
      <c r="L843" s="27"/>
      <c r="M843" s="27"/>
      <c r="N843" s="27"/>
      <c r="O843" s="27"/>
      <c r="P843" s="27"/>
    </row>
    <row r="844">
      <c r="A844" s="27"/>
      <c r="B844" s="35"/>
      <c r="C844" s="27"/>
      <c r="D844" s="36"/>
      <c r="E844" s="34"/>
      <c r="F844" s="38"/>
      <c r="G844" s="34"/>
      <c r="H844" s="34"/>
      <c r="I844" s="27"/>
      <c r="J844" s="27"/>
      <c r="K844" s="27"/>
      <c r="L844" s="27"/>
      <c r="M844" s="27"/>
      <c r="N844" s="27"/>
      <c r="O844" s="27"/>
      <c r="P844" s="27"/>
    </row>
    <row r="845">
      <c r="A845" s="27"/>
      <c r="B845" s="35"/>
      <c r="C845" s="27"/>
      <c r="D845" s="36"/>
      <c r="E845" s="34"/>
      <c r="F845" s="38"/>
      <c r="G845" s="34"/>
      <c r="H845" s="34"/>
      <c r="I845" s="27"/>
      <c r="J845" s="27"/>
      <c r="K845" s="27"/>
      <c r="L845" s="27"/>
      <c r="M845" s="27"/>
      <c r="N845" s="27"/>
      <c r="O845" s="27"/>
      <c r="P845" s="27"/>
    </row>
    <row r="846">
      <c r="A846" s="27"/>
      <c r="B846" s="35"/>
      <c r="C846" s="27"/>
      <c r="D846" s="36"/>
      <c r="E846" s="34"/>
      <c r="F846" s="38"/>
      <c r="G846" s="34"/>
      <c r="H846" s="34"/>
      <c r="I846" s="27"/>
      <c r="J846" s="27"/>
      <c r="K846" s="27"/>
      <c r="L846" s="27"/>
      <c r="M846" s="27"/>
      <c r="N846" s="27"/>
      <c r="O846" s="27"/>
      <c r="P846" s="27"/>
    </row>
    <row r="847">
      <c r="A847" s="27"/>
      <c r="B847" s="35"/>
      <c r="C847" s="27"/>
      <c r="D847" s="36"/>
      <c r="E847" s="34"/>
      <c r="F847" s="38"/>
      <c r="G847" s="34"/>
      <c r="H847" s="34"/>
      <c r="I847" s="27"/>
      <c r="J847" s="27"/>
      <c r="K847" s="27"/>
      <c r="L847" s="27"/>
      <c r="M847" s="27"/>
      <c r="N847" s="27"/>
      <c r="O847" s="27"/>
      <c r="P847" s="27"/>
    </row>
    <row r="848">
      <c r="A848" s="27"/>
      <c r="B848" s="35"/>
      <c r="C848" s="27"/>
      <c r="D848" s="36"/>
      <c r="E848" s="34"/>
      <c r="F848" s="38"/>
      <c r="G848" s="34"/>
      <c r="H848" s="34"/>
      <c r="I848" s="27"/>
      <c r="J848" s="27"/>
      <c r="K848" s="27"/>
      <c r="L848" s="27"/>
      <c r="M848" s="27"/>
      <c r="N848" s="27"/>
      <c r="O848" s="27"/>
      <c r="P848" s="27"/>
    </row>
    <row r="849">
      <c r="A849" s="27"/>
      <c r="B849" s="35"/>
      <c r="C849" s="27"/>
      <c r="D849" s="36"/>
      <c r="E849" s="34"/>
      <c r="F849" s="38"/>
      <c r="G849" s="34"/>
      <c r="H849" s="34"/>
      <c r="I849" s="27"/>
      <c r="J849" s="27"/>
      <c r="K849" s="27"/>
      <c r="L849" s="27"/>
      <c r="M849" s="27"/>
      <c r="N849" s="27"/>
      <c r="O849" s="27"/>
      <c r="P849" s="27"/>
    </row>
    <row r="850">
      <c r="A850" s="27"/>
      <c r="B850" s="35"/>
      <c r="C850" s="27"/>
      <c r="D850" s="36"/>
      <c r="E850" s="34"/>
      <c r="F850" s="38"/>
      <c r="G850" s="34"/>
      <c r="H850" s="34"/>
      <c r="I850" s="27"/>
      <c r="J850" s="27"/>
      <c r="K850" s="27"/>
      <c r="L850" s="27"/>
      <c r="M850" s="27"/>
      <c r="N850" s="27"/>
      <c r="O850" s="27"/>
      <c r="P850" s="27"/>
    </row>
    <row r="851">
      <c r="A851" s="27"/>
      <c r="B851" s="35"/>
      <c r="C851" s="27"/>
      <c r="D851" s="36"/>
      <c r="E851" s="34"/>
      <c r="F851" s="38"/>
      <c r="G851" s="34"/>
      <c r="H851" s="34"/>
      <c r="I851" s="27"/>
      <c r="J851" s="27"/>
      <c r="K851" s="27"/>
      <c r="L851" s="27"/>
      <c r="M851" s="27"/>
      <c r="N851" s="27"/>
      <c r="O851" s="27"/>
      <c r="P851" s="27"/>
    </row>
    <row r="852">
      <c r="A852" s="27"/>
      <c r="B852" s="35"/>
      <c r="C852" s="27"/>
      <c r="D852" s="36"/>
      <c r="E852" s="34"/>
      <c r="F852" s="38"/>
      <c r="G852" s="34"/>
      <c r="H852" s="34"/>
      <c r="I852" s="27"/>
      <c r="J852" s="27"/>
      <c r="K852" s="27"/>
      <c r="L852" s="27"/>
      <c r="M852" s="27"/>
      <c r="N852" s="27"/>
      <c r="O852" s="27"/>
      <c r="P852" s="27"/>
    </row>
    <row r="853">
      <c r="A853" s="27"/>
      <c r="B853" s="35"/>
      <c r="C853" s="27"/>
      <c r="D853" s="36"/>
      <c r="E853" s="34"/>
      <c r="F853" s="38"/>
      <c r="G853" s="34"/>
      <c r="H853" s="34"/>
      <c r="I853" s="27"/>
      <c r="J853" s="27"/>
      <c r="K853" s="27"/>
      <c r="L853" s="27"/>
      <c r="M853" s="27"/>
      <c r="N853" s="27"/>
      <c r="O853" s="27"/>
      <c r="P853" s="27"/>
    </row>
    <row r="854">
      <c r="A854" s="27"/>
      <c r="B854" s="35"/>
      <c r="C854" s="27"/>
      <c r="D854" s="36"/>
      <c r="E854" s="34"/>
      <c r="F854" s="38"/>
      <c r="G854" s="34"/>
      <c r="H854" s="34"/>
      <c r="I854" s="27"/>
      <c r="J854" s="27"/>
      <c r="K854" s="27"/>
      <c r="L854" s="27"/>
      <c r="M854" s="27"/>
      <c r="N854" s="27"/>
      <c r="O854" s="27"/>
      <c r="P854" s="27"/>
    </row>
    <row r="855">
      <c r="A855" s="27"/>
      <c r="B855" s="35"/>
      <c r="C855" s="27"/>
      <c r="D855" s="36"/>
      <c r="E855" s="34"/>
      <c r="F855" s="38"/>
      <c r="G855" s="34"/>
      <c r="H855" s="34"/>
      <c r="I855" s="27"/>
      <c r="J855" s="27"/>
      <c r="K855" s="27"/>
      <c r="L855" s="27"/>
      <c r="M855" s="27"/>
      <c r="N855" s="27"/>
      <c r="O855" s="27"/>
      <c r="P855" s="27"/>
    </row>
    <row r="856">
      <c r="A856" s="27"/>
      <c r="B856" s="35"/>
      <c r="C856" s="27"/>
      <c r="D856" s="36"/>
      <c r="E856" s="34"/>
      <c r="F856" s="38"/>
      <c r="G856" s="34"/>
      <c r="H856" s="34"/>
      <c r="I856" s="27"/>
      <c r="J856" s="27"/>
      <c r="K856" s="27"/>
      <c r="L856" s="27"/>
      <c r="M856" s="27"/>
      <c r="N856" s="27"/>
      <c r="O856" s="27"/>
      <c r="P856" s="27"/>
    </row>
    <row r="857">
      <c r="A857" s="27"/>
      <c r="B857" s="35"/>
      <c r="C857" s="27"/>
      <c r="D857" s="36"/>
      <c r="E857" s="34"/>
      <c r="F857" s="38"/>
      <c r="G857" s="34"/>
      <c r="H857" s="34"/>
      <c r="I857" s="27"/>
      <c r="J857" s="27"/>
      <c r="K857" s="27"/>
      <c r="L857" s="27"/>
      <c r="M857" s="27"/>
      <c r="N857" s="27"/>
      <c r="O857" s="27"/>
      <c r="P857" s="27"/>
    </row>
    <row r="858">
      <c r="A858" s="27"/>
      <c r="B858" s="35"/>
      <c r="C858" s="27"/>
      <c r="D858" s="36"/>
      <c r="E858" s="34"/>
      <c r="F858" s="38"/>
      <c r="G858" s="34"/>
      <c r="H858" s="34"/>
      <c r="I858" s="27"/>
      <c r="J858" s="27"/>
      <c r="K858" s="27"/>
      <c r="L858" s="27"/>
      <c r="M858" s="27"/>
      <c r="N858" s="27"/>
      <c r="O858" s="27"/>
      <c r="P858" s="27"/>
    </row>
    <row r="859">
      <c r="A859" s="27"/>
      <c r="B859" s="35"/>
      <c r="C859" s="27"/>
      <c r="D859" s="36"/>
      <c r="E859" s="34"/>
      <c r="F859" s="38"/>
      <c r="G859" s="34"/>
      <c r="H859" s="34"/>
      <c r="I859" s="27"/>
      <c r="J859" s="27"/>
      <c r="K859" s="27"/>
      <c r="L859" s="27"/>
      <c r="M859" s="27"/>
      <c r="N859" s="27"/>
      <c r="O859" s="27"/>
      <c r="P859" s="27"/>
    </row>
    <row r="860">
      <c r="A860" s="27"/>
      <c r="B860" s="35"/>
      <c r="C860" s="27"/>
      <c r="D860" s="36"/>
      <c r="E860" s="34"/>
      <c r="F860" s="38"/>
      <c r="G860" s="34"/>
      <c r="H860" s="34"/>
      <c r="I860" s="27"/>
      <c r="J860" s="27"/>
      <c r="K860" s="27"/>
      <c r="L860" s="27"/>
      <c r="M860" s="27"/>
      <c r="N860" s="27"/>
      <c r="O860" s="27"/>
      <c r="P860" s="27"/>
    </row>
    <row r="861">
      <c r="A861" s="27"/>
      <c r="B861" s="35"/>
      <c r="C861" s="27"/>
      <c r="D861" s="36"/>
      <c r="E861" s="34"/>
      <c r="F861" s="38"/>
      <c r="G861" s="34"/>
      <c r="H861" s="34"/>
      <c r="I861" s="27"/>
      <c r="J861" s="27"/>
      <c r="K861" s="27"/>
      <c r="L861" s="27"/>
      <c r="M861" s="27"/>
      <c r="N861" s="27"/>
      <c r="O861" s="27"/>
      <c r="P861" s="27"/>
    </row>
    <row r="862">
      <c r="A862" s="27"/>
      <c r="B862" s="35"/>
      <c r="C862" s="27"/>
      <c r="D862" s="36"/>
      <c r="E862" s="34"/>
      <c r="F862" s="38"/>
      <c r="G862" s="34"/>
      <c r="H862" s="34"/>
      <c r="I862" s="27"/>
      <c r="J862" s="27"/>
      <c r="K862" s="27"/>
      <c r="L862" s="27"/>
      <c r="M862" s="27"/>
      <c r="N862" s="27"/>
      <c r="O862" s="27"/>
      <c r="P862" s="27"/>
    </row>
    <row r="863">
      <c r="A863" s="27"/>
      <c r="B863" s="35"/>
      <c r="C863" s="27"/>
      <c r="D863" s="36"/>
      <c r="E863" s="34"/>
      <c r="F863" s="38"/>
      <c r="G863" s="34"/>
      <c r="H863" s="34"/>
      <c r="I863" s="27"/>
      <c r="J863" s="27"/>
      <c r="K863" s="27"/>
      <c r="L863" s="27"/>
      <c r="M863" s="27"/>
      <c r="N863" s="27"/>
      <c r="O863" s="27"/>
      <c r="P863" s="27"/>
    </row>
    <row r="864">
      <c r="A864" s="27"/>
      <c r="B864" s="35"/>
      <c r="C864" s="27"/>
      <c r="D864" s="36"/>
      <c r="E864" s="34"/>
      <c r="F864" s="38"/>
      <c r="G864" s="34"/>
      <c r="H864" s="34"/>
      <c r="I864" s="27"/>
      <c r="J864" s="27"/>
      <c r="K864" s="27"/>
      <c r="L864" s="27"/>
      <c r="M864" s="27"/>
      <c r="N864" s="27"/>
      <c r="O864" s="27"/>
      <c r="P864" s="27"/>
    </row>
    <row r="865">
      <c r="A865" s="27"/>
      <c r="B865" s="35"/>
      <c r="C865" s="27"/>
      <c r="D865" s="36"/>
      <c r="E865" s="34"/>
      <c r="F865" s="38"/>
      <c r="G865" s="34"/>
      <c r="H865" s="34"/>
      <c r="I865" s="27"/>
      <c r="J865" s="27"/>
      <c r="K865" s="27"/>
      <c r="L865" s="27"/>
      <c r="M865" s="27"/>
      <c r="N865" s="27"/>
      <c r="O865" s="27"/>
      <c r="P865" s="27"/>
    </row>
    <row r="866">
      <c r="A866" s="27"/>
      <c r="B866" s="35"/>
      <c r="C866" s="27"/>
      <c r="D866" s="36"/>
      <c r="E866" s="34"/>
      <c r="F866" s="38"/>
      <c r="G866" s="34"/>
      <c r="H866" s="34"/>
      <c r="I866" s="27"/>
      <c r="J866" s="27"/>
      <c r="K866" s="27"/>
      <c r="L866" s="27"/>
      <c r="M866" s="27"/>
      <c r="N866" s="27"/>
      <c r="O866" s="27"/>
      <c r="P866" s="27"/>
    </row>
    <row r="867">
      <c r="A867" s="27"/>
      <c r="B867" s="35"/>
      <c r="C867" s="27"/>
      <c r="D867" s="36"/>
      <c r="E867" s="34"/>
      <c r="F867" s="38"/>
      <c r="G867" s="34"/>
      <c r="H867" s="34"/>
      <c r="I867" s="27"/>
      <c r="J867" s="27"/>
      <c r="K867" s="27"/>
      <c r="L867" s="27"/>
      <c r="M867" s="27"/>
      <c r="N867" s="27"/>
      <c r="O867" s="27"/>
      <c r="P867" s="27"/>
    </row>
    <row r="868">
      <c r="A868" s="27"/>
      <c r="B868" s="35"/>
      <c r="C868" s="27"/>
      <c r="D868" s="36"/>
      <c r="E868" s="34"/>
      <c r="F868" s="38"/>
      <c r="G868" s="34"/>
      <c r="H868" s="34"/>
      <c r="I868" s="27"/>
      <c r="J868" s="27"/>
      <c r="K868" s="27"/>
      <c r="L868" s="27"/>
      <c r="M868" s="27"/>
      <c r="N868" s="27"/>
      <c r="O868" s="27"/>
      <c r="P868" s="27"/>
    </row>
    <row r="869">
      <c r="A869" s="27"/>
      <c r="B869" s="35"/>
      <c r="C869" s="27"/>
      <c r="D869" s="36"/>
      <c r="E869" s="34"/>
      <c r="F869" s="38"/>
      <c r="G869" s="34"/>
      <c r="H869" s="34"/>
      <c r="I869" s="27"/>
      <c r="J869" s="27"/>
      <c r="K869" s="27"/>
      <c r="L869" s="27"/>
      <c r="M869" s="27"/>
      <c r="N869" s="27"/>
      <c r="O869" s="27"/>
      <c r="P869" s="27"/>
    </row>
    <row r="870">
      <c r="A870" s="27"/>
      <c r="B870" s="35"/>
      <c r="C870" s="27"/>
      <c r="D870" s="36"/>
      <c r="E870" s="34"/>
      <c r="F870" s="38"/>
      <c r="G870" s="34"/>
      <c r="H870" s="34"/>
      <c r="I870" s="27"/>
      <c r="J870" s="27"/>
      <c r="K870" s="27"/>
      <c r="L870" s="27"/>
      <c r="M870" s="27"/>
      <c r="N870" s="27"/>
      <c r="O870" s="27"/>
      <c r="P870" s="27"/>
    </row>
    <row r="871">
      <c r="A871" s="27"/>
      <c r="B871" s="35"/>
      <c r="C871" s="27"/>
      <c r="D871" s="36"/>
      <c r="E871" s="34"/>
      <c r="F871" s="38"/>
      <c r="G871" s="34"/>
      <c r="H871" s="34"/>
      <c r="I871" s="27"/>
      <c r="J871" s="27"/>
      <c r="K871" s="27"/>
      <c r="L871" s="27"/>
      <c r="M871" s="27"/>
      <c r="N871" s="27"/>
      <c r="O871" s="27"/>
      <c r="P871" s="27"/>
    </row>
    <row r="872">
      <c r="A872" s="27"/>
      <c r="B872" s="35"/>
      <c r="C872" s="27"/>
      <c r="D872" s="36"/>
      <c r="E872" s="34"/>
      <c r="F872" s="38"/>
      <c r="G872" s="34"/>
      <c r="H872" s="34"/>
      <c r="I872" s="27"/>
      <c r="J872" s="27"/>
      <c r="K872" s="27"/>
      <c r="L872" s="27"/>
      <c r="M872" s="27"/>
      <c r="N872" s="27"/>
      <c r="O872" s="27"/>
      <c r="P872" s="27"/>
    </row>
    <row r="873">
      <c r="A873" s="27"/>
      <c r="B873" s="35"/>
      <c r="C873" s="27"/>
      <c r="D873" s="36"/>
      <c r="E873" s="34"/>
      <c r="F873" s="38"/>
      <c r="G873" s="34"/>
      <c r="H873" s="34"/>
      <c r="I873" s="27"/>
      <c r="J873" s="27"/>
      <c r="K873" s="27"/>
      <c r="L873" s="27"/>
      <c r="M873" s="27"/>
      <c r="N873" s="27"/>
      <c r="O873" s="27"/>
      <c r="P873" s="27"/>
    </row>
    <row r="874">
      <c r="A874" s="27"/>
      <c r="B874" s="35"/>
      <c r="C874" s="27"/>
      <c r="D874" s="36"/>
      <c r="E874" s="34"/>
      <c r="F874" s="38"/>
      <c r="G874" s="34"/>
      <c r="H874" s="34"/>
      <c r="I874" s="27"/>
      <c r="J874" s="27"/>
      <c r="K874" s="27"/>
      <c r="L874" s="27"/>
      <c r="M874" s="27"/>
      <c r="N874" s="27"/>
      <c r="O874" s="27"/>
      <c r="P874" s="27"/>
    </row>
    <row r="875">
      <c r="A875" s="27"/>
      <c r="B875" s="35"/>
      <c r="C875" s="27"/>
      <c r="D875" s="36"/>
      <c r="E875" s="34"/>
      <c r="F875" s="38"/>
      <c r="G875" s="34"/>
      <c r="H875" s="34"/>
      <c r="I875" s="27"/>
      <c r="J875" s="27"/>
      <c r="K875" s="27"/>
      <c r="L875" s="27"/>
      <c r="M875" s="27"/>
      <c r="N875" s="27"/>
      <c r="O875" s="27"/>
      <c r="P875" s="27"/>
    </row>
    <row r="876">
      <c r="A876" s="27"/>
      <c r="B876" s="35"/>
      <c r="C876" s="27"/>
      <c r="D876" s="36"/>
      <c r="E876" s="34"/>
      <c r="F876" s="38"/>
      <c r="G876" s="34"/>
      <c r="H876" s="34"/>
      <c r="I876" s="27"/>
      <c r="J876" s="27"/>
      <c r="K876" s="27"/>
      <c r="L876" s="27"/>
      <c r="M876" s="27"/>
      <c r="N876" s="27"/>
      <c r="O876" s="27"/>
      <c r="P876" s="27"/>
    </row>
    <row r="877">
      <c r="A877" s="27"/>
      <c r="B877" s="35"/>
      <c r="C877" s="27"/>
      <c r="D877" s="36"/>
      <c r="E877" s="34"/>
      <c r="F877" s="38"/>
      <c r="G877" s="34"/>
      <c r="H877" s="34"/>
      <c r="I877" s="27"/>
      <c r="J877" s="27"/>
      <c r="K877" s="27"/>
      <c r="L877" s="27"/>
      <c r="M877" s="27"/>
      <c r="N877" s="27"/>
      <c r="O877" s="27"/>
      <c r="P877" s="27"/>
    </row>
    <row r="878">
      <c r="A878" s="27"/>
      <c r="B878" s="35"/>
      <c r="C878" s="27"/>
      <c r="D878" s="36"/>
      <c r="E878" s="34"/>
      <c r="F878" s="38"/>
      <c r="G878" s="34"/>
      <c r="H878" s="34"/>
      <c r="I878" s="27"/>
      <c r="J878" s="27"/>
      <c r="K878" s="27"/>
      <c r="L878" s="27"/>
      <c r="M878" s="27"/>
      <c r="N878" s="27"/>
      <c r="O878" s="27"/>
      <c r="P878" s="27"/>
    </row>
    <row r="879">
      <c r="B879" s="40"/>
      <c r="D879" s="45"/>
      <c r="E879" s="43"/>
      <c r="F879" s="42"/>
      <c r="G879" s="43"/>
      <c r="H879" s="43"/>
    </row>
    <row r="880">
      <c r="B880" s="40"/>
      <c r="D880" s="45"/>
      <c r="E880" s="43"/>
      <c r="F880" s="42"/>
      <c r="G880" s="43"/>
      <c r="H880" s="43"/>
    </row>
    <row r="881">
      <c r="B881" s="40"/>
      <c r="D881" s="45"/>
      <c r="E881" s="43"/>
      <c r="F881" s="42"/>
      <c r="G881" s="43"/>
      <c r="H881" s="43"/>
    </row>
    <row r="882">
      <c r="B882" s="40"/>
      <c r="D882" s="45"/>
      <c r="E882" s="43"/>
      <c r="F882" s="42"/>
      <c r="G882" s="43"/>
      <c r="H882" s="43"/>
    </row>
    <row r="883">
      <c r="B883" s="40"/>
      <c r="D883" s="45"/>
      <c r="E883" s="43"/>
      <c r="F883" s="42"/>
      <c r="G883" s="43"/>
      <c r="H883" s="43"/>
    </row>
    <row r="884">
      <c r="B884" s="40"/>
      <c r="D884" s="45"/>
      <c r="E884" s="43"/>
      <c r="F884" s="42"/>
      <c r="G884" s="43"/>
      <c r="H884" s="43"/>
    </row>
    <row r="885">
      <c r="B885" s="40"/>
      <c r="D885" s="45"/>
      <c r="E885" s="43"/>
      <c r="F885" s="42"/>
      <c r="G885" s="43"/>
      <c r="H885" s="43"/>
    </row>
    <row r="886">
      <c r="B886" s="40"/>
      <c r="D886" s="45"/>
      <c r="E886" s="43"/>
      <c r="F886" s="42"/>
      <c r="G886" s="43"/>
      <c r="H886" s="43"/>
    </row>
    <row r="887">
      <c r="B887" s="40"/>
      <c r="D887" s="45"/>
      <c r="E887" s="43"/>
      <c r="F887" s="42"/>
      <c r="G887" s="43"/>
      <c r="H887" s="43"/>
    </row>
    <row r="888">
      <c r="B888" s="40"/>
      <c r="D888" s="45"/>
      <c r="E888" s="43"/>
      <c r="F888" s="42"/>
      <c r="G888" s="43"/>
      <c r="H888" s="43"/>
    </row>
    <row r="889">
      <c r="B889" s="40"/>
      <c r="D889" s="45"/>
      <c r="E889" s="43"/>
      <c r="F889" s="42"/>
      <c r="G889" s="43"/>
      <c r="H889" s="43"/>
    </row>
    <row r="890">
      <c r="B890" s="40"/>
      <c r="D890" s="45"/>
      <c r="E890" s="43"/>
      <c r="F890" s="42"/>
      <c r="G890" s="43"/>
      <c r="H890" s="43"/>
    </row>
    <row r="891">
      <c r="B891" s="40"/>
      <c r="D891" s="45"/>
      <c r="E891" s="43"/>
      <c r="F891" s="42"/>
      <c r="G891" s="43"/>
      <c r="H891" s="43"/>
    </row>
    <row r="892">
      <c r="B892" s="40"/>
      <c r="D892" s="45"/>
      <c r="E892" s="43"/>
      <c r="F892" s="42"/>
      <c r="G892" s="43"/>
      <c r="H892" s="43"/>
    </row>
    <row r="893">
      <c r="B893" s="40"/>
      <c r="D893" s="45"/>
      <c r="E893" s="43"/>
      <c r="F893" s="42"/>
      <c r="G893" s="43"/>
      <c r="H893" s="43"/>
    </row>
    <row r="894">
      <c r="B894" s="40"/>
      <c r="D894" s="45"/>
      <c r="E894" s="43"/>
      <c r="F894" s="42"/>
      <c r="G894" s="43"/>
      <c r="H894" s="43"/>
    </row>
    <row r="895">
      <c r="B895" s="40"/>
      <c r="D895" s="45"/>
      <c r="E895" s="43"/>
      <c r="F895" s="42"/>
      <c r="G895" s="43"/>
      <c r="H895" s="43"/>
    </row>
    <row r="896">
      <c r="B896" s="40"/>
      <c r="D896" s="45"/>
      <c r="E896" s="43"/>
      <c r="F896" s="42"/>
      <c r="G896" s="43"/>
      <c r="H896" s="43"/>
    </row>
    <row r="897">
      <c r="B897" s="40"/>
      <c r="D897" s="45"/>
      <c r="E897" s="43"/>
      <c r="F897" s="42"/>
      <c r="G897" s="43"/>
      <c r="H897" s="43"/>
    </row>
    <row r="898">
      <c r="B898" s="40"/>
      <c r="D898" s="45"/>
      <c r="E898" s="43"/>
      <c r="F898" s="42"/>
      <c r="G898" s="43"/>
      <c r="H898" s="43"/>
    </row>
    <row r="899">
      <c r="B899" s="40"/>
      <c r="D899" s="45"/>
      <c r="E899" s="43"/>
      <c r="F899" s="42"/>
      <c r="G899" s="43"/>
      <c r="H899" s="43"/>
    </row>
    <row r="900">
      <c r="B900" s="40"/>
      <c r="D900" s="45"/>
      <c r="E900" s="43"/>
      <c r="F900" s="42"/>
      <c r="G900" s="43"/>
      <c r="H900" s="43"/>
    </row>
    <row r="901">
      <c r="B901" s="40"/>
      <c r="D901" s="45"/>
      <c r="E901" s="43"/>
      <c r="F901" s="42"/>
      <c r="G901" s="43"/>
      <c r="H901" s="43"/>
    </row>
    <row r="902">
      <c r="B902" s="40"/>
      <c r="D902" s="45"/>
      <c r="E902" s="43"/>
      <c r="F902" s="42"/>
      <c r="G902" s="43"/>
      <c r="H902" s="43"/>
    </row>
    <row r="903">
      <c r="B903" s="40"/>
      <c r="D903" s="45"/>
      <c r="E903" s="43"/>
      <c r="F903" s="42"/>
      <c r="G903" s="43"/>
      <c r="H903" s="43"/>
    </row>
    <row r="904">
      <c r="B904" s="40"/>
      <c r="D904" s="45"/>
      <c r="E904" s="43"/>
      <c r="F904" s="42"/>
      <c r="G904" s="43"/>
      <c r="H904" s="43"/>
    </row>
    <row r="905">
      <c r="B905" s="40"/>
      <c r="D905" s="45"/>
      <c r="E905" s="43"/>
      <c r="F905" s="42"/>
      <c r="G905" s="43"/>
      <c r="H905" s="43"/>
    </row>
    <row r="906">
      <c r="B906" s="40"/>
      <c r="D906" s="45"/>
      <c r="E906" s="43"/>
      <c r="F906" s="42"/>
      <c r="G906" s="43"/>
      <c r="H906" s="43"/>
    </row>
    <row r="907">
      <c r="B907" s="40"/>
      <c r="D907" s="45"/>
      <c r="E907" s="43"/>
      <c r="F907" s="42"/>
      <c r="G907" s="43"/>
      <c r="H907" s="43"/>
    </row>
    <row r="908">
      <c r="B908" s="40"/>
      <c r="D908" s="45"/>
      <c r="E908" s="43"/>
      <c r="F908" s="42"/>
      <c r="G908" s="43"/>
      <c r="H908" s="43"/>
    </row>
    <row r="909">
      <c r="B909" s="40"/>
      <c r="D909" s="45"/>
      <c r="E909" s="43"/>
      <c r="F909" s="42"/>
      <c r="G909" s="43"/>
      <c r="H909" s="43"/>
    </row>
    <row r="910">
      <c r="B910" s="40"/>
      <c r="D910" s="45"/>
      <c r="E910" s="43"/>
      <c r="F910" s="42"/>
      <c r="G910" s="43"/>
      <c r="H910" s="43"/>
    </row>
    <row r="911">
      <c r="B911" s="40"/>
      <c r="D911" s="45"/>
      <c r="E911" s="43"/>
      <c r="F911" s="42"/>
      <c r="G911" s="43"/>
      <c r="H911" s="43"/>
    </row>
    <row r="912">
      <c r="B912" s="40"/>
      <c r="D912" s="45"/>
      <c r="E912" s="43"/>
      <c r="F912" s="42"/>
      <c r="G912" s="43"/>
      <c r="H912" s="43"/>
    </row>
    <row r="913">
      <c r="B913" s="40"/>
      <c r="D913" s="45"/>
      <c r="E913" s="43"/>
      <c r="F913" s="42"/>
      <c r="G913" s="43"/>
      <c r="H913" s="43"/>
    </row>
    <row r="914">
      <c r="B914" s="40"/>
      <c r="D914" s="45"/>
      <c r="E914" s="43"/>
      <c r="F914" s="42"/>
      <c r="G914" s="43"/>
      <c r="H914" s="43"/>
    </row>
    <row r="915">
      <c r="B915" s="40"/>
      <c r="D915" s="45"/>
      <c r="E915" s="43"/>
      <c r="F915" s="42"/>
      <c r="G915" s="43"/>
      <c r="H915" s="43"/>
    </row>
    <row r="916">
      <c r="B916" s="40"/>
      <c r="D916" s="45"/>
      <c r="E916" s="43"/>
      <c r="F916" s="42"/>
      <c r="G916" s="43"/>
      <c r="H916" s="43"/>
    </row>
    <row r="917">
      <c r="B917" s="40"/>
      <c r="D917" s="45"/>
      <c r="E917" s="43"/>
      <c r="F917" s="42"/>
      <c r="G917" s="43"/>
      <c r="H917" s="43"/>
    </row>
    <row r="918">
      <c r="B918" s="40"/>
      <c r="D918" s="45"/>
      <c r="E918" s="43"/>
      <c r="F918" s="42"/>
      <c r="G918" s="43"/>
      <c r="H918" s="43"/>
    </row>
    <row r="919">
      <c r="B919" s="40"/>
      <c r="D919" s="45"/>
      <c r="E919" s="43"/>
      <c r="F919" s="42"/>
      <c r="G919" s="43"/>
      <c r="H919" s="43"/>
    </row>
    <row r="920">
      <c r="B920" s="40"/>
      <c r="D920" s="45"/>
      <c r="E920" s="43"/>
      <c r="F920" s="42"/>
      <c r="G920" s="43"/>
      <c r="H920" s="43"/>
    </row>
    <row r="921">
      <c r="B921" s="40"/>
      <c r="D921" s="45"/>
      <c r="E921" s="43"/>
      <c r="F921" s="42"/>
      <c r="G921" s="43"/>
      <c r="H921" s="43"/>
    </row>
    <row r="922">
      <c r="B922" s="40"/>
      <c r="D922" s="45"/>
      <c r="E922" s="43"/>
      <c r="F922" s="42"/>
      <c r="G922" s="43"/>
      <c r="H922" s="43"/>
    </row>
    <row r="923">
      <c r="B923" s="40"/>
      <c r="D923" s="45"/>
      <c r="E923" s="43"/>
      <c r="F923" s="42"/>
      <c r="G923" s="43"/>
      <c r="H923" s="43"/>
    </row>
    <row r="924">
      <c r="B924" s="40"/>
      <c r="D924" s="45"/>
      <c r="E924" s="43"/>
      <c r="F924" s="42"/>
      <c r="G924" s="43"/>
      <c r="H924" s="43"/>
    </row>
    <row r="925">
      <c r="B925" s="40"/>
      <c r="D925" s="45"/>
      <c r="E925" s="43"/>
      <c r="F925" s="42"/>
      <c r="G925" s="43"/>
      <c r="H925" s="43"/>
    </row>
    <row r="926">
      <c r="B926" s="40"/>
      <c r="D926" s="45"/>
      <c r="E926" s="43"/>
      <c r="F926" s="42"/>
      <c r="G926" s="43"/>
      <c r="H926" s="43"/>
    </row>
    <row r="927">
      <c r="B927" s="40"/>
      <c r="D927" s="45"/>
      <c r="E927" s="43"/>
      <c r="F927" s="42"/>
      <c r="G927" s="43"/>
      <c r="H927" s="43"/>
    </row>
    <row r="928">
      <c r="B928" s="40"/>
      <c r="D928" s="45"/>
      <c r="E928" s="43"/>
      <c r="F928" s="42"/>
      <c r="G928" s="43"/>
      <c r="H928" s="43"/>
    </row>
    <row r="929">
      <c r="B929" s="40"/>
      <c r="D929" s="45"/>
      <c r="E929" s="43"/>
      <c r="F929" s="42"/>
      <c r="G929" s="43"/>
      <c r="H929" s="43"/>
    </row>
    <row r="930">
      <c r="B930" s="40"/>
      <c r="D930" s="45"/>
      <c r="E930" s="43"/>
      <c r="F930" s="42"/>
      <c r="G930" s="43"/>
      <c r="H930" s="43"/>
    </row>
    <row r="931">
      <c r="B931" s="40"/>
      <c r="D931" s="45"/>
      <c r="E931" s="43"/>
      <c r="F931" s="42"/>
      <c r="G931" s="43"/>
      <c r="H931" s="43"/>
    </row>
    <row r="932">
      <c r="B932" s="40"/>
      <c r="D932" s="45"/>
      <c r="E932" s="43"/>
      <c r="F932" s="42"/>
      <c r="G932" s="43"/>
      <c r="H932" s="43"/>
    </row>
    <row r="933">
      <c r="B933" s="40"/>
      <c r="D933" s="45"/>
      <c r="E933" s="43"/>
      <c r="F933" s="42"/>
      <c r="G933" s="43"/>
      <c r="H933" s="43"/>
    </row>
    <row r="934">
      <c r="B934" s="40"/>
      <c r="D934" s="45"/>
      <c r="E934" s="43"/>
      <c r="F934" s="42"/>
      <c r="G934" s="43"/>
      <c r="H934" s="43"/>
    </row>
    <row r="935">
      <c r="B935" s="40"/>
      <c r="D935" s="45"/>
      <c r="E935" s="43"/>
      <c r="F935" s="42"/>
      <c r="G935" s="43"/>
      <c r="H935" s="43"/>
    </row>
    <row r="936">
      <c r="B936" s="40"/>
      <c r="D936" s="45"/>
      <c r="E936" s="43"/>
      <c r="F936" s="42"/>
      <c r="G936" s="43"/>
      <c r="H936" s="43"/>
    </row>
    <row r="937">
      <c r="B937" s="40"/>
      <c r="D937" s="45"/>
      <c r="E937" s="43"/>
      <c r="F937" s="42"/>
      <c r="G937" s="43"/>
      <c r="H937" s="43"/>
    </row>
    <row r="938">
      <c r="B938" s="40"/>
      <c r="D938" s="45"/>
      <c r="E938" s="43"/>
      <c r="F938" s="42"/>
      <c r="G938" s="43"/>
      <c r="H938" s="43"/>
    </row>
    <row r="939">
      <c r="B939" s="40"/>
      <c r="D939" s="45"/>
      <c r="E939" s="43"/>
      <c r="F939" s="42"/>
      <c r="G939" s="43"/>
      <c r="H939" s="43"/>
    </row>
    <row r="940">
      <c r="B940" s="40"/>
      <c r="D940" s="45"/>
      <c r="E940" s="43"/>
      <c r="F940" s="42"/>
      <c r="G940" s="43"/>
      <c r="H940" s="43"/>
    </row>
    <row r="941">
      <c r="B941" s="40"/>
      <c r="D941" s="45"/>
      <c r="E941" s="43"/>
      <c r="F941" s="42"/>
      <c r="G941" s="43"/>
      <c r="H941" s="43"/>
    </row>
    <row r="942">
      <c r="B942" s="40"/>
      <c r="D942" s="45"/>
      <c r="E942" s="43"/>
      <c r="F942" s="42"/>
      <c r="G942" s="43"/>
      <c r="H942" s="43"/>
    </row>
    <row r="943">
      <c r="B943" s="40"/>
      <c r="D943" s="45"/>
      <c r="E943" s="43"/>
      <c r="F943" s="42"/>
      <c r="G943" s="43"/>
      <c r="H943" s="43"/>
    </row>
    <row r="944">
      <c r="B944" s="40"/>
      <c r="D944" s="45"/>
      <c r="E944" s="43"/>
      <c r="F944" s="42"/>
      <c r="G944" s="43"/>
      <c r="H944" s="43"/>
    </row>
    <row r="945">
      <c r="B945" s="40"/>
      <c r="D945" s="45"/>
      <c r="E945" s="43"/>
      <c r="F945" s="42"/>
      <c r="G945" s="43"/>
      <c r="H945" s="43"/>
    </row>
    <row r="946">
      <c r="B946" s="40"/>
      <c r="D946" s="45"/>
      <c r="E946" s="43"/>
      <c r="F946" s="42"/>
      <c r="G946" s="43"/>
      <c r="H946" s="43"/>
    </row>
    <row r="947">
      <c r="B947" s="40"/>
      <c r="D947" s="45"/>
      <c r="E947" s="43"/>
      <c r="F947" s="42"/>
      <c r="G947" s="43"/>
      <c r="H947" s="43"/>
    </row>
    <row r="948">
      <c r="B948" s="40"/>
      <c r="D948" s="45"/>
      <c r="E948" s="43"/>
      <c r="F948" s="42"/>
      <c r="G948" s="43"/>
      <c r="H948" s="43"/>
    </row>
    <row r="949">
      <c r="B949" s="40"/>
      <c r="D949" s="45"/>
      <c r="E949" s="43"/>
      <c r="F949" s="42"/>
      <c r="G949" s="43"/>
      <c r="H949" s="43"/>
    </row>
    <row r="950">
      <c r="B950" s="40"/>
      <c r="D950" s="45"/>
      <c r="E950" s="43"/>
      <c r="F950" s="42"/>
      <c r="G950" s="43"/>
      <c r="H950" s="43"/>
    </row>
    <row r="951">
      <c r="B951" s="40"/>
      <c r="D951" s="45"/>
      <c r="E951" s="43"/>
      <c r="F951" s="42"/>
      <c r="G951" s="43"/>
      <c r="H951" s="43"/>
    </row>
    <row r="952">
      <c r="B952" s="40"/>
      <c r="D952" s="45"/>
      <c r="E952" s="43"/>
      <c r="F952" s="42"/>
      <c r="G952" s="43"/>
      <c r="H952" s="43"/>
    </row>
    <row r="953">
      <c r="B953" s="40"/>
      <c r="D953" s="45"/>
      <c r="E953" s="43"/>
      <c r="F953" s="42"/>
      <c r="G953" s="43"/>
      <c r="H953" s="43"/>
    </row>
    <row r="954">
      <c r="B954" s="40"/>
      <c r="D954" s="45"/>
      <c r="E954" s="43"/>
      <c r="F954" s="42"/>
      <c r="G954" s="43"/>
      <c r="H954" s="43"/>
    </row>
    <row r="955">
      <c r="B955" s="40"/>
      <c r="D955" s="45"/>
      <c r="E955" s="43"/>
      <c r="F955" s="42"/>
      <c r="G955" s="43"/>
      <c r="H955" s="43"/>
    </row>
    <row r="956">
      <c r="B956" s="40"/>
      <c r="D956" s="45"/>
      <c r="E956" s="43"/>
      <c r="F956" s="42"/>
      <c r="G956" s="43"/>
      <c r="H956" s="43"/>
    </row>
    <row r="957">
      <c r="B957" s="40"/>
      <c r="D957" s="45"/>
      <c r="E957" s="43"/>
      <c r="F957" s="42"/>
      <c r="G957" s="43"/>
      <c r="H957" s="43"/>
    </row>
    <row r="958">
      <c r="B958" s="40"/>
      <c r="D958" s="45"/>
      <c r="E958" s="43"/>
      <c r="F958" s="42"/>
      <c r="G958" s="43"/>
      <c r="H958" s="43"/>
    </row>
    <row r="959">
      <c r="B959" s="40"/>
      <c r="D959" s="45"/>
      <c r="E959" s="43"/>
      <c r="F959" s="42"/>
      <c r="G959" s="43"/>
      <c r="H959" s="43"/>
    </row>
    <row r="960">
      <c r="B960" s="40"/>
      <c r="D960" s="45"/>
      <c r="E960" s="43"/>
      <c r="F960" s="42"/>
      <c r="G960" s="43"/>
      <c r="H960" s="43"/>
    </row>
    <row r="961">
      <c r="B961" s="40"/>
      <c r="D961" s="45"/>
      <c r="E961" s="43"/>
      <c r="F961" s="42"/>
      <c r="G961" s="43"/>
      <c r="H961" s="43"/>
    </row>
    <row r="962">
      <c r="B962" s="40"/>
      <c r="D962" s="45"/>
      <c r="E962" s="43"/>
      <c r="F962" s="42"/>
      <c r="G962" s="43"/>
      <c r="H962" s="43"/>
    </row>
    <row r="963">
      <c r="B963" s="40"/>
      <c r="D963" s="45"/>
      <c r="E963" s="43"/>
      <c r="F963" s="42"/>
      <c r="G963" s="43"/>
      <c r="H963" s="43"/>
    </row>
    <row r="964">
      <c r="B964" s="40"/>
      <c r="D964" s="45"/>
      <c r="E964" s="43"/>
      <c r="F964" s="42"/>
      <c r="G964" s="43"/>
      <c r="H964" s="43"/>
    </row>
    <row r="965">
      <c r="B965" s="40"/>
      <c r="D965" s="45"/>
      <c r="E965" s="43"/>
      <c r="F965" s="42"/>
      <c r="G965" s="43"/>
      <c r="H965" s="43"/>
    </row>
    <row r="966">
      <c r="B966" s="40"/>
      <c r="D966" s="45"/>
      <c r="E966" s="43"/>
      <c r="F966" s="42"/>
      <c r="G966" s="43"/>
      <c r="H966" s="43"/>
    </row>
    <row r="967">
      <c r="B967" s="40"/>
      <c r="D967" s="45"/>
      <c r="E967" s="43"/>
      <c r="F967" s="42"/>
      <c r="G967" s="43"/>
      <c r="H967" s="43"/>
    </row>
    <row r="968">
      <c r="B968" s="40"/>
      <c r="D968" s="45"/>
      <c r="E968" s="43"/>
      <c r="F968" s="42"/>
      <c r="G968" s="43"/>
      <c r="H968" s="43"/>
    </row>
    <row r="969">
      <c r="B969" s="40"/>
      <c r="D969" s="45"/>
      <c r="E969" s="43"/>
      <c r="F969" s="42"/>
      <c r="G969" s="43"/>
      <c r="H969" s="43"/>
    </row>
    <row r="970">
      <c r="B970" s="40"/>
      <c r="D970" s="45"/>
      <c r="E970" s="43"/>
      <c r="F970" s="42"/>
      <c r="G970" s="43"/>
      <c r="H970" s="43"/>
    </row>
    <row r="971">
      <c r="B971" s="40"/>
      <c r="D971" s="45"/>
      <c r="E971" s="43"/>
      <c r="F971" s="42"/>
      <c r="G971" s="43"/>
      <c r="H971" s="43"/>
    </row>
    <row r="972">
      <c r="B972" s="40"/>
      <c r="D972" s="45"/>
      <c r="E972" s="43"/>
      <c r="F972" s="42"/>
      <c r="G972" s="43"/>
      <c r="H972" s="43"/>
    </row>
    <row r="973">
      <c r="B973" s="40"/>
      <c r="D973" s="45"/>
      <c r="E973" s="43"/>
      <c r="F973" s="42"/>
      <c r="G973" s="43"/>
      <c r="H973" s="43"/>
    </row>
    <row r="974">
      <c r="B974" s="40"/>
      <c r="D974" s="45"/>
      <c r="E974" s="43"/>
      <c r="F974" s="42"/>
      <c r="G974" s="43"/>
      <c r="H974" s="43"/>
    </row>
    <row r="975">
      <c r="B975" s="40"/>
      <c r="D975" s="45"/>
      <c r="E975" s="43"/>
      <c r="F975" s="42"/>
      <c r="G975" s="43"/>
      <c r="H975" s="43"/>
    </row>
    <row r="976">
      <c r="B976" s="40"/>
      <c r="D976" s="45"/>
      <c r="E976" s="43"/>
      <c r="F976" s="42"/>
      <c r="G976" s="43"/>
      <c r="H976" s="43"/>
    </row>
    <row r="977">
      <c r="B977" s="40"/>
      <c r="D977" s="45"/>
      <c r="E977" s="43"/>
      <c r="F977" s="42"/>
      <c r="G977" s="43"/>
      <c r="H977" s="43"/>
    </row>
    <row r="978">
      <c r="B978" s="40"/>
      <c r="D978" s="45"/>
      <c r="E978" s="43"/>
      <c r="F978" s="42"/>
      <c r="G978" s="43"/>
      <c r="H978" s="43"/>
    </row>
    <row r="979">
      <c r="B979" s="40"/>
      <c r="D979" s="45"/>
      <c r="E979" s="43"/>
      <c r="F979" s="42"/>
      <c r="G979" s="43"/>
      <c r="H979" s="43"/>
    </row>
    <row r="980">
      <c r="B980" s="40"/>
      <c r="D980" s="45"/>
      <c r="E980" s="43"/>
      <c r="F980" s="42"/>
      <c r="G980" s="43"/>
      <c r="H980" s="43"/>
    </row>
    <row r="981">
      <c r="B981" s="40"/>
      <c r="D981" s="45"/>
      <c r="E981" s="43"/>
      <c r="F981" s="42"/>
      <c r="G981" s="43"/>
      <c r="H981" s="43"/>
    </row>
    <row r="982">
      <c r="B982" s="40"/>
      <c r="D982" s="45"/>
      <c r="E982" s="43"/>
      <c r="F982" s="42"/>
      <c r="G982" s="43"/>
      <c r="H982" s="43"/>
    </row>
    <row r="983">
      <c r="B983" s="40"/>
      <c r="D983" s="45"/>
      <c r="E983" s="43"/>
      <c r="F983" s="42"/>
      <c r="G983" s="43"/>
      <c r="H983" s="43"/>
    </row>
    <row r="984">
      <c r="B984" s="40"/>
      <c r="D984" s="45"/>
      <c r="E984" s="43"/>
      <c r="F984" s="42"/>
      <c r="G984" s="43"/>
      <c r="H984" s="43"/>
    </row>
    <row r="985">
      <c r="B985" s="40"/>
      <c r="D985" s="45"/>
      <c r="E985" s="43"/>
      <c r="F985" s="42"/>
      <c r="G985" s="43"/>
      <c r="H985" s="43"/>
    </row>
    <row r="986">
      <c r="B986" s="40"/>
      <c r="D986" s="45"/>
      <c r="E986" s="43"/>
      <c r="F986" s="42"/>
      <c r="G986" s="43"/>
      <c r="H986" s="43"/>
    </row>
    <row r="987">
      <c r="B987" s="40"/>
      <c r="D987" s="45"/>
      <c r="E987" s="43"/>
      <c r="F987" s="42"/>
      <c r="G987" s="43"/>
      <c r="H987" s="43"/>
    </row>
    <row r="988">
      <c r="B988" s="40"/>
      <c r="D988" s="45"/>
      <c r="E988" s="43"/>
      <c r="F988" s="42"/>
      <c r="G988" s="43"/>
      <c r="H988" s="43"/>
    </row>
    <row r="989">
      <c r="B989" s="40"/>
      <c r="D989" s="45"/>
      <c r="E989" s="43"/>
      <c r="F989" s="42"/>
      <c r="G989" s="43"/>
      <c r="H989" s="43"/>
    </row>
    <row r="990">
      <c r="B990" s="40"/>
      <c r="D990" s="45"/>
      <c r="E990" s="43"/>
      <c r="F990" s="42"/>
      <c r="G990" s="43"/>
      <c r="H990" s="43"/>
    </row>
    <row r="991">
      <c r="B991" s="40"/>
      <c r="D991" s="45"/>
      <c r="E991" s="43"/>
      <c r="F991" s="42"/>
      <c r="G991" s="43"/>
      <c r="H991" s="43"/>
    </row>
    <row r="992">
      <c r="B992" s="40"/>
      <c r="D992" s="45"/>
      <c r="E992" s="43"/>
      <c r="F992" s="42"/>
      <c r="G992" s="43"/>
      <c r="H992" s="43"/>
    </row>
    <row r="993">
      <c r="B993" s="40"/>
      <c r="D993" s="45"/>
      <c r="E993" s="43"/>
      <c r="F993" s="42"/>
      <c r="G993" s="43"/>
      <c r="H993" s="43"/>
    </row>
    <row r="994">
      <c r="B994" s="40"/>
      <c r="D994" s="45"/>
      <c r="E994" s="43"/>
      <c r="F994" s="42"/>
      <c r="G994" s="43"/>
      <c r="H994" s="43"/>
    </row>
    <row r="995">
      <c r="B995" s="40"/>
      <c r="D995" s="45"/>
      <c r="E995" s="43"/>
      <c r="F995" s="42"/>
      <c r="G995" s="43"/>
      <c r="H995" s="43"/>
    </row>
    <row r="996">
      <c r="B996" s="40"/>
      <c r="D996" s="45"/>
      <c r="E996" s="43"/>
      <c r="F996" s="42"/>
      <c r="G996" s="43"/>
      <c r="H996" s="43"/>
    </row>
    <row r="997">
      <c r="B997" s="40"/>
      <c r="D997" s="45"/>
      <c r="E997" s="43"/>
      <c r="F997" s="42"/>
      <c r="G997" s="43"/>
      <c r="H997" s="43"/>
    </row>
    <row r="998">
      <c r="B998" s="40"/>
      <c r="D998" s="45"/>
      <c r="E998" s="43"/>
      <c r="F998" s="42"/>
      <c r="G998" s="43"/>
      <c r="H998" s="43"/>
    </row>
    <row r="999">
      <c r="B999" s="40"/>
      <c r="D999" s="45"/>
      <c r="E999" s="43"/>
      <c r="F999" s="42"/>
      <c r="G999" s="43"/>
      <c r="H999" s="43"/>
    </row>
    <row r="1000">
      <c r="B1000" s="40"/>
      <c r="D1000" s="45"/>
      <c r="E1000" s="43"/>
      <c r="F1000" s="42"/>
      <c r="G1000" s="43"/>
      <c r="H1000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1" t="s">
        <v>8</v>
      </c>
    </row>
    <row r="2">
      <c r="A2" s="9">
        <v>45986.0</v>
      </c>
      <c r="B2" s="2"/>
      <c r="C2" s="1"/>
      <c r="D2" s="14"/>
      <c r="E2" s="11">
        <f t="shared" ref="E2:E85" si="1">IF(ISBLANK(A2), "",B2*C2)</f>
        <v>0</v>
      </c>
      <c r="F2" s="10" t="str">
        <f t="shared" ref="F2:F76" si="2">IF(D2=0, "", (E2-D2))</f>
        <v/>
      </c>
      <c r="G2" s="5"/>
      <c r="H2" s="5">
        <v>77783.0</v>
      </c>
      <c r="I2" s="8"/>
      <c r="J2" s="27"/>
      <c r="K2" s="27"/>
      <c r="L2" s="27"/>
      <c r="M2" s="27"/>
      <c r="N2" s="27"/>
      <c r="O2" s="27"/>
      <c r="P2" s="27"/>
    </row>
    <row r="3">
      <c r="A3" s="9">
        <v>45986.0</v>
      </c>
      <c r="B3" s="2">
        <v>3000.0</v>
      </c>
      <c r="C3" s="1">
        <v>4.53</v>
      </c>
      <c r="D3" s="14"/>
      <c r="E3" s="11">
        <f t="shared" si="1"/>
        <v>13590</v>
      </c>
      <c r="F3" s="10" t="str">
        <f t="shared" si="2"/>
        <v/>
      </c>
      <c r="G3" s="5"/>
      <c r="H3" s="11">
        <f t="shared" ref="H3:H92" si="3">IF(ISBLANK(A3), "", H2 + E3 - G3)</f>
        <v>91373</v>
      </c>
      <c r="I3" s="8"/>
      <c r="J3" s="27"/>
      <c r="K3" s="27"/>
      <c r="L3" s="27"/>
      <c r="M3" s="27"/>
      <c r="N3" s="27"/>
      <c r="O3" s="27"/>
      <c r="P3" s="27"/>
    </row>
    <row r="4">
      <c r="A4" s="9">
        <v>45986.0</v>
      </c>
      <c r="B4" s="2">
        <v>2500.0</v>
      </c>
      <c r="C4" s="1">
        <v>4.53</v>
      </c>
      <c r="D4" s="14"/>
      <c r="E4" s="11">
        <f t="shared" si="1"/>
        <v>11325</v>
      </c>
      <c r="F4" s="10" t="str">
        <f t="shared" si="2"/>
        <v/>
      </c>
      <c r="G4" s="5"/>
      <c r="H4" s="11">
        <f t="shared" si="3"/>
        <v>102698</v>
      </c>
      <c r="I4" s="8"/>
      <c r="J4" s="27"/>
      <c r="K4" s="27"/>
      <c r="L4" s="27"/>
      <c r="M4" s="27"/>
      <c r="N4" s="27"/>
      <c r="O4" s="27"/>
      <c r="P4" s="27"/>
    </row>
    <row r="5">
      <c r="A5" s="9">
        <v>45986.0</v>
      </c>
      <c r="B5" s="2">
        <v>3880.0</v>
      </c>
      <c r="C5" s="1">
        <v>4.53</v>
      </c>
      <c r="D5" s="14"/>
      <c r="E5" s="11">
        <f t="shared" si="1"/>
        <v>17576.4</v>
      </c>
      <c r="F5" s="10" t="str">
        <f t="shared" si="2"/>
        <v/>
      </c>
      <c r="G5" s="11"/>
      <c r="H5" s="11">
        <f t="shared" si="3"/>
        <v>120274.4</v>
      </c>
      <c r="I5" s="8"/>
      <c r="J5" s="27"/>
      <c r="K5" s="27"/>
      <c r="L5" s="27"/>
      <c r="M5" s="27"/>
      <c r="N5" s="27"/>
      <c r="O5" s="27"/>
      <c r="P5" s="27"/>
    </row>
    <row r="6">
      <c r="A6" s="9">
        <v>45988.0</v>
      </c>
      <c r="B6" s="2">
        <v>6189.0</v>
      </c>
      <c r="C6" s="1">
        <v>4.53</v>
      </c>
      <c r="D6" s="14"/>
      <c r="E6" s="11">
        <f t="shared" si="1"/>
        <v>28036.17</v>
      </c>
      <c r="F6" s="10" t="str">
        <f t="shared" si="2"/>
        <v/>
      </c>
      <c r="G6" s="11"/>
      <c r="H6" s="11">
        <f t="shared" si="3"/>
        <v>148310.57</v>
      </c>
      <c r="I6" s="8"/>
      <c r="J6" s="27"/>
      <c r="K6" s="27"/>
      <c r="L6" s="27"/>
      <c r="M6" s="27"/>
      <c r="N6" s="27"/>
      <c r="O6" s="27"/>
      <c r="P6" s="27"/>
    </row>
    <row r="7">
      <c r="A7" s="9">
        <v>45988.0</v>
      </c>
      <c r="B7" s="2">
        <v>26999.0</v>
      </c>
      <c r="C7" s="1">
        <v>4.53</v>
      </c>
      <c r="D7" s="14"/>
      <c r="E7" s="11">
        <f t="shared" si="1"/>
        <v>122305.47</v>
      </c>
      <c r="F7" s="10" t="str">
        <f t="shared" si="2"/>
        <v/>
      </c>
      <c r="G7" s="11"/>
      <c r="H7" s="11">
        <f t="shared" si="3"/>
        <v>270616.04</v>
      </c>
      <c r="I7" s="8"/>
      <c r="J7" s="27"/>
      <c r="K7" s="27"/>
      <c r="L7" s="27"/>
      <c r="M7" s="27"/>
      <c r="N7" s="27"/>
      <c r="O7" s="27"/>
      <c r="P7" s="27"/>
    </row>
    <row r="8">
      <c r="A8" s="9">
        <v>45990.0</v>
      </c>
      <c r="B8" s="13"/>
      <c r="C8" s="1"/>
      <c r="D8" s="1"/>
      <c r="E8" s="11">
        <f t="shared" si="1"/>
        <v>0</v>
      </c>
      <c r="F8" s="10" t="str">
        <f t="shared" si="2"/>
        <v/>
      </c>
      <c r="G8" s="5">
        <v>10000.0</v>
      </c>
      <c r="H8" s="11">
        <f t="shared" si="3"/>
        <v>260616.04</v>
      </c>
      <c r="I8" s="5" t="s">
        <v>10</v>
      </c>
      <c r="J8" s="29"/>
      <c r="K8" s="27"/>
      <c r="L8" s="27"/>
      <c r="M8" s="27"/>
      <c r="N8" s="27"/>
      <c r="O8" s="27"/>
      <c r="P8" s="27"/>
    </row>
    <row r="9">
      <c r="A9" s="9">
        <v>45990.0</v>
      </c>
      <c r="B9" s="2">
        <v>5680.0</v>
      </c>
      <c r="C9" s="1">
        <v>4.54</v>
      </c>
      <c r="D9" s="14"/>
      <c r="E9" s="11">
        <f t="shared" si="1"/>
        <v>25787.2</v>
      </c>
      <c r="F9" s="10" t="str">
        <f t="shared" si="2"/>
        <v/>
      </c>
      <c r="G9" s="11"/>
      <c r="H9" s="11">
        <f t="shared" si="3"/>
        <v>286403.24</v>
      </c>
      <c r="I9" s="8"/>
      <c r="J9" s="27"/>
      <c r="K9" s="27"/>
      <c r="L9" s="27"/>
      <c r="M9" s="27"/>
      <c r="N9" s="27"/>
      <c r="O9" s="27"/>
      <c r="P9" s="27"/>
    </row>
    <row r="10">
      <c r="A10" s="9">
        <v>45992.0</v>
      </c>
      <c r="B10" s="2">
        <v>6255.0</v>
      </c>
      <c r="C10" s="1">
        <v>4.55</v>
      </c>
      <c r="D10" s="14"/>
      <c r="E10" s="11">
        <f t="shared" si="1"/>
        <v>28460.25</v>
      </c>
      <c r="F10" s="10" t="str">
        <f t="shared" si="2"/>
        <v/>
      </c>
      <c r="G10" s="11"/>
      <c r="H10" s="11">
        <f t="shared" si="3"/>
        <v>314863.49</v>
      </c>
      <c r="I10" s="8"/>
      <c r="J10" s="27"/>
      <c r="K10" s="27"/>
      <c r="L10" s="27"/>
      <c r="M10" s="27"/>
      <c r="N10" s="27"/>
      <c r="O10" s="27"/>
      <c r="P10" s="27"/>
    </row>
    <row r="11">
      <c r="A11" s="9">
        <v>45993.0</v>
      </c>
      <c r="B11" s="2">
        <v>7999.0</v>
      </c>
      <c r="C11" s="1">
        <v>4.55</v>
      </c>
      <c r="D11" s="14"/>
      <c r="E11" s="11">
        <f t="shared" si="1"/>
        <v>36395.45</v>
      </c>
      <c r="F11" s="10" t="str">
        <f t="shared" si="2"/>
        <v/>
      </c>
      <c r="G11" s="11"/>
      <c r="H11" s="11">
        <f t="shared" si="3"/>
        <v>351258.94</v>
      </c>
      <c r="I11" s="8"/>
      <c r="J11" s="27"/>
      <c r="K11" s="27"/>
      <c r="L11" s="27"/>
      <c r="M11" s="27"/>
      <c r="N11" s="27"/>
      <c r="O11" s="27"/>
      <c r="P11" s="27"/>
    </row>
    <row r="12">
      <c r="A12" s="9">
        <v>45993.0</v>
      </c>
      <c r="B12" s="2">
        <v>2000.0</v>
      </c>
      <c r="C12" s="1">
        <v>4.55</v>
      </c>
      <c r="D12" s="14"/>
      <c r="E12" s="11">
        <f t="shared" si="1"/>
        <v>9100</v>
      </c>
      <c r="F12" s="10" t="str">
        <f t="shared" si="2"/>
        <v/>
      </c>
      <c r="G12" s="11"/>
      <c r="H12" s="11">
        <f t="shared" si="3"/>
        <v>360358.94</v>
      </c>
      <c r="I12" s="8"/>
      <c r="J12" s="27"/>
      <c r="K12" s="27"/>
      <c r="L12" s="27"/>
      <c r="M12" s="27"/>
      <c r="N12" s="27"/>
      <c r="O12" s="27"/>
      <c r="P12" s="27"/>
    </row>
    <row r="13">
      <c r="A13" s="9">
        <v>45996.0</v>
      </c>
      <c r="B13" s="13"/>
      <c r="C13" s="8"/>
      <c r="D13" s="1"/>
      <c r="E13" s="11">
        <f t="shared" si="1"/>
        <v>0</v>
      </c>
      <c r="F13" s="10" t="str">
        <f t="shared" si="2"/>
        <v/>
      </c>
      <c r="G13" s="5">
        <v>260000.0</v>
      </c>
      <c r="H13" s="11">
        <f t="shared" si="3"/>
        <v>100358.94</v>
      </c>
      <c r="I13" s="1" t="s">
        <v>15</v>
      </c>
      <c r="J13" s="27"/>
      <c r="K13" s="27"/>
      <c r="L13" s="27"/>
      <c r="M13" s="27"/>
      <c r="N13" s="27"/>
      <c r="O13" s="27"/>
      <c r="P13" s="27"/>
    </row>
    <row r="14">
      <c r="A14" s="9">
        <v>45997.0</v>
      </c>
      <c r="B14" s="13"/>
      <c r="C14" s="8"/>
      <c r="D14" s="1"/>
      <c r="E14" s="11">
        <f t="shared" si="1"/>
        <v>0</v>
      </c>
      <c r="F14" s="10" t="str">
        <f t="shared" si="2"/>
        <v/>
      </c>
      <c r="G14" s="5">
        <v>100000.0</v>
      </c>
      <c r="H14" s="11">
        <f t="shared" si="3"/>
        <v>358.94</v>
      </c>
      <c r="I14" s="1" t="s">
        <v>16</v>
      </c>
      <c r="J14" s="27"/>
      <c r="K14" s="27"/>
      <c r="L14" s="27"/>
      <c r="M14" s="27"/>
      <c r="N14" s="27"/>
      <c r="O14" s="27"/>
      <c r="P14" s="27"/>
    </row>
    <row r="15">
      <c r="A15" s="9">
        <v>46000.0</v>
      </c>
      <c r="B15" s="2">
        <v>15999.0</v>
      </c>
      <c r="C15" s="1">
        <v>4.53</v>
      </c>
      <c r="D15" s="14"/>
      <c r="E15" s="11">
        <f t="shared" si="1"/>
        <v>72475.47</v>
      </c>
      <c r="F15" s="10" t="str">
        <f t="shared" si="2"/>
        <v/>
      </c>
      <c r="G15" s="11"/>
      <c r="H15" s="11">
        <f t="shared" si="3"/>
        <v>72834.41</v>
      </c>
      <c r="I15" s="8"/>
      <c r="J15" s="27"/>
      <c r="K15" s="27"/>
      <c r="L15" s="27"/>
      <c r="M15" s="27"/>
      <c r="N15" s="27"/>
      <c r="O15" s="27"/>
      <c r="P15" s="27"/>
    </row>
    <row r="16">
      <c r="A16" s="9">
        <v>46000.0</v>
      </c>
      <c r="B16" s="2">
        <v>2000.0</v>
      </c>
      <c r="C16" s="1">
        <v>4.53</v>
      </c>
      <c r="D16" s="14"/>
      <c r="E16" s="11">
        <f t="shared" si="1"/>
        <v>9060</v>
      </c>
      <c r="F16" s="10" t="str">
        <f t="shared" si="2"/>
        <v/>
      </c>
      <c r="G16" s="11"/>
      <c r="H16" s="11">
        <f t="shared" si="3"/>
        <v>81894.41</v>
      </c>
      <c r="I16" s="8"/>
      <c r="J16" s="27"/>
      <c r="K16" s="27"/>
      <c r="L16" s="27"/>
      <c r="M16" s="27"/>
      <c r="N16" s="27"/>
      <c r="O16" s="27"/>
      <c r="P16" s="27"/>
    </row>
    <row r="17">
      <c r="A17" s="9">
        <v>46001.0</v>
      </c>
      <c r="B17" s="2">
        <v>14500.0</v>
      </c>
      <c r="C17" s="1">
        <v>4.53</v>
      </c>
      <c r="D17" s="14"/>
      <c r="E17" s="11">
        <f t="shared" si="1"/>
        <v>65685</v>
      </c>
      <c r="F17" s="10" t="str">
        <f t="shared" si="2"/>
        <v/>
      </c>
      <c r="G17" s="11"/>
      <c r="H17" s="11">
        <f t="shared" si="3"/>
        <v>147579.41</v>
      </c>
      <c r="I17" s="8"/>
      <c r="J17" s="27"/>
      <c r="K17" s="27"/>
      <c r="L17" s="27"/>
      <c r="M17" s="27"/>
      <c r="N17" s="27"/>
      <c r="O17" s="27"/>
      <c r="P17" s="27"/>
    </row>
    <row r="18">
      <c r="A18" s="9">
        <v>46006.0</v>
      </c>
      <c r="B18" s="2">
        <v>3944.0</v>
      </c>
      <c r="C18" s="1">
        <v>4.55</v>
      </c>
      <c r="D18" s="14"/>
      <c r="E18" s="11">
        <f t="shared" si="1"/>
        <v>17945.2</v>
      </c>
      <c r="F18" s="10" t="str">
        <f t="shared" si="2"/>
        <v/>
      </c>
      <c r="G18" s="11"/>
      <c r="H18" s="11">
        <f t="shared" si="3"/>
        <v>165524.61</v>
      </c>
      <c r="I18" s="8"/>
      <c r="J18" s="27"/>
      <c r="K18" s="27"/>
      <c r="L18" s="27"/>
      <c r="M18" s="27"/>
      <c r="N18" s="27"/>
      <c r="O18" s="27"/>
      <c r="P18" s="27"/>
    </row>
    <row r="19">
      <c r="A19" s="9">
        <v>46008.0</v>
      </c>
      <c r="B19" s="2">
        <v>4380.0</v>
      </c>
      <c r="C19" s="1">
        <v>4.6</v>
      </c>
      <c r="D19" s="14"/>
      <c r="E19" s="11">
        <f t="shared" si="1"/>
        <v>20148</v>
      </c>
      <c r="F19" s="10" t="str">
        <f t="shared" si="2"/>
        <v/>
      </c>
      <c r="G19" s="11"/>
      <c r="H19" s="11">
        <f t="shared" si="3"/>
        <v>185672.61</v>
      </c>
      <c r="I19" s="8"/>
      <c r="J19" s="27"/>
      <c r="K19" s="27"/>
      <c r="L19" s="27"/>
      <c r="M19" s="27"/>
      <c r="N19" s="27"/>
      <c r="O19" s="27"/>
      <c r="P19" s="27"/>
    </row>
    <row r="20">
      <c r="A20" s="9">
        <v>46013.0</v>
      </c>
      <c r="B20" s="13"/>
      <c r="C20" s="8"/>
      <c r="D20" s="1"/>
      <c r="E20" s="11">
        <f t="shared" si="1"/>
        <v>0</v>
      </c>
      <c r="F20" s="10" t="str">
        <f t="shared" si="2"/>
        <v/>
      </c>
      <c r="G20" s="5">
        <v>100000.0</v>
      </c>
      <c r="H20" s="11">
        <f t="shared" si="3"/>
        <v>85672.61</v>
      </c>
      <c r="I20" s="1" t="s">
        <v>17</v>
      </c>
      <c r="J20" s="27"/>
      <c r="K20" s="27"/>
      <c r="L20" s="27"/>
      <c r="M20" s="27"/>
      <c r="N20" s="27"/>
      <c r="O20" s="27"/>
      <c r="P20" s="27"/>
    </row>
    <row r="21">
      <c r="A21" s="9">
        <v>46013.0</v>
      </c>
      <c r="B21" s="2">
        <v>2500.0</v>
      </c>
      <c r="C21" s="1">
        <v>4.6</v>
      </c>
      <c r="D21" s="14"/>
      <c r="E21" s="11">
        <f t="shared" si="1"/>
        <v>11500</v>
      </c>
      <c r="F21" s="10" t="str">
        <f t="shared" si="2"/>
        <v/>
      </c>
      <c r="G21" s="11"/>
      <c r="H21" s="11">
        <f t="shared" si="3"/>
        <v>97172.61</v>
      </c>
      <c r="I21" s="8"/>
      <c r="J21" s="27"/>
      <c r="K21" s="27"/>
      <c r="L21" s="27"/>
      <c r="M21" s="27"/>
      <c r="N21" s="27"/>
      <c r="O21" s="27"/>
      <c r="P21" s="27"/>
    </row>
    <row r="22">
      <c r="A22" s="9">
        <v>46016.0</v>
      </c>
      <c r="B22" s="2">
        <v>8399.0</v>
      </c>
      <c r="C22" s="1">
        <v>4.6</v>
      </c>
      <c r="D22" s="14"/>
      <c r="E22" s="11">
        <f t="shared" si="1"/>
        <v>38635.4</v>
      </c>
      <c r="F22" s="10" t="str">
        <f t="shared" si="2"/>
        <v/>
      </c>
      <c r="G22" s="11"/>
      <c r="H22" s="11">
        <f t="shared" si="3"/>
        <v>135808.01</v>
      </c>
      <c r="I22" s="8"/>
      <c r="J22" s="27"/>
      <c r="K22" s="27"/>
      <c r="L22" s="27"/>
      <c r="M22" s="27"/>
      <c r="N22" s="27"/>
      <c r="O22" s="27"/>
      <c r="P22" s="27"/>
    </row>
    <row r="23">
      <c r="A23" s="9">
        <v>46016.0</v>
      </c>
      <c r="B23" s="2">
        <v>2800.0</v>
      </c>
      <c r="C23" s="1">
        <v>4.6</v>
      </c>
      <c r="D23" s="14"/>
      <c r="E23" s="11">
        <f t="shared" si="1"/>
        <v>12880</v>
      </c>
      <c r="F23" s="10" t="str">
        <f t="shared" si="2"/>
        <v/>
      </c>
      <c r="G23" s="11"/>
      <c r="H23" s="11">
        <f t="shared" si="3"/>
        <v>148688.01</v>
      </c>
      <c r="I23" s="8"/>
      <c r="J23" s="27"/>
      <c r="K23" s="27"/>
      <c r="L23" s="27"/>
      <c r="M23" s="27"/>
      <c r="N23" s="27"/>
      <c r="O23" s="27"/>
      <c r="P23" s="27"/>
    </row>
    <row r="24">
      <c r="A24" s="9">
        <v>46016.0</v>
      </c>
      <c r="B24" s="2">
        <v>3480.0</v>
      </c>
      <c r="C24" s="1">
        <v>4.6</v>
      </c>
      <c r="D24" s="14"/>
      <c r="E24" s="11">
        <f t="shared" si="1"/>
        <v>16008</v>
      </c>
      <c r="F24" s="10" t="str">
        <f t="shared" si="2"/>
        <v/>
      </c>
      <c r="G24" s="11"/>
      <c r="H24" s="11">
        <f t="shared" si="3"/>
        <v>164696.01</v>
      </c>
      <c r="I24" s="8"/>
      <c r="J24" s="27"/>
      <c r="K24" s="27"/>
      <c r="L24" s="27"/>
      <c r="M24" s="27"/>
      <c r="N24" s="27"/>
      <c r="O24" s="27"/>
      <c r="P24" s="27"/>
    </row>
    <row r="25">
      <c r="A25" s="9">
        <v>46019.0</v>
      </c>
      <c r="B25" s="13"/>
      <c r="C25" s="8"/>
      <c r="D25" s="14"/>
      <c r="E25" s="11">
        <f t="shared" si="1"/>
        <v>0</v>
      </c>
      <c r="F25" s="10" t="str">
        <f t="shared" si="2"/>
        <v/>
      </c>
      <c r="G25" s="5">
        <v>100000.0</v>
      </c>
      <c r="H25" s="11">
        <f t="shared" si="3"/>
        <v>64696.01</v>
      </c>
      <c r="I25" s="8"/>
      <c r="J25" s="27"/>
      <c r="K25" s="27"/>
      <c r="L25" s="27"/>
      <c r="M25" s="27"/>
      <c r="N25" s="27"/>
      <c r="O25" s="27"/>
      <c r="P25" s="27"/>
    </row>
    <row r="26">
      <c r="A26" s="9">
        <v>46019.0</v>
      </c>
      <c r="B26" s="2">
        <v>4700.0</v>
      </c>
      <c r="C26" s="1">
        <v>4.62</v>
      </c>
      <c r="D26" s="14"/>
      <c r="E26" s="11">
        <f t="shared" si="1"/>
        <v>21714</v>
      </c>
      <c r="F26" s="10" t="str">
        <f t="shared" si="2"/>
        <v/>
      </c>
      <c r="G26" s="11"/>
      <c r="H26" s="11">
        <f t="shared" si="3"/>
        <v>86410.01</v>
      </c>
      <c r="I26" s="8"/>
      <c r="J26" s="27"/>
      <c r="K26" s="27"/>
      <c r="L26" s="27"/>
      <c r="M26" s="27"/>
      <c r="N26" s="27"/>
      <c r="O26" s="27"/>
      <c r="P26" s="27"/>
    </row>
    <row r="27">
      <c r="A27" s="9">
        <v>46019.0</v>
      </c>
      <c r="B27" s="2">
        <v>5999.0</v>
      </c>
      <c r="C27" s="1">
        <v>4.62</v>
      </c>
      <c r="D27" s="14"/>
      <c r="E27" s="11">
        <f t="shared" si="1"/>
        <v>27715.38</v>
      </c>
      <c r="F27" s="10" t="str">
        <f t="shared" si="2"/>
        <v/>
      </c>
      <c r="G27" s="11"/>
      <c r="H27" s="11">
        <f t="shared" si="3"/>
        <v>114125.39</v>
      </c>
      <c r="I27" s="8"/>
      <c r="J27" s="27"/>
      <c r="K27" s="27"/>
      <c r="L27" s="27"/>
      <c r="M27" s="27"/>
      <c r="N27" s="27"/>
      <c r="O27" s="27"/>
      <c r="P27" s="27"/>
    </row>
    <row r="28">
      <c r="A28" s="9">
        <v>46020.0</v>
      </c>
      <c r="B28" s="13"/>
      <c r="C28" s="8"/>
      <c r="D28" s="1"/>
      <c r="E28" s="11">
        <f t="shared" si="1"/>
        <v>0</v>
      </c>
      <c r="F28" s="10" t="str">
        <f t="shared" si="2"/>
        <v/>
      </c>
      <c r="G28" s="5">
        <v>100000.0</v>
      </c>
      <c r="H28" s="11">
        <f t="shared" si="3"/>
        <v>14125.39</v>
      </c>
      <c r="I28" s="1" t="s">
        <v>22</v>
      </c>
      <c r="J28" s="27"/>
      <c r="K28" s="27"/>
      <c r="L28" s="27"/>
      <c r="M28" s="27"/>
      <c r="N28" s="27"/>
      <c r="O28" s="27"/>
      <c r="P28" s="27"/>
    </row>
    <row r="29">
      <c r="A29" s="9">
        <v>46020.0</v>
      </c>
      <c r="B29" s="2">
        <v>5800.0</v>
      </c>
      <c r="C29" s="1">
        <v>4.61</v>
      </c>
      <c r="D29" s="14"/>
      <c r="E29" s="11">
        <f t="shared" si="1"/>
        <v>26738</v>
      </c>
      <c r="F29" s="10" t="str">
        <f t="shared" si="2"/>
        <v/>
      </c>
      <c r="G29" s="11"/>
      <c r="H29" s="11">
        <f t="shared" si="3"/>
        <v>40863.39</v>
      </c>
      <c r="I29" s="8"/>
      <c r="J29" s="27"/>
      <c r="K29" s="27"/>
      <c r="L29" s="27"/>
      <c r="M29" s="27"/>
      <c r="N29" s="27"/>
      <c r="O29" s="27"/>
      <c r="P29" s="27"/>
    </row>
    <row r="30">
      <c r="A30" s="9">
        <v>46021.0</v>
      </c>
      <c r="B30" s="2">
        <v>14000.0</v>
      </c>
      <c r="C30" s="1">
        <v>4.61</v>
      </c>
      <c r="D30" s="14"/>
      <c r="E30" s="11">
        <f t="shared" si="1"/>
        <v>64540</v>
      </c>
      <c r="F30" s="10" t="str">
        <f t="shared" si="2"/>
        <v/>
      </c>
      <c r="G30" s="11"/>
      <c r="H30" s="11">
        <f t="shared" si="3"/>
        <v>105403.39</v>
      </c>
      <c r="I30" s="8"/>
      <c r="J30" s="27"/>
      <c r="K30" s="27"/>
      <c r="L30" s="27"/>
      <c r="M30" s="27"/>
      <c r="N30" s="27"/>
      <c r="O30" s="27"/>
      <c r="P30" s="27"/>
    </row>
    <row r="31">
      <c r="A31" s="9">
        <v>46023.0</v>
      </c>
      <c r="B31" s="2">
        <v>8500.0</v>
      </c>
      <c r="C31" s="1">
        <v>4.61</v>
      </c>
      <c r="D31" s="14"/>
      <c r="E31" s="11">
        <f t="shared" si="1"/>
        <v>39185</v>
      </c>
      <c r="F31" s="10" t="str">
        <f t="shared" si="2"/>
        <v/>
      </c>
      <c r="G31" s="11"/>
      <c r="H31" s="11">
        <f t="shared" si="3"/>
        <v>144588.39</v>
      </c>
      <c r="I31" s="8"/>
      <c r="J31" s="27"/>
      <c r="K31" s="27"/>
      <c r="L31" s="27"/>
      <c r="M31" s="27"/>
      <c r="N31" s="27"/>
      <c r="O31" s="27"/>
      <c r="P31" s="27"/>
    </row>
    <row r="32">
      <c r="A32" s="9">
        <v>46024.0</v>
      </c>
      <c r="B32" s="2">
        <v>3700.0</v>
      </c>
      <c r="C32" s="1">
        <v>4.63</v>
      </c>
      <c r="D32" s="14"/>
      <c r="E32" s="11">
        <f t="shared" si="1"/>
        <v>17131</v>
      </c>
      <c r="F32" s="10" t="str">
        <f t="shared" si="2"/>
        <v/>
      </c>
      <c r="G32" s="11"/>
      <c r="H32" s="11">
        <f t="shared" si="3"/>
        <v>161719.39</v>
      </c>
      <c r="I32" s="8"/>
      <c r="J32" s="27"/>
      <c r="K32" s="27"/>
      <c r="L32" s="27"/>
      <c r="M32" s="27"/>
      <c r="N32" s="27"/>
      <c r="O32" s="27"/>
      <c r="P32" s="27"/>
    </row>
    <row r="33">
      <c r="A33" s="9">
        <v>46026.0</v>
      </c>
      <c r="B33" s="2">
        <v>2700.0</v>
      </c>
      <c r="C33" s="1">
        <v>4.63</v>
      </c>
      <c r="D33" s="14"/>
      <c r="E33" s="11">
        <f t="shared" si="1"/>
        <v>12501</v>
      </c>
      <c r="F33" s="10" t="str">
        <f t="shared" si="2"/>
        <v/>
      </c>
      <c r="G33" s="11"/>
      <c r="H33" s="11">
        <f t="shared" si="3"/>
        <v>174220.39</v>
      </c>
      <c r="I33" s="8"/>
      <c r="J33" s="27"/>
      <c r="K33" s="27"/>
      <c r="L33" s="27"/>
      <c r="M33" s="27"/>
      <c r="N33" s="27"/>
      <c r="O33" s="27"/>
      <c r="P33" s="27"/>
    </row>
    <row r="34">
      <c r="A34" s="9">
        <v>46028.0</v>
      </c>
      <c r="B34" s="2">
        <v>2000.0</v>
      </c>
      <c r="C34" s="1">
        <v>4.65</v>
      </c>
      <c r="D34" s="14"/>
      <c r="E34" s="11">
        <f t="shared" si="1"/>
        <v>9300</v>
      </c>
      <c r="F34" s="10" t="str">
        <f t="shared" si="2"/>
        <v/>
      </c>
      <c r="G34" s="11"/>
      <c r="H34" s="11">
        <f t="shared" si="3"/>
        <v>183520.39</v>
      </c>
      <c r="I34" s="8"/>
      <c r="J34" s="27"/>
      <c r="K34" s="27"/>
      <c r="L34" s="27"/>
      <c r="M34" s="27"/>
      <c r="N34" s="27"/>
      <c r="O34" s="27"/>
      <c r="P34" s="27"/>
    </row>
    <row r="35">
      <c r="A35" s="9">
        <v>46030.0</v>
      </c>
      <c r="B35" s="2">
        <v>1880.0</v>
      </c>
      <c r="C35" s="1">
        <v>4.67</v>
      </c>
      <c r="D35" s="14"/>
      <c r="E35" s="11">
        <f t="shared" si="1"/>
        <v>8779.6</v>
      </c>
      <c r="F35" s="10" t="str">
        <f t="shared" si="2"/>
        <v/>
      </c>
      <c r="G35" s="11"/>
      <c r="H35" s="11">
        <f t="shared" si="3"/>
        <v>192299.99</v>
      </c>
      <c r="I35" s="8"/>
      <c r="J35" s="27"/>
      <c r="K35" s="27"/>
      <c r="L35" s="27"/>
      <c r="M35" s="27"/>
      <c r="N35" s="27"/>
      <c r="O35" s="27"/>
      <c r="P35" s="27"/>
    </row>
    <row r="36">
      <c r="A36" s="9">
        <v>46030.0</v>
      </c>
      <c r="B36" s="2">
        <v>1780.0</v>
      </c>
      <c r="C36" s="1">
        <v>4.67</v>
      </c>
      <c r="D36" s="14"/>
      <c r="E36" s="11">
        <f t="shared" si="1"/>
        <v>8312.6</v>
      </c>
      <c r="F36" s="10" t="str">
        <f t="shared" si="2"/>
        <v/>
      </c>
      <c r="G36" s="11"/>
      <c r="H36" s="11">
        <f t="shared" si="3"/>
        <v>200612.59</v>
      </c>
      <c r="I36" s="8"/>
      <c r="J36" s="27"/>
      <c r="K36" s="27"/>
      <c r="L36" s="27"/>
      <c r="M36" s="27"/>
      <c r="N36" s="27"/>
      <c r="O36" s="27"/>
      <c r="P36" s="27"/>
    </row>
    <row r="37">
      <c r="A37" s="9">
        <v>46031.0</v>
      </c>
      <c r="B37" s="2">
        <v>300.0</v>
      </c>
      <c r="C37" s="1">
        <v>4.67</v>
      </c>
      <c r="D37" s="14"/>
      <c r="E37" s="11">
        <f t="shared" si="1"/>
        <v>1401</v>
      </c>
      <c r="F37" s="10" t="str">
        <f t="shared" si="2"/>
        <v/>
      </c>
      <c r="G37" s="11"/>
      <c r="H37" s="11">
        <f t="shared" si="3"/>
        <v>202013.59</v>
      </c>
      <c r="I37" s="8"/>
      <c r="J37" s="27"/>
      <c r="K37" s="27"/>
      <c r="L37" s="27"/>
      <c r="M37" s="27"/>
      <c r="N37" s="27"/>
      <c r="O37" s="27"/>
      <c r="P37" s="27"/>
    </row>
    <row r="38">
      <c r="A38" s="9">
        <v>46031.0</v>
      </c>
      <c r="B38" s="2">
        <v>22500.0</v>
      </c>
      <c r="C38" s="1">
        <v>4.67</v>
      </c>
      <c r="D38" s="14"/>
      <c r="E38" s="11">
        <f t="shared" si="1"/>
        <v>105075</v>
      </c>
      <c r="F38" s="10" t="str">
        <f t="shared" si="2"/>
        <v/>
      </c>
      <c r="G38" s="11"/>
      <c r="H38" s="11">
        <f t="shared" si="3"/>
        <v>307088.59</v>
      </c>
      <c r="I38" s="8"/>
      <c r="J38" s="27"/>
      <c r="K38" s="27"/>
      <c r="L38" s="27"/>
      <c r="M38" s="27"/>
      <c r="N38" s="27"/>
      <c r="O38" s="27"/>
      <c r="P38" s="27"/>
    </row>
    <row r="39">
      <c r="A39" s="9">
        <v>46032.0</v>
      </c>
      <c r="B39" s="2">
        <v>5200.0</v>
      </c>
      <c r="C39" s="1">
        <v>4.67</v>
      </c>
      <c r="D39" s="14"/>
      <c r="E39" s="11">
        <f t="shared" si="1"/>
        <v>24284</v>
      </c>
      <c r="F39" s="10" t="str">
        <f t="shared" si="2"/>
        <v/>
      </c>
      <c r="G39" s="11"/>
      <c r="H39" s="11">
        <f t="shared" si="3"/>
        <v>331372.59</v>
      </c>
      <c r="I39" s="8"/>
      <c r="J39" s="27"/>
      <c r="K39" s="27"/>
      <c r="L39" s="27"/>
      <c r="M39" s="27"/>
      <c r="N39" s="27"/>
      <c r="O39" s="27"/>
      <c r="P39" s="27"/>
    </row>
    <row r="40">
      <c r="A40" s="9">
        <v>46032.0</v>
      </c>
      <c r="B40" s="2">
        <v>3700.0</v>
      </c>
      <c r="C40" s="1">
        <v>4.67</v>
      </c>
      <c r="D40" s="14"/>
      <c r="E40" s="11">
        <f t="shared" si="1"/>
        <v>17279</v>
      </c>
      <c r="F40" s="10" t="str">
        <f t="shared" si="2"/>
        <v/>
      </c>
      <c r="G40" s="11"/>
      <c r="H40" s="11">
        <f t="shared" si="3"/>
        <v>348651.59</v>
      </c>
      <c r="I40" s="8"/>
      <c r="J40" s="27"/>
      <c r="K40" s="27"/>
      <c r="L40" s="27"/>
      <c r="M40" s="27"/>
      <c r="N40" s="27"/>
      <c r="O40" s="27"/>
      <c r="P40" s="27"/>
    </row>
    <row r="41">
      <c r="A41" s="9">
        <v>46033.0</v>
      </c>
      <c r="B41" s="13"/>
      <c r="C41" s="8"/>
      <c r="D41" s="1"/>
      <c r="E41" s="11">
        <f t="shared" si="1"/>
        <v>0</v>
      </c>
      <c r="F41" s="10" t="str">
        <f t="shared" si="2"/>
        <v/>
      </c>
      <c r="G41" s="5">
        <v>100000.0</v>
      </c>
      <c r="H41" s="11">
        <f t="shared" si="3"/>
        <v>248651.59</v>
      </c>
      <c r="I41" s="1" t="s">
        <v>17</v>
      </c>
      <c r="J41" s="27"/>
      <c r="K41" s="27"/>
      <c r="L41" s="27"/>
      <c r="M41" s="27"/>
      <c r="N41" s="27"/>
      <c r="O41" s="27"/>
      <c r="P41" s="27"/>
    </row>
    <row r="42">
      <c r="A42" s="9">
        <v>46034.0</v>
      </c>
      <c r="B42" s="2">
        <v>4900.0</v>
      </c>
      <c r="C42" s="1">
        <v>4.69</v>
      </c>
      <c r="D42" s="14"/>
      <c r="E42" s="11">
        <f t="shared" si="1"/>
        <v>22981</v>
      </c>
      <c r="F42" s="10" t="str">
        <f t="shared" si="2"/>
        <v/>
      </c>
      <c r="G42" s="11"/>
      <c r="H42" s="11">
        <f t="shared" si="3"/>
        <v>271632.59</v>
      </c>
      <c r="I42" s="8"/>
      <c r="J42" s="27"/>
      <c r="K42" s="27"/>
      <c r="L42" s="27"/>
      <c r="M42" s="27"/>
      <c r="N42" s="27"/>
      <c r="O42" s="27"/>
      <c r="P42" s="27"/>
    </row>
    <row r="43">
      <c r="A43" s="9">
        <v>46035.0</v>
      </c>
      <c r="B43" s="2">
        <v>3599.0</v>
      </c>
      <c r="C43" s="1">
        <v>4.69</v>
      </c>
      <c r="D43" s="14"/>
      <c r="E43" s="11">
        <f t="shared" si="1"/>
        <v>16879.31</v>
      </c>
      <c r="F43" s="10" t="str">
        <f t="shared" si="2"/>
        <v/>
      </c>
      <c r="G43" s="11"/>
      <c r="H43" s="11">
        <f t="shared" si="3"/>
        <v>288511.9</v>
      </c>
      <c r="I43" s="8"/>
      <c r="J43" s="27"/>
      <c r="K43" s="27"/>
      <c r="L43" s="27"/>
      <c r="M43" s="27"/>
      <c r="N43" s="27"/>
      <c r="O43" s="27"/>
      <c r="P43" s="27"/>
    </row>
    <row r="44">
      <c r="A44" s="9">
        <v>46035.0</v>
      </c>
      <c r="B44" s="2">
        <v>18999.0</v>
      </c>
      <c r="C44" s="1">
        <v>4.69</v>
      </c>
      <c r="D44" s="14"/>
      <c r="E44" s="11">
        <f t="shared" si="1"/>
        <v>89105.31</v>
      </c>
      <c r="F44" s="10" t="str">
        <f t="shared" si="2"/>
        <v/>
      </c>
      <c r="G44" s="11"/>
      <c r="H44" s="11">
        <f t="shared" si="3"/>
        <v>377617.21</v>
      </c>
      <c r="I44" s="8"/>
      <c r="J44" s="27"/>
      <c r="K44" s="27"/>
      <c r="L44" s="27"/>
      <c r="M44" s="27"/>
      <c r="N44" s="27"/>
      <c r="O44" s="27"/>
      <c r="P44" s="27"/>
    </row>
    <row r="45">
      <c r="A45" s="9">
        <v>46036.0</v>
      </c>
      <c r="B45" s="2">
        <v>14500.0</v>
      </c>
      <c r="C45" s="1">
        <v>4.69</v>
      </c>
      <c r="D45" s="14"/>
      <c r="E45" s="11">
        <f t="shared" si="1"/>
        <v>68005</v>
      </c>
      <c r="F45" s="10" t="str">
        <f t="shared" si="2"/>
        <v/>
      </c>
      <c r="G45" s="11"/>
      <c r="H45" s="11">
        <f t="shared" si="3"/>
        <v>445622.21</v>
      </c>
      <c r="I45" s="8"/>
      <c r="J45" s="27"/>
      <c r="K45" s="27"/>
      <c r="L45" s="27"/>
      <c r="M45" s="27"/>
      <c r="N45" s="27"/>
      <c r="O45" s="27"/>
      <c r="P45" s="27"/>
    </row>
    <row r="46">
      <c r="A46" s="9">
        <v>46037.0</v>
      </c>
      <c r="B46" s="2">
        <v>7500.0</v>
      </c>
      <c r="C46" s="1">
        <v>4.69</v>
      </c>
      <c r="D46" s="14"/>
      <c r="E46" s="11">
        <f t="shared" si="1"/>
        <v>35175</v>
      </c>
      <c r="F46" s="10" t="str">
        <f t="shared" si="2"/>
        <v/>
      </c>
      <c r="G46" s="11"/>
      <c r="H46" s="11">
        <f t="shared" si="3"/>
        <v>480797.21</v>
      </c>
      <c r="I46" s="8"/>
      <c r="J46" s="27"/>
      <c r="K46" s="27"/>
      <c r="L46" s="27"/>
      <c r="M46" s="27"/>
      <c r="N46" s="27"/>
      <c r="O46" s="27"/>
      <c r="P46" s="27"/>
    </row>
    <row r="47">
      <c r="A47" s="9">
        <v>46038.0</v>
      </c>
      <c r="B47" s="2">
        <v>500.0</v>
      </c>
      <c r="C47" s="1">
        <v>4.69</v>
      </c>
      <c r="D47" s="14"/>
      <c r="E47" s="11">
        <f t="shared" si="1"/>
        <v>2345</v>
      </c>
      <c r="F47" s="10" t="str">
        <f t="shared" si="2"/>
        <v/>
      </c>
      <c r="G47" s="11"/>
      <c r="H47" s="11">
        <f t="shared" si="3"/>
        <v>483142.21</v>
      </c>
      <c r="I47" s="8"/>
      <c r="J47" s="27"/>
      <c r="K47" s="27"/>
      <c r="L47" s="27"/>
      <c r="M47" s="27"/>
      <c r="N47" s="27"/>
      <c r="O47" s="27"/>
      <c r="P47" s="27"/>
    </row>
    <row r="48">
      <c r="A48" s="9">
        <v>46040.0</v>
      </c>
      <c r="B48" s="13"/>
      <c r="C48" s="8"/>
      <c r="D48" s="1"/>
      <c r="E48" s="11">
        <f t="shared" si="1"/>
        <v>0</v>
      </c>
      <c r="F48" s="10" t="str">
        <f t="shared" si="2"/>
        <v/>
      </c>
      <c r="G48" s="5">
        <v>300000.0</v>
      </c>
      <c r="H48" s="11">
        <f t="shared" si="3"/>
        <v>183142.21</v>
      </c>
      <c r="I48" s="1" t="s">
        <v>17</v>
      </c>
      <c r="J48" s="27"/>
      <c r="K48" s="27"/>
      <c r="L48" s="27"/>
      <c r="M48" s="27"/>
      <c r="N48" s="27"/>
      <c r="O48" s="27"/>
      <c r="P48" s="27"/>
    </row>
    <row r="49">
      <c r="A49" s="9">
        <v>46041.0</v>
      </c>
      <c r="B49" s="2">
        <v>3000.0</v>
      </c>
      <c r="C49" s="1">
        <v>4.67</v>
      </c>
      <c r="D49" s="14"/>
      <c r="E49" s="11">
        <f t="shared" si="1"/>
        <v>14010</v>
      </c>
      <c r="F49" s="10" t="str">
        <f t="shared" si="2"/>
        <v/>
      </c>
      <c r="G49" s="11"/>
      <c r="H49" s="11">
        <f t="shared" si="3"/>
        <v>197152.21</v>
      </c>
      <c r="I49" s="8"/>
      <c r="J49" s="27"/>
      <c r="K49" s="27"/>
      <c r="L49" s="27"/>
      <c r="M49" s="27"/>
      <c r="N49" s="27"/>
      <c r="O49" s="27"/>
      <c r="P49" s="27"/>
    </row>
    <row r="50">
      <c r="A50" s="9">
        <v>46041.0</v>
      </c>
      <c r="B50" s="2">
        <v>20000.0</v>
      </c>
      <c r="C50" s="1">
        <v>4.67</v>
      </c>
      <c r="D50" s="14"/>
      <c r="E50" s="11">
        <f t="shared" si="1"/>
        <v>93400</v>
      </c>
      <c r="F50" s="10" t="str">
        <f t="shared" si="2"/>
        <v/>
      </c>
      <c r="G50" s="11"/>
      <c r="H50" s="11">
        <f t="shared" si="3"/>
        <v>290552.21</v>
      </c>
      <c r="I50" s="8"/>
      <c r="J50" s="27"/>
      <c r="K50" s="27"/>
      <c r="L50" s="27"/>
      <c r="M50" s="27"/>
      <c r="N50" s="27"/>
      <c r="O50" s="27"/>
      <c r="P50" s="27"/>
    </row>
    <row r="51">
      <c r="A51" s="9">
        <v>46042.0</v>
      </c>
      <c r="B51" s="2">
        <v>9400.0</v>
      </c>
      <c r="C51" s="1">
        <v>4.67</v>
      </c>
      <c r="D51" s="14"/>
      <c r="E51" s="11">
        <f t="shared" si="1"/>
        <v>43898</v>
      </c>
      <c r="F51" s="10" t="str">
        <f t="shared" si="2"/>
        <v/>
      </c>
      <c r="G51" s="11"/>
      <c r="H51" s="11">
        <f t="shared" si="3"/>
        <v>334450.21</v>
      </c>
      <c r="I51" s="8"/>
      <c r="J51" s="27"/>
      <c r="K51" s="27"/>
      <c r="L51" s="27"/>
      <c r="M51" s="27"/>
      <c r="N51" s="27"/>
      <c r="O51" s="27"/>
      <c r="P51" s="27"/>
    </row>
    <row r="52">
      <c r="A52" s="9">
        <v>46042.0</v>
      </c>
      <c r="B52" s="2">
        <v>13999.0</v>
      </c>
      <c r="C52" s="1">
        <v>4.67</v>
      </c>
      <c r="D52" s="14"/>
      <c r="E52" s="11">
        <f t="shared" si="1"/>
        <v>65375.33</v>
      </c>
      <c r="F52" s="10" t="str">
        <f t="shared" si="2"/>
        <v/>
      </c>
      <c r="G52" s="11"/>
      <c r="H52" s="11">
        <f t="shared" si="3"/>
        <v>399825.54</v>
      </c>
      <c r="I52" s="8"/>
      <c r="J52" s="27"/>
      <c r="K52" s="27"/>
      <c r="L52" s="27"/>
      <c r="M52" s="27"/>
      <c r="N52" s="27"/>
      <c r="O52" s="27"/>
      <c r="P52" s="27"/>
    </row>
    <row r="53">
      <c r="A53" s="9">
        <v>46044.0</v>
      </c>
      <c r="B53" s="2">
        <v>5399.0</v>
      </c>
      <c r="C53" s="1">
        <v>4.67</v>
      </c>
      <c r="D53" s="14"/>
      <c r="E53" s="11">
        <f t="shared" si="1"/>
        <v>25213.33</v>
      </c>
      <c r="F53" s="10" t="str">
        <f t="shared" si="2"/>
        <v/>
      </c>
      <c r="G53" s="11"/>
      <c r="H53" s="11">
        <f t="shared" si="3"/>
        <v>425038.87</v>
      </c>
      <c r="I53" s="8"/>
      <c r="J53" s="27"/>
      <c r="K53" s="27"/>
      <c r="L53" s="27"/>
      <c r="M53" s="27"/>
      <c r="N53" s="27"/>
      <c r="O53" s="27"/>
      <c r="P53" s="27"/>
    </row>
    <row r="54">
      <c r="A54" s="9">
        <v>46044.0</v>
      </c>
      <c r="B54" s="2">
        <v>6549.0</v>
      </c>
      <c r="C54" s="1">
        <v>4.67</v>
      </c>
      <c r="D54" s="14"/>
      <c r="E54" s="11">
        <f t="shared" si="1"/>
        <v>30583.83</v>
      </c>
      <c r="F54" s="10" t="str">
        <f t="shared" si="2"/>
        <v/>
      </c>
      <c r="G54" s="11"/>
      <c r="H54" s="11">
        <f t="shared" si="3"/>
        <v>455622.7</v>
      </c>
      <c r="I54" s="8"/>
      <c r="J54" s="27"/>
      <c r="K54" s="27"/>
      <c r="L54" s="27"/>
      <c r="M54" s="27"/>
      <c r="N54" s="27"/>
      <c r="O54" s="27"/>
      <c r="P54" s="27"/>
    </row>
    <row r="55">
      <c r="A55" s="9">
        <v>46044.0</v>
      </c>
      <c r="B55" s="2">
        <v>6402.0</v>
      </c>
      <c r="C55" s="1">
        <v>4.67</v>
      </c>
      <c r="D55" s="14"/>
      <c r="E55" s="11">
        <f t="shared" si="1"/>
        <v>29897.34</v>
      </c>
      <c r="F55" s="10" t="str">
        <f t="shared" si="2"/>
        <v/>
      </c>
      <c r="G55" s="11"/>
      <c r="H55" s="11">
        <f t="shared" si="3"/>
        <v>485520.04</v>
      </c>
      <c r="I55" s="8"/>
      <c r="J55" s="27"/>
      <c r="K55" s="27"/>
      <c r="L55" s="27"/>
      <c r="M55" s="27"/>
      <c r="N55" s="27"/>
      <c r="O55" s="27"/>
      <c r="P55" s="27"/>
    </row>
    <row r="56">
      <c r="A56" s="9">
        <v>46044.0</v>
      </c>
      <c r="B56" s="13"/>
      <c r="C56" s="8"/>
      <c r="D56" s="1"/>
      <c r="E56" s="11">
        <f t="shared" si="1"/>
        <v>0</v>
      </c>
      <c r="F56" s="10" t="str">
        <f t="shared" si="2"/>
        <v/>
      </c>
      <c r="G56" s="5">
        <v>300000.0</v>
      </c>
      <c r="H56" s="11">
        <f t="shared" si="3"/>
        <v>185520.04</v>
      </c>
      <c r="I56" s="1" t="s">
        <v>91</v>
      </c>
      <c r="J56" s="27"/>
      <c r="K56" s="27"/>
      <c r="L56" s="27"/>
      <c r="M56" s="27"/>
      <c r="N56" s="27"/>
      <c r="O56" s="27"/>
      <c r="P56" s="27"/>
    </row>
    <row r="57">
      <c r="A57" s="9">
        <v>46046.0</v>
      </c>
      <c r="B57" s="2">
        <v>18800.0</v>
      </c>
      <c r="C57" s="1">
        <v>4.67</v>
      </c>
      <c r="D57" s="14"/>
      <c r="E57" s="11">
        <f t="shared" si="1"/>
        <v>87796</v>
      </c>
      <c r="F57" s="10" t="str">
        <f t="shared" si="2"/>
        <v/>
      </c>
      <c r="G57" s="11"/>
      <c r="H57" s="11">
        <f t="shared" si="3"/>
        <v>273316.04</v>
      </c>
      <c r="I57" s="8"/>
      <c r="J57" s="27"/>
      <c r="K57" s="27"/>
      <c r="L57" s="27"/>
      <c r="M57" s="27"/>
      <c r="N57" s="27"/>
      <c r="O57" s="27"/>
      <c r="P57" s="27"/>
    </row>
    <row r="58">
      <c r="A58" s="9">
        <v>46049.0</v>
      </c>
      <c r="B58" s="2">
        <v>2000.0</v>
      </c>
      <c r="C58" s="1">
        <v>4.67</v>
      </c>
      <c r="D58" s="14"/>
      <c r="E58" s="11">
        <f t="shared" si="1"/>
        <v>9340</v>
      </c>
      <c r="F58" s="10" t="str">
        <f t="shared" si="2"/>
        <v/>
      </c>
      <c r="G58" s="11"/>
      <c r="H58" s="11">
        <f t="shared" si="3"/>
        <v>282656.04</v>
      </c>
      <c r="I58" s="8"/>
      <c r="J58" s="27"/>
      <c r="K58" s="27"/>
      <c r="L58" s="27"/>
      <c r="M58" s="27"/>
      <c r="N58" s="27"/>
      <c r="O58" s="27"/>
      <c r="P58" s="27"/>
    </row>
    <row r="59">
      <c r="A59" s="9">
        <v>46049.0</v>
      </c>
      <c r="B59" s="2">
        <v>16500.0</v>
      </c>
      <c r="C59" s="1">
        <v>4.67</v>
      </c>
      <c r="D59" s="14"/>
      <c r="E59" s="11">
        <f t="shared" si="1"/>
        <v>77055</v>
      </c>
      <c r="F59" s="10" t="str">
        <f t="shared" si="2"/>
        <v/>
      </c>
      <c r="G59" s="11"/>
      <c r="H59" s="11">
        <f t="shared" si="3"/>
        <v>359711.04</v>
      </c>
      <c r="I59" s="8"/>
      <c r="J59" s="27"/>
      <c r="K59" s="27"/>
      <c r="L59" s="27"/>
      <c r="M59" s="27"/>
      <c r="N59" s="27"/>
      <c r="O59" s="27"/>
      <c r="P59" s="27"/>
    </row>
    <row r="60">
      <c r="A60" s="9">
        <v>46049.0</v>
      </c>
      <c r="B60" s="2">
        <v>17310.0</v>
      </c>
      <c r="C60" s="1">
        <v>4.67</v>
      </c>
      <c r="D60" s="14"/>
      <c r="E60" s="11">
        <f t="shared" si="1"/>
        <v>80837.7</v>
      </c>
      <c r="F60" s="10" t="str">
        <f t="shared" si="2"/>
        <v/>
      </c>
      <c r="G60" s="11"/>
      <c r="H60" s="11">
        <f t="shared" si="3"/>
        <v>440548.74</v>
      </c>
      <c r="I60" s="8"/>
      <c r="J60" s="27"/>
      <c r="K60" s="27"/>
      <c r="L60" s="27"/>
      <c r="M60" s="27"/>
      <c r="N60" s="27"/>
      <c r="O60" s="27"/>
      <c r="P60" s="27"/>
    </row>
    <row r="61">
      <c r="A61" s="9">
        <v>46049.0</v>
      </c>
      <c r="B61" s="2">
        <v>16150.0</v>
      </c>
      <c r="C61" s="1">
        <v>4.67</v>
      </c>
      <c r="D61" s="14"/>
      <c r="E61" s="11">
        <f t="shared" si="1"/>
        <v>75420.5</v>
      </c>
      <c r="F61" s="10" t="str">
        <f t="shared" si="2"/>
        <v/>
      </c>
      <c r="G61" s="11"/>
      <c r="H61" s="11">
        <f t="shared" si="3"/>
        <v>515969.24</v>
      </c>
      <c r="I61" s="8"/>
      <c r="J61" s="27"/>
      <c r="K61" s="27"/>
      <c r="L61" s="27"/>
      <c r="M61" s="27"/>
      <c r="N61" s="27"/>
      <c r="O61" s="27"/>
      <c r="P61" s="27"/>
    </row>
    <row r="62">
      <c r="A62" s="9">
        <v>46050.0</v>
      </c>
      <c r="B62" s="2">
        <v>8050.0</v>
      </c>
      <c r="C62" s="1">
        <v>4.67</v>
      </c>
      <c r="D62" s="14"/>
      <c r="E62" s="11">
        <f t="shared" si="1"/>
        <v>37593.5</v>
      </c>
      <c r="F62" s="10" t="str">
        <f t="shared" si="2"/>
        <v/>
      </c>
      <c r="G62" s="11"/>
      <c r="H62" s="11">
        <f t="shared" si="3"/>
        <v>553562.74</v>
      </c>
      <c r="I62" s="8"/>
      <c r="J62" s="27"/>
      <c r="K62" s="27"/>
      <c r="L62" s="27"/>
      <c r="M62" s="27"/>
      <c r="N62" s="27"/>
      <c r="O62" s="27"/>
      <c r="P62" s="27"/>
    </row>
    <row r="63">
      <c r="A63" s="9">
        <v>46050.0</v>
      </c>
      <c r="B63" s="2">
        <v>3000.0</v>
      </c>
      <c r="C63" s="1">
        <v>4.67</v>
      </c>
      <c r="D63" s="14"/>
      <c r="E63" s="11">
        <f t="shared" si="1"/>
        <v>14010</v>
      </c>
      <c r="F63" s="10" t="str">
        <f t="shared" si="2"/>
        <v/>
      </c>
      <c r="G63" s="11"/>
      <c r="H63" s="11">
        <f t="shared" si="3"/>
        <v>567572.74</v>
      </c>
      <c r="I63" s="8"/>
      <c r="J63" s="27"/>
      <c r="K63" s="27"/>
      <c r="L63" s="27"/>
      <c r="M63" s="27"/>
      <c r="N63" s="27"/>
      <c r="O63" s="27"/>
      <c r="P63" s="27"/>
    </row>
    <row r="64">
      <c r="A64" s="9">
        <v>46055.0</v>
      </c>
      <c r="B64" s="2"/>
      <c r="C64" s="1"/>
      <c r="D64" s="1"/>
      <c r="E64" s="11">
        <f t="shared" si="1"/>
        <v>0</v>
      </c>
      <c r="F64" s="10" t="str">
        <f t="shared" si="2"/>
        <v/>
      </c>
      <c r="G64" s="5">
        <v>280000.0</v>
      </c>
      <c r="H64" s="11">
        <f t="shared" si="3"/>
        <v>287572.74</v>
      </c>
      <c r="I64" s="1" t="s">
        <v>17</v>
      </c>
      <c r="J64" s="27"/>
      <c r="K64" s="27"/>
      <c r="L64" s="27"/>
      <c r="M64" s="27"/>
      <c r="N64" s="27"/>
      <c r="O64" s="27"/>
      <c r="P64" s="27"/>
    </row>
    <row r="65">
      <c r="A65" s="9">
        <v>46055.0</v>
      </c>
      <c r="B65" s="13"/>
      <c r="C65" s="8"/>
      <c r="D65" s="1"/>
      <c r="E65" s="11">
        <f t="shared" si="1"/>
        <v>0</v>
      </c>
      <c r="F65" s="10" t="str">
        <f t="shared" si="2"/>
        <v/>
      </c>
      <c r="G65" s="5">
        <v>120000.0</v>
      </c>
      <c r="H65" s="11">
        <f t="shared" si="3"/>
        <v>167572.74</v>
      </c>
      <c r="I65" s="1" t="s">
        <v>25</v>
      </c>
      <c r="J65" s="27"/>
      <c r="K65" s="27"/>
      <c r="L65" s="27"/>
      <c r="M65" s="27"/>
      <c r="N65" s="27"/>
      <c r="O65" s="27"/>
      <c r="P65" s="27"/>
    </row>
    <row r="66">
      <c r="A66" s="9">
        <v>46055.0</v>
      </c>
      <c r="B66" s="2">
        <v>4700.0</v>
      </c>
      <c r="C66" s="1">
        <v>4.68</v>
      </c>
      <c r="D66" s="14"/>
      <c r="E66" s="11">
        <f t="shared" si="1"/>
        <v>21996</v>
      </c>
      <c r="F66" s="10" t="str">
        <f t="shared" si="2"/>
        <v/>
      </c>
      <c r="G66" s="11"/>
      <c r="H66" s="11">
        <f t="shared" si="3"/>
        <v>189568.74</v>
      </c>
      <c r="I66" s="8"/>
      <c r="J66" s="27"/>
      <c r="K66" s="27"/>
      <c r="L66" s="27"/>
      <c r="M66" s="27"/>
      <c r="N66" s="27"/>
      <c r="O66" s="27"/>
      <c r="P66" s="27"/>
    </row>
    <row r="67">
      <c r="A67" s="9">
        <v>46056.0</v>
      </c>
      <c r="B67" s="2">
        <v>5999.0</v>
      </c>
      <c r="C67" s="1">
        <v>4.68</v>
      </c>
      <c r="D67" s="14"/>
      <c r="E67" s="11">
        <f t="shared" si="1"/>
        <v>28075.32</v>
      </c>
      <c r="F67" s="10" t="str">
        <f t="shared" si="2"/>
        <v/>
      </c>
      <c r="G67" s="11"/>
      <c r="H67" s="11">
        <f t="shared" si="3"/>
        <v>217644.06</v>
      </c>
      <c r="I67" s="8"/>
      <c r="J67" s="27"/>
      <c r="K67" s="27"/>
      <c r="L67" s="27"/>
      <c r="M67" s="27"/>
      <c r="N67" s="27"/>
      <c r="O67" s="27"/>
      <c r="P67" s="27"/>
    </row>
    <row r="68">
      <c r="A68" s="9">
        <v>46057.0</v>
      </c>
      <c r="B68" s="2">
        <v>7699.0</v>
      </c>
      <c r="C68" s="1">
        <v>4.68</v>
      </c>
      <c r="D68" s="14"/>
      <c r="E68" s="11">
        <f t="shared" si="1"/>
        <v>36031.32</v>
      </c>
      <c r="F68" s="10" t="str">
        <f t="shared" si="2"/>
        <v/>
      </c>
      <c r="G68" s="11"/>
      <c r="H68" s="11">
        <f t="shared" si="3"/>
        <v>253675.38</v>
      </c>
      <c r="I68" s="8"/>
      <c r="J68" s="27"/>
      <c r="K68" s="27"/>
      <c r="L68" s="27"/>
      <c r="M68" s="27"/>
      <c r="N68" s="27"/>
      <c r="O68" s="27"/>
      <c r="P68" s="27"/>
    </row>
    <row r="69">
      <c r="A69" s="9">
        <v>46057.0</v>
      </c>
      <c r="B69" s="2">
        <v>8800.0</v>
      </c>
      <c r="C69" s="1">
        <v>4.68</v>
      </c>
      <c r="D69" s="14"/>
      <c r="E69" s="11">
        <f t="shared" si="1"/>
        <v>41184</v>
      </c>
      <c r="F69" s="10" t="str">
        <f t="shared" si="2"/>
        <v/>
      </c>
      <c r="G69" s="11"/>
      <c r="H69" s="11">
        <f t="shared" si="3"/>
        <v>294859.38</v>
      </c>
      <c r="I69" s="8"/>
      <c r="J69" s="27"/>
      <c r="K69" s="27"/>
      <c r="L69" s="27"/>
      <c r="M69" s="27"/>
      <c r="N69" s="27"/>
      <c r="O69" s="27"/>
      <c r="P69" s="27"/>
    </row>
    <row r="70">
      <c r="A70" s="9">
        <v>46061.0</v>
      </c>
      <c r="B70" s="2">
        <v>5600.0</v>
      </c>
      <c r="C70" s="1">
        <v>4.68</v>
      </c>
      <c r="D70" s="1">
        <v>25982.0</v>
      </c>
      <c r="E70" s="11">
        <f t="shared" si="1"/>
        <v>26208</v>
      </c>
      <c r="F70" s="10">
        <f t="shared" si="2"/>
        <v>226</v>
      </c>
      <c r="G70" s="11"/>
      <c r="H70" s="11">
        <f t="shared" si="3"/>
        <v>321067.38</v>
      </c>
      <c r="I70" s="8"/>
      <c r="J70" s="27"/>
      <c r="K70" s="27"/>
      <c r="L70" s="27"/>
      <c r="M70" s="27"/>
      <c r="N70" s="27"/>
      <c r="O70" s="27"/>
      <c r="P70" s="27"/>
    </row>
    <row r="71">
      <c r="A71" s="9">
        <v>46062.0</v>
      </c>
      <c r="B71" s="2">
        <v>7999.0</v>
      </c>
      <c r="C71" s="1">
        <v>4.7</v>
      </c>
      <c r="D71" s="1">
        <v>37035.0</v>
      </c>
      <c r="E71" s="11">
        <f t="shared" si="1"/>
        <v>37595.3</v>
      </c>
      <c r="F71" s="10">
        <f t="shared" si="2"/>
        <v>560.3</v>
      </c>
      <c r="G71" s="11"/>
      <c r="H71" s="11">
        <f t="shared" si="3"/>
        <v>358662.68</v>
      </c>
      <c r="I71" s="8"/>
      <c r="J71" s="27"/>
      <c r="K71" s="27"/>
      <c r="L71" s="27"/>
      <c r="M71" s="27"/>
      <c r="N71" s="27"/>
      <c r="O71" s="27"/>
      <c r="P71" s="27"/>
    </row>
    <row r="72">
      <c r="A72" s="9">
        <v>46062.0</v>
      </c>
      <c r="B72" s="2">
        <v>85.0</v>
      </c>
      <c r="C72" s="1">
        <v>4.7</v>
      </c>
      <c r="D72" s="1">
        <v>393.0</v>
      </c>
      <c r="E72" s="11">
        <f t="shared" si="1"/>
        <v>399.5</v>
      </c>
      <c r="F72" s="10">
        <f t="shared" si="2"/>
        <v>6.5</v>
      </c>
      <c r="G72" s="11"/>
      <c r="H72" s="11">
        <f t="shared" si="3"/>
        <v>359062.18</v>
      </c>
      <c r="I72" s="8"/>
      <c r="J72" s="27"/>
      <c r="K72" s="27"/>
      <c r="L72" s="27"/>
      <c r="M72" s="27"/>
      <c r="N72" s="27"/>
      <c r="O72" s="27"/>
      <c r="P72" s="27"/>
    </row>
    <row r="73">
      <c r="A73" s="9">
        <v>46063.0</v>
      </c>
      <c r="B73" s="2">
        <v>6050.0</v>
      </c>
      <c r="C73" s="1">
        <v>4.7</v>
      </c>
      <c r="D73" s="1">
        <v>28011.0</v>
      </c>
      <c r="E73" s="11">
        <f t="shared" si="1"/>
        <v>28435</v>
      </c>
      <c r="F73" s="10">
        <f t="shared" si="2"/>
        <v>424</v>
      </c>
      <c r="G73" s="11"/>
      <c r="H73" s="11">
        <f t="shared" si="3"/>
        <v>387497.18</v>
      </c>
      <c r="I73" s="8"/>
      <c r="J73" s="27"/>
      <c r="K73" s="27"/>
      <c r="L73" s="27"/>
      <c r="M73" s="27"/>
      <c r="N73" s="27"/>
      <c r="O73" s="27"/>
      <c r="P73" s="27"/>
    </row>
    <row r="74">
      <c r="A74" s="9">
        <v>46065.0</v>
      </c>
      <c r="B74" s="13"/>
      <c r="C74" s="8"/>
      <c r="D74" s="1"/>
      <c r="E74" s="11">
        <f t="shared" si="1"/>
        <v>0</v>
      </c>
      <c r="F74" s="10" t="str">
        <f t="shared" si="2"/>
        <v/>
      </c>
      <c r="G74" s="5">
        <v>200000.0</v>
      </c>
      <c r="H74" s="11">
        <f t="shared" si="3"/>
        <v>187497.18</v>
      </c>
      <c r="I74" s="1" t="s">
        <v>17</v>
      </c>
      <c r="J74" s="27"/>
      <c r="K74" s="27"/>
      <c r="L74" s="27"/>
      <c r="M74" s="27"/>
      <c r="N74" s="27"/>
      <c r="O74" s="27"/>
      <c r="P74" s="27"/>
    </row>
    <row r="75">
      <c r="A75" s="9">
        <v>46065.0</v>
      </c>
      <c r="B75" s="2">
        <v>15800.0</v>
      </c>
      <c r="C75" s="1">
        <v>4.7</v>
      </c>
      <c r="D75" s="1">
        <v>73154.0</v>
      </c>
      <c r="E75" s="11">
        <f t="shared" si="1"/>
        <v>74260</v>
      </c>
      <c r="F75" s="10">
        <f t="shared" si="2"/>
        <v>1106</v>
      </c>
      <c r="G75" s="11"/>
      <c r="H75" s="11">
        <f t="shared" si="3"/>
        <v>261757.18</v>
      </c>
      <c r="I75" s="8"/>
      <c r="J75" s="27"/>
      <c r="K75" s="27"/>
      <c r="L75" s="27"/>
      <c r="M75" s="27"/>
      <c r="N75" s="27"/>
      <c r="O75" s="27"/>
      <c r="P75" s="27"/>
    </row>
    <row r="76">
      <c r="A76" s="9">
        <v>46065.0</v>
      </c>
      <c r="B76" s="2">
        <v>3070.0</v>
      </c>
      <c r="C76" s="1">
        <v>4.7</v>
      </c>
      <c r="D76" s="1">
        <v>14214.0</v>
      </c>
      <c r="E76" s="11">
        <f t="shared" si="1"/>
        <v>14429</v>
      </c>
      <c r="F76" s="10">
        <f t="shared" si="2"/>
        <v>215</v>
      </c>
      <c r="G76" s="11"/>
      <c r="H76" s="11">
        <f t="shared" si="3"/>
        <v>276186.18</v>
      </c>
      <c r="I76" s="8"/>
      <c r="J76" s="27"/>
      <c r="K76" s="27"/>
      <c r="L76" s="27"/>
      <c r="M76" s="27"/>
      <c r="N76" s="27"/>
      <c r="O76" s="27"/>
      <c r="P76" s="27"/>
    </row>
    <row r="77">
      <c r="A77" s="9">
        <v>46066.0</v>
      </c>
      <c r="B77" s="13"/>
      <c r="C77" s="8"/>
      <c r="D77" s="14"/>
      <c r="E77" s="11">
        <f t="shared" si="1"/>
        <v>0</v>
      </c>
      <c r="F77" s="46"/>
      <c r="G77" s="5">
        <v>200000.0</v>
      </c>
      <c r="H77" s="11">
        <f t="shared" si="3"/>
        <v>76186.18</v>
      </c>
      <c r="I77" s="1" t="s">
        <v>17</v>
      </c>
      <c r="J77" s="27"/>
      <c r="K77" s="27"/>
      <c r="L77" s="27"/>
      <c r="M77" s="27"/>
      <c r="N77" s="27"/>
      <c r="O77" s="27"/>
      <c r="P77" s="27"/>
    </row>
    <row r="78">
      <c r="A78" s="9">
        <v>46067.0</v>
      </c>
      <c r="B78" s="2">
        <v>3107.0</v>
      </c>
      <c r="C78" s="1">
        <v>4.7</v>
      </c>
      <c r="D78" s="1">
        <v>4.63</v>
      </c>
      <c r="E78" s="11">
        <f t="shared" si="1"/>
        <v>14602.9</v>
      </c>
      <c r="F78" s="10">
        <f t="shared" ref="F78:F85" si="4">IF(D78=0, "", (C78-D78)*B78)</f>
        <v>217.49</v>
      </c>
      <c r="G78" s="11"/>
      <c r="H78" s="11">
        <f t="shared" si="3"/>
        <v>90789.08</v>
      </c>
      <c r="I78" s="8"/>
      <c r="J78" s="27"/>
      <c r="K78" s="27"/>
      <c r="L78" s="27"/>
      <c r="M78" s="27"/>
      <c r="N78" s="27"/>
      <c r="O78" s="27"/>
      <c r="P78" s="27"/>
    </row>
    <row r="79">
      <c r="A79" s="9">
        <v>46068.0</v>
      </c>
      <c r="B79" s="2">
        <v>2700.0</v>
      </c>
      <c r="C79" s="1">
        <v>4.7</v>
      </c>
      <c r="D79" s="1">
        <v>4.63</v>
      </c>
      <c r="E79" s="11">
        <f t="shared" si="1"/>
        <v>12690</v>
      </c>
      <c r="F79" s="10">
        <f t="shared" si="4"/>
        <v>189</v>
      </c>
      <c r="G79" s="11"/>
      <c r="H79" s="11">
        <f t="shared" si="3"/>
        <v>103479.08</v>
      </c>
      <c r="I79" s="8"/>
      <c r="J79" s="27"/>
      <c r="K79" s="27"/>
      <c r="L79" s="27"/>
      <c r="M79" s="27"/>
      <c r="N79" s="27"/>
      <c r="O79" s="27"/>
      <c r="P79" s="27"/>
    </row>
    <row r="80">
      <c r="A80" s="9">
        <v>46069.0</v>
      </c>
      <c r="B80" s="2">
        <v>4580.0</v>
      </c>
      <c r="C80" s="1">
        <v>4.7</v>
      </c>
      <c r="D80" s="1">
        <v>4.63</v>
      </c>
      <c r="E80" s="11">
        <f t="shared" si="1"/>
        <v>21526</v>
      </c>
      <c r="F80" s="10">
        <f t="shared" si="4"/>
        <v>320.6</v>
      </c>
      <c r="G80" s="11"/>
      <c r="H80" s="11">
        <f t="shared" si="3"/>
        <v>125005.08</v>
      </c>
      <c r="I80" s="8"/>
      <c r="J80" s="27"/>
      <c r="K80" s="27"/>
      <c r="L80" s="27"/>
      <c r="M80" s="27"/>
      <c r="N80" s="27"/>
      <c r="O80" s="27"/>
      <c r="P80" s="27"/>
    </row>
    <row r="81">
      <c r="A81" s="9">
        <v>46070.0</v>
      </c>
      <c r="B81" s="2">
        <v>3080.0</v>
      </c>
      <c r="C81" s="1">
        <v>4.7</v>
      </c>
      <c r="D81" s="1">
        <v>4.63</v>
      </c>
      <c r="E81" s="11">
        <f t="shared" si="1"/>
        <v>14476</v>
      </c>
      <c r="F81" s="10">
        <f t="shared" si="4"/>
        <v>215.6</v>
      </c>
      <c r="G81" s="11"/>
      <c r="H81" s="11">
        <f t="shared" si="3"/>
        <v>139481.08</v>
      </c>
      <c r="I81" s="8"/>
      <c r="J81" s="27"/>
      <c r="K81" s="27"/>
      <c r="L81" s="27"/>
      <c r="M81" s="27"/>
      <c r="N81" s="27"/>
      <c r="O81" s="27"/>
      <c r="P81" s="27"/>
    </row>
    <row r="82">
      <c r="A82" s="9">
        <v>46070.0</v>
      </c>
      <c r="B82" s="2">
        <v>3599.0</v>
      </c>
      <c r="C82" s="1">
        <v>4.7</v>
      </c>
      <c r="D82" s="1">
        <v>4.63</v>
      </c>
      <c r="E82" s="11">
        <f t="shared" si="1"/>
        <v>16915.3</v>
      </c>
      <c r="F82" s="10">
        <f t="shared" si="4"/>
        <v>251.93</v>
      </c>
      <c r="G82" s="11"/>
      <c r="H82" s="11">
        <f t="shared" si="3"/>
        <v>156396.38</v>
      </c>
      <c r="I82" s="8"/>
      <c r="J82" s="27"/>
      <c r="K82" s="27"/>
      <c r="L82" s="27"/>
      <c r="M82" s="27"/>
      <c r="N82" s="27"/>
      <c r="O82" s="27"/>
      <c r="P82" s="27"/>
    </row>
    <row r="83">
      <c r="A83" s="9">
        <v>46071.0</v>
      </c>
      <c r="B83" s="2">
        <v>7300.0</v>
      </c>
      <c r="C83" s="1">
        <v>4.7</v>
      </c>
      <c r="D83" s="1">
        <v>4.64</v>
      </c>
      <c r="E83" s="11">
        <f t="shared" si="1"/>
        <v>34310</v>
      </c>
      <c r="F83" s="10">
        <f t="shared" si="4"/>
        <v>438</v>
      </c>
      <c r="G83" s="11"/>
      <c r="H83" s="11">
        <f t="shared" si="3"/>
        <v>190706.38</v>
      </c>
      <c r="I83" s="8"/>
      <c r="J83" s="27"/>
      <c r="K83" s="27"/>
      <c r="L83" s="27"/>
      <c r="M83" s="27"/>
      <c r="N83" s="27"/>
      <c r="O83" s="27"/>
      <c r="P83" s="27"/>
    </row>
    <row r="84">
      <c r="A84" s="9">
        <v>46077.0</v>
      </c>
      <c r="B84" s="2">
        <v>2000.0</v>
      </c>
      <c r="C84" s="1">
        <v>4.7</v>
      </c>
      <c r="D84" s="1">
        <v>4.64</v>
      </c>
      <c r="E84" s="11">
        <f t="shared" si="1"/>
        <v>9400</v>
      </c>
      <c r="F84" s="10">
        <f t="shared" si="4"/>
        <v>120</v>
      </c>
      <c r="G84" s="11"/>
      <c r="H84" s="11">
        <f t="shared" si="3"/>
        <v>200106.38</v>
      </c>
      <c r="I84" s="8"/>
      <c r="J84" s="27"/>
      <c r="K84" s="27"/>
      <c r="L84" s="27"/>
      <c r="M84" s="27"/>
      <c r="N84" s="27"/>
      <c r="O84" s="27"/>
      <c r="P84" s="27"/>
    </row>
    <row r="85">
      <c r="A85" s="9">
        <v>46078.0</v>
      </c>
      <c r="B85" s="2">
        <v>19399.0</v>
      </c>
      <c r="C85" s="1">
        <v>4.7</v>
      </c>
      <c r="D85" s="1">
        <v>4.64</v>
      </c>
      <c r="E85" s="11">
        <f t="shared" si="1"/>
        <v>91175.3</v>
      </c>
      <c r="F85" s="10">
        <f t="shared" si="4"/>
        <v>1163.94</v>
      </c>
      <c r="G85" s="11"/>
      <c r="H85" s="11">
        <f t="shared" si="3"/>
        <v>291281.68</v>
      </c>
      <c r="I85" s="8"/>
      <c r="J85" s="27"/>
      <c r="K85" s="27"/>
      <c r="L85" s="27"/>
      <c r="M85" s="27"/>
      <c r="N85" s="27"/>
      <c r="O85" s="27"/>
      <c r="P85" s="27"/>
    </row>
    <row r="86">
      <c r="A86" s="17" t="s">
        <v>35</v>
      </c>
      <c r="B86" s="2">
        <v>8600.0</v>
      </c>
      <c r="C86" s="20">
        <v>4.7</v>
      </c>
      <c r="D86" s="1">
        <v>4.64</v>
      </c>
      <c r="E86" s="5">
        <v>40420.0</v>
      </c>
      <c r="F86" s="4">
        <v>516.0000000000043</v>
      </c>
      <c r="G86" s="11"/>
      <c r="H86" s="11">
        <f t="shared" si="3"/>
        <v>331701.68</v>
      </c>
      <c r="I86" s="8"/>
      <c r="J86" s="27"/>
      <c r="K86" s="27"/>
      <c r="L86" s="27"/>
      <c r="M86" s="27"/>
      <c r="N86" s="27"/>
      <c r="O86" s="27"/>
      <c r="P86" s="27"/>
    </row>
    <row r="87">
      <c r="A87" s="17" t="s">
        <v>38</v>
      </c>
      <c r="B87" s="2">
        <v>9880.0</v>
      </c>
      <c r="C87" s="20">
        <v>4.7</v>
      </c>
      <c r="D87" s="1">
        <v>4.64</v>
      </c>
      <c r="E87" s="5">
        <v>46436.0</v>
      </c>
      <c r="F87" s="4">
        <v>592.800000000005</v>
      </c>
      <c r="G87" s="11"/>
      <c r="H87" s="11">
        <f t="shared" si="3"/>
        <v>378137.68</v>
      </c>
      <c r="I87" s="8"/>
      <c r="J87" s="27"/>
      <c r="K87" s="27"/>
      <c r="L87" s="27"/>
      <c r="M87" s="27"/>
      <c r="N87" s="27"/>
      <c r="O87" s="27"/>
      <c r="P87" s="27"/>
    </row>
    <row r="88">
      <c r="A88" s="17" t="s">
        <v>38</v>
      </c>
      <c r="B88" s="13"/>
      <c r="C88" s="8"/>
      <c r="D88" s="14"/>
      <c r="E88" s="11"/>
      <c r="F88" s="10"/>
      <c r="G88" s="5">
        <v>250000.0</v>
      </c>
      <c r="H88" s="11">
        <f t="shared" si="3"/>
        <v>128137.68</v>
      </c>
      <c r="I88" s="8"/>
      <c r="J88" s="27"/>
      <c r="K88" s="27"/>
      <c r="L88" s="27"/>
      <c r="M88" s="27"/>
      <c r="N88" s="27"/>
      <c r="O88" s="27"/>
      <c r="P88" s="27"/>
    </row>
    <row r="89">
      <c r="A89" s="17" t="s">
        <v>38</v>
      </c>
      <c r="B89" s="2">
        <v>3700.0</v>
      </c>
      <c r="C89" s="20">
        <v>4.7</v>
      </c>
      <c r="D89" s="1">
        <v>4.64</v>
      </c>
      <c r="E89" s="5">
        <v>17390.0</v>
      </c>
      <c r="F89" s="4">
        <v>222.00000000000185</v>
      </c>
      <c r="G89" s="11"/>
      <c r="H89" s="11">
        <f t="shared" si="3"/>
        <v>145527.68</v>
      </c>
      <c r="I89" s="8"/>
      <c r="J89" s="27"/>
      <c r="K89" s="27"/>
      <c r="L89" s="27"/>
      <c r="M89" s="27"/>
      <c r="N89" s="27"/>
      <c r="O89" s="27"/>
      <c r="P89" s="27"/>
    </row>
    <row r="90">
      <c r="A90" s="17" t="s">
        <v>92</v>
      </c>
      <c r="B90" s="2">
        <v>32880.0</v>
      </c>
      <c r="C90" s="20">
        <v>4.7</v>
      </c>
      <c r="D90" s="1">
        <v>4.64</v>
      </c>
      <c r="E90" s="5">
        <v>154536.0</v>
      </c>
      <c r="F90" s="4">
        <v>1972.8000000000163</v>
      </c>
      <c r="G90" s="11"/>
      <c r="H90" s="11">
        <f t="shared" si="3"/>
        <v>300063.68</v>
      </c>
      <c r="I90" s="8"/>
      <c r="J90" s="27"/>
      <c r="K90" s="27"/>
      <c r="L90" s="27"/>
      <c r="M90" s="27"/>
      <c r="N90" s="27"/>
      <c r="O90" s="27"/>
      <c r="P90" s="27"/>
    </row>
    <row r="91">
      <c r="A91" s="17" t="s">
        <v>92</v>
      </c>
      <c r="B91" s="13"/>
      <c r="C91" s="8"/>
      <c r="D91" s="14"/>
      <c r="E91" s="11"/>
      <c r="F91" s="10"/>
      <c r="G91" s="5">
        <v>100000.0</v>
      </c>
      <c r="H91" s="11">
        <f t="shared" si="3"/>
        <v>200063.68</v>
      </c>
      <c r="I91" s="8"/>
      <c r="J91" s="27"/>
      <c r="K91" s="27"/>
      <c r="L91" s="27"/>
      <c r="M91" s="27"/>
      <c r="N91" s="27"/>
      <c r="O91" s="27"/>
      <c r="P91" s="27"/>
    </row>
    <row r="92">
      <c r="A92" s="17" t="s">
        <v>39</v>
      </c>
      <c r="B92" s="2">
        <v>7999.0</v>
      </c>
      <c r="C92" s="20">
        <v>4.7</v>
      </c>
      <c r="D92" s="1">
        <v>4.64</v>
      </c>
      <c r="E92" s="5">
        <v>37595.3</v>
      </c>
      <c r="F92" s="4">
        <v>479.940000000004</v>
      </c>
      <c r="G92" s="11"/>
      <c r="H92" s="11">
        <f t="shared" si="3"/>
        <v>237658.98</v>
      </c>
      <c r="I92" s="8"/>
      <c r="J92" s="27"/>
      <c r="K92" s="27"/>
      <c r="L92" s="27"/>
      <c r="M92" s="27"/>
      <c r="N92" s="27"/>
      <c r="O92" s="27"/>
      <c r="P92" s="27"/>
    </row>
    <row r="93">
      <c r="A93" s="17" t="s">
        <v>40</v>
      </c>
      <c r="B93" s="2">
        <v>11880.0</v>
      </c>
      <c r="C93" s="20">
        <v>4.7</v>
      </c>
      <c r="D93" s="1">
        <v>4.59</v>
      </c>
      <c r="E93" s="5">
        <v>55836.0</v>
      </c>
      <c r="F93" s="4">
        <v>1306.8000000000038</v>
      </c>
      <c r="G93" s="11"/>
      <c r="H93" s="5">
        <v>293494.9800000002</v>
      </c>
      <c r="I93" s="8"/>
      <c r="J93" s="27"/>
      <c r="K93" s="27"/>
      <c r="L93" s="27"/>
      <c r="M93" s="27"/>
      <c r="N93" s="27"/>
      <c r="O93" s="27"/>
      <c r="P93" s="27"/>
    </row>
    <row r="94">
      <c r="A94" s="17" t="s">
        <v>43</v>
      </c>
      <c r="B94" s="2">
        <v>3600.0</v>
      </c>
      <c r="C94" s="20">
        <v>4.7</v>
      </c>
      <c r="D94" s="1">
        <v>4.67</v>
      </c>
      <c r="E94" s="5">
        <v>16920.0</v>
      </c>
      <c r="F94" s="4">
        <v>108.0000000000009</v>
      </c>
      <c r="G94" s="11"/>
      <c r="H94" s="5">
        <v>310414.9800000002</v>
      </c>
      <c r="I94" s="8"/>
      <c r="J94" s="27"/>
      <c r="K94" s="27"/>
      <c r="L94" s="27"/>
      <c r="M94" s="27"/>
      <c r="N94" s="27"/>
      <c r="O94" s="27"/>
      <c r="P94" s="27"/>
    </row>
    <row r="95">
      <c r="A95" s="17" t="s">
        <v>43</v>
      </c>
      <c r="B95" s="2">
        <v>4045.0</v>
      </c>
      <c r="C95" s="20">
        <v>4.72</v>
      </c>
      <c r="D95" s="1">
        <v>4.67</v>
      </c>
      <c r="E95" s="5">
        <v>19092.399999999998</v>
      </c>
      <c r="F95" s="4">
        <v>202.2499999999993</v>
      </c>
      <c r="G95" s="11"/>
      <c r="H95" s="5">
        <v>329507.38000000024</v>
      </c>
      <c r="I95" s="8"/>
      <c r="J95" s="27"/>
      <c r="K95" s="27"/>
      <c r="L95" s="27"/>
      <c r="M95" s="27"/>
      <c r="N95" s="27"/>
      <c r="O95" s="27"/>
      <c r="P95" s="27"/>
    </row>
    <row r="96">
      <c r="A96" s="17" t="s">
        <v>43</v>
      </c>
      <c r="B96" s="13"/>
      <c r="C96" s="8"/>
      <c r="D96" s="14"/>
      <c r="E96" s="11"/>
      <c r="F96" s="10"/>
      <c r="G96" s="5">
        <v>200000.0</v>
      </c>
      <c r="H96" s="5">
        <v>129507.38000000024</v>
      </c>
      <c r="I96" s="8"/>
      <c r="J96" s="27"/>
      <c r="K96" s="27"/>
      <c r="L96" s="27"/>
      <c r="M96" s="27"/>
      <c r="N96" s="27"/>
      <c r="O96" s="27"/>
      <c r="P96" s="27"/>
    </row>
    <row r="97">
      <c r="A97" s="17" t="s">
        <v>43</v>
      </c>
      <c r="B97" s="2">
        <v>2580.0</v>
      </c>
      <c r="C97" s="20">
        <v>4.72</v>
      </c>
      <c r="D97" s="1">
        <v>4.67</v>
      </c>
      <c r="E97" s="5">
        <v>12177.599999999999</v>
      </c>
      <c r="F97" s="4">
        <v>128.99999999999955</v>
      </c>
      <c r="G97" s="11"/>
      <c r="H97" s="5">
        <v>141684.98000000024</v>
      </c>
      <c r="I97" s="8"/>
      <c r="J97" s="27"/>
      <c r="K97" s="27"/>
      <c r="L97" s="27"/>
      <c r="M97" s="27"/>
      <c r="N97" s="27"/>
      <c r="O97" s="27"/>
      <c r="P97" s="27"/>
    </row>
    <row r="98">
      <c r="A98" s="17" t="s">
        <v>44</v>
      </c>
      <c r="B98" s="2">
        <v>3000.0</v>
      </c>
      <c r="C98" s="20">
        <v>4.73</v>
      </c>
      <c r="D98" s="1">
        <v>4.67</v>
      </c>
      <c r="E98" s="5">
        <v>14190.000000000002</v>
      </c>
      <c r="F98" s="4">
        <v>180.00000000000148</v>
      </c>
      <c r="G98" s="11"/>
      <c r="H98" s="5">
        <v>155874.98000000024</v>
      </c>
      <c r="I98" s="8"/>
      <c r="J98" s="27"/>
      <c r="K98" s="27"/>
      <c r="L98" s="27"/>
      <c r="M98" s="27"/>
      <c r="N98" s="27"/>
      <c r="O98" s="27"/>
      <c r="P98" s="27"/>
    </row>
    <row r="99">
      <c r="A99" s="17" t="s">
        <v>45</v>
      </c>
      <c r="B99" s="13"/>
      <c r="C99" s="8"/>
      <c r="D99" s="14"/>
      <c r="E99" s="11"/>
      <c r="F99" s="10"/>
      <c r="G99" s="5">
        <v>100000.0</v>
      </c>
      <c r="H99" s="5">
        <v>55874.98000000024</v>
      </c>
      <c r="I99" s="8"/>
      <c r="J99" s="27"/>
      <c r="K99" s="27"/>
      <c r="L99" s="27"/>
      <c r="M99" s="27"/>
      <c r="N99" s="27"/>
      <c r="O99" s="27"/>
      <c r="P99" s="27"/>
    </row>
    <row r="100">
      <c r="A100" s="17" t="s">
        <v>93</v>
      </c>
      <c r="B100" s="2">
        <v>12700.0</v>
      </c>
      <c r="C100" s="20">
        <v>4.72</v>
      </c>
      <c r="D100" s="1">
        <v>4.67</v>
      </c>
      <c r="E100" s="5">
        <v>59944.0</v>
      </c>
      <c r="F100" s="4">
        <v>634.9999999999977</v>
      </c>
      <c r="G100" s="11"/>
      <c r="H100" s="5">
        <v>115818.98000000024</v>
      </c>
      <c r="I100" s="8"/>
      <c r="J100" s="27"/>
      <c r="K100" s="27"/>
      <c r="L100" s="27"/>
      <c r="M100" s="27"/>
      <c r="N100" s="27"/>
      <c r="O100" s="27"/>
      <c r="P100" s="27"/>
    </row>
    <row r="101">
      <c r="A101" s="17" t="s">
        <v>46</v>
      </c>
      <c r="B101" s="2">
        <v>4012.0</v>
      </c>
      <c r="C101" s="20">
        <v>4.72</v>
      </c>
      <c r="D101" s="1">
        <v>4.65</v>
      </c>
      <c r="E101" s="5">
        <v>18936.64</v>
      </c>
      <c r="F101" s="4">
        <v>280.8399999999976</v>
      </c>
      <c r="G101" s="11"/>
      <c r="H101" s="5">
        <v>134755.62000000023</v>
      </c>
      <c r="I101" s="8"/>
      <c r="J101" s="27"/>
      <c r="K101" s="27"/>
      <c r="L101" s="27"/>
      <c r="M101" s="27"/>
      <c r="N101" s="27"/>
      <c r="O101" s="27"/>
      <c r="P101" s="27"/>
    </row>
    <row r="102">
      <c r="A102" s="17" t="s">
        <v>47</v>
      </c>
      <c r="B102" s="2">
        <v>4699.0</v>
      </c>
      <c r="C102" s="20">
        <v>4.72</v>
      </c>
      <c r="D102" s="1">
        <v>4.65</v>
      </c>
      <c r="E102" s="5">
        <v>22179.28</v>
      </c>
      <c r="F102" s="4">
        <v>328.92999999999716</v>
      </c>
      <c r="G102" s="11"/>
      <c r="H102" s="5">
        <v>156934.90000000023</v>
      </c>
      <c r="I102" s="8"/>
      <c r="J102" s="27"/>
      <c r="K102" s="27"/>
      <c r="L102" s="27"/>
      <c r="M102" s="27"/>
      <c r="N102" s="27"/>
      <c r="O102" s="27"/>
      <c r="P102" s="27"/>
    </row>
    <row r="103">
      <c r="A103" s="17" t="s">
        <v>48</v>
      </c>
      <c r="B103" s="2">
        <v>6655.0</v>
      </c>
      <c r="C103" s="20">
        <v>4.72</v>
      </c>
      <c r="D103" s="1">
        <v>4.65</v>
      </c>
      <c r="E103" s="5">
        <v>31411.6</v>
      </c>
      <c r="F103" s="4">
        <v>465.849999999996</v>
      </c>
      <c r="G103" s="11"/>
      <c r="H103" s="5">
        <v>188346.50000000023</v>
      </c>
      <c r="I103" s="8"/>
      <c r="J103" s="27"/>
      <c r="K103" s="27"/>
      <c r="L103" s="27"/>
      <c r="M103" s="27"/>
      <c r="N103" s="27"/>
      <c r="O103" s="27"/>
      <c r="P103" s="27"/>
    </row>
    <row r="104">
      <c r="A104" s="17" t="s">
        <v>50</v>
      </c>
      <c r="B104" s="2">
        <v>3480.0</v>
      </c>
      <c r="C104" s="20">
        <v>4.72</v>
      </c>
      <c r="D104" s="1">
        <v>4.65</v>
      </c>
      <c r="E104" s="5">
        <v>16425.6</v>
      </c>
      <c r="F104" s="4">
        <v>243.5999999999979</v>
      </c>
      <c r="G104" s="11"/>
      <c r="H104" s="5">
        <v>204772.10000000024</v>
      </c>
      <c r="I104" s="8"/>
      <c r="J104" s="27"/>
      <c r="K104" s="27"/>
      <c r="L104" s="27"/>
      <c r="M104" s="27"/>
      <c r="N104" s="27"/>
      <c r="O104" s="27"/>
      <c r="P104" s="27"/>
    </row>
    <row r="105">
      <c r="A105" s="17" t="s">
        <v>50</v>
      </c>
      <c r="B105" s="2">
        <v>3999.0</v>
      </c>
      <c r="C105" s="20">
        <v>4.74</v>
      </c>
      <c r="D105" s="1">
        <v>4.68</v>
      </c>
      <c r="E105" s="5">
        <v>18955.260000000002</v>
      </c>
      <c r="F105" s="4">
        <v>239.940000000002</v>
      </c>
      <c r="G105" s="11"/>
      <c r="H105" s="5">
        <v>223727.36000000025</v>
      </c>
      <c r="I105" s="8"/>
      <c r="J105" s="27"/>
      <c r="K105" s="27"/>
      <c r="L105" s="27"/>
      <c r="M105" s="27"/>
      <c r="N105" s="27"/>
      <c r="O105" s="27"/>
      <c r="P105" s="27"/>
    </row>
    <row r="106">
      <c r="A106" s="17" t="s">
        <v>50</v>
      </c>
      <c r="B106" s="13"/>
      <c r="C106" s="8"/>
      <c r="D106" s="14"/>
      <c r="E106" s="11"/>
      <c r="F106" s="10"/>
      <c r="G106" s="5">
        <v>47554.0</v>
      </c>
      <c r="H106" s="5">
        <v>176173.36000000025</v>
      </c>
      <c r="I106" s="8"/>
      <c r="J106" s="27"/>
      <c r="K106" s="27"/>
      <c r="L106" s="27"/>
      <c r="M106" s="27"/>
      <c r="N106" s="27"/>
      <c r="O106" s="27"/>
      <c r="P106" s="27"/>
    </row>
    <row r="107">
      <c r="A107" s="17" t="s">
        <v>51</v>
      </c>
      <c r="B107" s="2">
        <v>8599.0</v>
      </c>
      <c r="C107" s="20">
        <v>4.74</v>
      </c>
      <c r="D107" s="1">
        <v>4.68</v>
      </c>
      <c r="E107" s="5">
        <v>40759.26</v>
      </c>
      <c r="F107" s="4">
        <v>515.9400000000043</v>
      </c>
      <c r="G107" s="11"/>
      <c r="H107" s="5">
        <v>216932.62000000026</v>
      </c>
      <c r="I107" s="8"/>
      <c r="J107" s="27"/>
      <c r="K107" s="27"/>
      <c r="L107" s="27"/>
      <c r="M107" s="27"/>
      <c r="N107" s="27"/>
      <c r="O107" s="27"/>
      <c r="P107" s="27"/>
    </row>
    <row r="108">
      <c r="A108" s="17" t="s">
        <v>53</v>
      </c>
      <c r="B108" s="2">
        <v>6800.0</v>
      </c>
      <c r="C108" s="20">
        <v>4.72</v>
      </c>
      <c r="D108" s="1">
        <v>4.67</v>
      </c>
      <c r="E108" s="5">
        <v>32096.0</v>
      </c>
      <c r="F108" s="4">
        <v>339.9999999999988</v>
      </c>
      <c r="G108" s="11"/>
      <c r="H108" s="5">
        <v>249028.62000000026</v>
      </c>
      <c r="I108" s="8"/>
      <c r="J108" s="27"/>
      <c r="K108" s="27"/>
      <c r="L108" s="27"/>
      <c r="M108" s="27"/>
      <c r="N108" s="27"/>
      <c r="O108" s="27"/>
      <c r="P108" s="27"/>
    </row>
    <row r="109">
      <c r="A109" s="17" t="s">
        <v>54</v>
      </c>
      <c r="B109" s="2">
        <v>4000.0</v>
      </c>
      <c r="C109" s="20">
        <v>4.71</v>
      </c>
      <c r="D109" s="1">
        <v>4.66</v>
      </c>
      <c r="E109" s="5">
        <v>18840.0</v>
      </c>
      <c r="F109" s="4">
        <v>199.9999999999993</v>
      </c>
      <c r="G109" s="11"/>
      <c r="H109" s="5">
        <v>267868.6200000002</v>
      </c>
      <c r="I109" s="8"/>
      <c r="J109" s="27"/>
      <c r="K109" s="27"/>
      <c r="L109" s="27"/>
      <c r="M109" s="27"/>
      <c r="N109" s="27"/>
      <c r="O109" s="27"/>
      <c r="P109" s="27"/>
    </row>
    <row r="110">
      <c r="A110" s="17" t="s">
        <v>55</v>
      </c>
      <c r="B110" s="2">
        <v>5628.0</v>
      </c>
      <c r="C110" s="20">
        <v>4.71</v>
      </c>
      <c r="D110" s="1">
        <v>4.66</v>
      </c>
      <c r="E110" s="5">
        <v>26507.88</v>
      </c>
      <c r="F110" s="4">
        <v>281.399999999999</v>
      </c>
      <c r="G110" s="11"/>
      <c r="H110" s="5">
        <v>294376.50000000023</v>
      </c>
      <c r="I110" s="8"/>
      <c r="J110" s="27"/>
      <c r="K110" s="27"/>
      <c r="L110" s="27"/>
      <c r="M110" s="27"/>
      <c r="N110" s="27"/>
      <c r="O110" s="27"/>
      <c r="P110" s="27"/>
    </row>
    <row r="111">
      <c r="A111" s="17" t="s">
        <v>94</v>
      </c>
      <c r="B111" s="2">
        <v>14600.0</v>
      </c>
      <c r="C111" s="20">
        <v>4.71</v>
      </c>
      <c r="D111" s="1">
        <v>4.66</v>
      </c>
      <c r="E111" s="5">
        <v>68766.0</v>
      </c>
      <c r="F111" s="4">
        <v>729.9999999999974</v>
      </c>
      <c r="G111" s="11"/>
      <c r="H111" s="5">
        <v>363142.50000000023</v>
      </c>
      <c r="I111" s="8"/>
      <c r="J111" s="27"/>
      <c r="K111" s="27"/>
      <c r="L111" s="27"/>
      <c r="M111" s="27"/>
      <c r="N111" s="27"/>
      <c r="O111" s="27"/>
      <c r="P111" s="27"/>
    </row>
    <row r="112">
      <c r="A112" s="17" t="s">
        <v>59</v>
      </c>
      <c r="B112" s="13"/>
      <c r="C112" s="8"/>
      <c r="D112" s="14"/>
      <c r="E112" s="11"/>
      <c r="F112" s="10"/>
      <c r="G112" s="5">
        <v>200000.0</v>
      </c>
      <c r="H112" s="5">
        <v>163142.50000000023</v>
      </c>
      <c r="I112" s="8"/>
      <c r="J112" s="27"/>
      <c r="K112" s="27"/>
      <c r="L112" s="27"/>
      <c r="M112" s="27"/>
      <c r="N112" s="27"/>
      <c r="O112" s="27"/>
      <c r="P112" s="27"/>
    </row>
    <row r="113">
      <c r="A113" s="17" t="s">
        <v>95</v>
      </c>
      <c r="B113" s="2">
        <v>16399.0</v>
      </c>
      <c r="C113" s="20">
        <v>4.73</v>
      </c>
      <c r="D113" s="1">
        <v>4.68</v>
      </c>
      <c r="E113" s="5">
        <v>77567.27</v>
      </c>
      <c r="F113" s="4">
        <v>819.9500000000116</v>
      </c>
      <c r="G113" s="11"/>
      <c r="H113" s="5">
        <v>240709.77000000025</v>
      </c>
      <c r="I113" s="8"/>
      <c r="J113" s="27"/>
      <c r="K113" s="27"/>
      <c r="L113" s="27"/>
      <c r="M113" s="27"/>
      <c r="N113" s="27"/>
      <c r="O113" s="27"/>
      <c r="P113" s="27"/>
    </row>
    <row r="114">
      <c r="A114" s="17" t="s">
        <v>61</v>
      </c>
      <c r="B114" s="2">
        <v>7900.0</v>
      </c>
      <c r="C114" s="20">
        <v>4.73</v>
      </c>
      <c r="D114" s="1">
        <v>4.68</v>
      </c>
      <c r="E114" s="5">
        <v>37367.0</v>
      </c>
      <c r="F114" s="4">
        <v>395.0000000000056</v>
      </c>
      <c r="G114" s="11"/>
      <c r="H114" s="5">
        <v>278076.77000000025</v>
      </c>
      <c r="I114" s="8"/>
      <c r="J114" s="27"/>
      <c r="K114" s="27"/>
      <c r="L114" s="27"/>
      <c r="M114" s="27"/>
      <c r="N114" s="27"/>
      <c r="O114" s="27"/>
      <c r="P114" s="27"/>
    </row>
    <row r="115">
      <c r="A115" s="17" t="s">
        <v>61</v>
      </c>
      <c r="B115" s="2">
        <v>8500.0</v>
      </c>
      <c r="C115" s="20">
        <v>4.73</v>
      </c>
      <c r="D115" s="1">
        <v>4.68</v>
      </c>
      <c r="E115" s="5">
        <v>40205.0</v>
      </c>
      <c r="F115" s="4">
        <v>425.000000000006</v>
      </c>
      <c r="G115" s="11"/>
      <c r="H115" s="5">
        <v>318281.77000000025</v>
      </c>
      <c r="I115" s="8"/>
      <c r="J115" s="27"/>
      <c r="K115" s="27"/>
      <c r="L115" s="27"/>
      <c r="M115" s="27"/>
      <c r="N115" s="27"/>
      <c r="O115" s="27"/>
      <c r="P115" s="27"/>
    </row>
    <row r="116">
      <c r="A116" s="17" t="s">
        <v>61</v>
      </c>
      <c r="B116" s="13"/>
      <c r="C116" s="8"/>
      <c r="D116" s="14"/>
      <c r="E116" s="11"/>
      <c r="F116" s="10"/>
      <c r="G116" s="5">
        <v>100000.0</v>
      </c>
      <c r="H116" s="5">
        <v>218281.77000000025</v>
      </c>
      <c r="I116" s="8"/>
      <c r="J116" s="27"/>
      <c r="K116" s="27"/>
      <c r="L116" s="27"/>
      <c r="M116" s="27"/>
      <c r="N116" s="27"/>
      <c r="O116" s="27"/>
      <c r="P116" s="27"/>
    </row>
    <row r="117">
      <c r="A117" s="17" t="s">
        <v>62</v>
      </c>
      <c r="B117" s="2">
        <v>13500.0</v>
      </c>
      <c r="C117" s="20">
        <v>4.73</v>
      </c>
      <c r="D117" s="1">
        <v>4.68</v>
      </c>
      <c r="E117" s="5">
        <v>63855.00000000001</v>
      </c>
      <c r="F117" s="4">
        <v>675.0000000000095</v>
      </c>
      <c r="G117" s="11"/>
      <c r="H117" s="5">
        <v>282136.77000000025</v>
      </c>
      <c r="I117" s="8"/>
      <c r="J117" s="27"/>
      <c r="K117" s="27"/>
      <c r="L117" s="27"/>
      <c r="M117" s="27"/>
      <c r="N117" s="27"/>
      <c r="O117" s="27"/>
      <c r="P117" s="27"/>
    </row>
    <row r="118">
      <c r="A118" s="17" t="s">
        <v>63</v>
      </c>
      <c r="B118" s="2">
        <v>5730.0</v>
      </c>
      <c r="C118" s="20">
        <v>4.73</v>
      </c>
      <c r="D118" s="1">
        <v>4.68</v>
      </c>
      <c r="E118" s="5">
        <v>27102.9</v>
      </c>
      <c r="F118" s="4">
        <v>286.5000000000041</v>
      </c>
      <c r="G118" s="11"/>
      <c r="H118" s="5">
        <v>309239.6700000003</v>
      </c>
      <c r="I118" s="8"/>
      <c r="J118" s="27"/>
      <c r="K118" s="27"/>
      <c r="L118" s="27"/>
      <c r="M118" s="27"/>
      <c r="N118" s="27"/>
      <c r="O118" s="27"/>
      <c r="P118" s="27"/>
    </row>
    <row r="119">
      <c r="A119" s="17" t="s">
        <v>65</v>
      </c>
      <c r="B119" s="2">
        <v>3183.0</v>
      </c>
      <c r="C119" s="1">
        <v>4.73</v>
      </c>
      <c r="D119" s="1">
        <v>4.68</v>
      </c>
      <c r="E119" s="5">
        <v>15055.59</v>
      </c>
      <c r="F119" s="4">
        <v>159.15</v>
      </c>
      <c r="G119" s="11"/>
      <c r="H119" s="5">
        <v>324296.0</v>
      </c>
      <c r="I119" s="8"/>
      <c r="J119" s="27"/>
      <c r="K119" s="27"/>
      <c r="L119" s="27"/>
      <c r="M119" s="27"/>
      <c r="N119" s="27"/>
      <c r="O119" s="27"/>
      <c r="P119" s="27"/>
    </row>
    <row r="120">
      <c r="A120" s="17" t="s">
        <v>67</v>
      </c>
      <c r="B120" s="13"/>
      <c r="C120" s="8"/>
      <c r="D120" s="14"/>
      <c r="E120" s="11"/>
      <c r="F120" s="10"/>
      <c r="G120" s="5">
        <v>200000.0</v>
      </c>
      <c r="H120" s="5">
        <v>124296.0</v>
      </c>
      <c r="I120" s="8"/>
      <c r="J120" s="27"/>
      <c r="K120" s="27"/>
      <c r="L120" s="27"/>
      <c r="M120" s="27"/>
      <c r="N120" s="27"/>
      <c r="O120" s="27"/>
      <c r="P120" s="27"/>
    </row>
    <row r="121">
      <c r="A121" s="17" t="s">
        <v>68</v>
      </c>
      <c r="B121" s="2">
        <v>13500.0</v>
      </c>
      <c r="C121" s="20">
        <v>4.73</v>
      </c>
      <c r="D121" s="1">
        <v>4.66</v>
      </c>
      <c r="E121" s="5">
        <v>63855.00000000001</v>
      </c>
      <c r="F121" s="4">
        <v>945.0000000000039</v>
      </c>
      <c r="G121" s="11"/>
      <c r="H121" s="5">
        <v>188151.0</v>
      </c>
      <c r="I121" s="8"/>
      <c r="J121" s="27"/>
      <c r="K121" s="27"/>
      <c r="L121" s="27"/>
      <c r="M121" s="27"/>
      <c r="N121" s="27"/>
      <c r="O121" s="27"/>
      <c r="P121" s="27"/>
    </row>
    <row r="122">
      <c r="A122" s="17" t="s">
        <v>69</v>
      </c>
      <c r="B122" s="2">
        <v>3000.0</v>
      </c>
      <c r="C122" s="20">
        <v>4.73</v>
      </c>
      <c r="D122" s="1">
        <v>4.66</v>
      </c>
      <c r="E122" s="5">
        <v>14190.000000000002</v>
      </c>
      <c r="F122" s="4">
        <v>210.00000000000085</v>
      </c>
      <c r="G122" s="11"/>
      <c r="H122" s="5">
        <v>202341.0</v>
      </c>
      <c r="I122" s="8"/>
      <c r="J122" s="27"/>
      <c r="K122" s="27"/>
      <c r="L122" s="27"/>
      <c r="M122" s="27"/>
      <c r="N122" s="27"/>
      <c r="O122" s="27"/>
      <c r="P122" s="27"/>
    </row>
    <row r="123">
      <c r="A123" s="17" t="s">
        <v>70</v>
      </c>
      <c r="B123" s="2">
        <v>19299.0</v>
      </c>
      <c r="C123" s="20">
        <v>4.73</v>
      </c>
      <c r="D123" s="1">
        <v>4.66</v>
      </c>
      <c r="E123" s="5">
        <v>91284.27</v>
      </c>
      <c r="F123" s="4">
        <v>1350.9300000000055</v>
      </c>
      <c r="G123" s="11"/>
      <c r="H123" s="5">
        <v>293625.27</v>
      </c>
      <c r="I123" s="8"/>
      <c r="J123" s="27"/>
      <c r="K123" s="27"/>
      <c r="L123" s="27"/>
      <c r="M123" s="27"/>
      <c r="N123" s="27"/>
      <c r="O123" s="27"/>
      <c r="P123" s="27"/>
    </row>
    <row r="124">
      <c r="A124" s="30" t="s">
        <v>75</v>
      </c>
      <c r="B124" s="35"/>
      <c r="C124" s="27"/>
      <c r="D124" s="36"/>
      <c r="E124" s="34"/>
      <c r="F124" s="38"/>
      <c r="G124" s="28">
        <v>150000.0</v>
      </c>
      <c r="H124" s="28">
        <v>143625.27000000002</v>
      </c>
      <c r="I124" s="27"/>
      <c r="J124" s="27"/>
      <c r="K124" s="27"/>
      <c r="L124" s="27"/>
      <c r="M124" s="27"/>
      <c r="N124" s="27"/>
      <c r="O124" s="27"/>
      <c r="P124" s="27"/>
    </row>
    <row r="125">
      <c r="A125" s="30" t="s">
        <v>75</v>
      </c>
      <c r="B125" s="31">
        <v>5999.0</v>
      </c>
      <c r="C125" s="44">
        <v>4.73</v>
      </c>
      <c r="D125" s="25">
        <v>4.68</v>
      </c>
      <c r="E125" s="28">
        <v>28375.270000000004</v>
      </c>
      <c r="F125" s="33">
        <v>299.95000000000425</v>
      </c>
      <c r="G125" s="34"/>
      <c r="H125" s="28">
        <v>172000.54000000004</v>
      </c>
      <c r="I125" s="27"/>
      <c r="J125" s="27"/>
      <c r="K125" s="27"/>
      <c r="L125" s="27"/>
      <c r="M125" s="27"/>
      <c r="N125" s="27"/>
      <c r="O125" s="27"/>
      <c r="P125" s="27"/>
    </row>
    <row r="126">
      <c r="A126" s="30" t="s">
        <v>75</v>
      </c>
      <c r="B126" s="31">
        <v>2999.0</v>
      </c>
      <c r="C126" s="44">
        <v>4.73</v>
      </c>
      <c r="D126" s="25">
        <v>4.68</v>
      </c>
      <c r="E126" s="28">
        <v>14185.27</v>
      </c>
      <c r="F126" s="33">
        <v>149.95000000000212</v>
      </c>
      <c r="G126" s="34"/>
      <c r="H126" s="28">
        <v>186185.81000000003</v>
      </c>
      <c r="I126" s="27"/>
      <c r="J126" s="27"/>
      <c r="K126" s="27"/>
      <c r="L126" s="27"/>
      <c r="M126" s="27"/>
      <c r="N126" s="27"/>
      <c r="O126" s="27"/>
      <c r="P126" s="27"/>
    </row>
    <row r="127">
      <c r="A127" s="30" t="s">
        <v>75</v>
      </c>
      <c r="B127" s="35"/>
      <c r="C127" s="27"/>
      <c r="D127" s="36"/>
      <c r="E127" s="34"/>
      <c r="F127" s="38"/>
      <c r="G127" s="28">
        <v>100000.0</v>
      </c>
      <c r="H127" s="28">
        <v>86185.81000000003</v>
      </c>
      <c r="I127" s="27"/>
      <c r="J127" s="27"/>
      <c r="K127" s="27"/>
      <c r="L127" s="27"/>
      <c r="M127" s="27"/>
      <c r="N127" s="27"/>
      <c r="O127" s="27"/>
      <c r="P127" s="27"/>
    </row>
    <row r="128">
      <c r="A128" s="30" t="s">
        <v>75</v>
      </c>
      <c r="B128" s="31">
        <v>3000.0</v>
      </c>
      <c r="C128" s="44">
        <v>4.73</v>
      </c>
      <c r="D128" s="25">
        <v>4.68</v>
      </c>
      <c r="E128" s="28">
        <v>14190.000000000002</v>
      </c>
      <c r="F128" s="33">
        <v>150.00000000000213</v>
      </c>
      <c r="G128" s="34"/>
      <c r="H128" s="28">
        <v>100375.81000000003</v>
      </c>
      <c r="I128" s="27"/>
      <c r="J128" s="27"/>
      <c r="K128" s="27"/>
      <c r="L128" s="27"/>
      <c r="M128" s="27"/>
      <c r="N128" s="27"/>
      <c r="O128" s="27"/>
      <c r="P128" s="27"/>
    </row>
    <row r="129">
      <c r="A129" s="30" t="s">
        <v>77</v>
      </c>
      <c r="B129" s="31">
        <v>1200.0</v>
      </c>
      <c r="C129" s="44">
        <v>4.73</v>
      </c>
      <c r="D129" s="25">
        <v>4.63</v>
      </c>
      <c r="E129" s="28">
        <v>5676.000000000001</v>
      </c>
      <c r="F129" s="33">
        <v>120.00000000000064</v>
      </c>
      <c r="G129" s="34"/>
      <c r="H129" s="28">
        <v>106051.81000000003</v>
      </c>
      <c r="I129" s="27"/>
      <c r="J129" s="27"/>
      <c r="K129" s="27"/>
      <c r="L129" s="27"/>
      <c r="M129" s="27"/>
      <c r="N129" s="27"/>
      <c r="O129" s="27"/>
      <c r="P129" s="27"/>
    </row>
    <row r="130">
      <c r="A130" s="30" t="s">
        <v>78</v>
      </c>
      <c r="B130" s="31">
        <v>6400.0</v>
      </c>
      <c r="C130" s="44">
        <v>4.73</v>
      </c>
      <c r="D130" s="25">
        <v>4.63</v>
      </c>
      <c r="E130" s="28">
        <v>30272.000000000004</v>
      </c>
      <c r="F130" s="33">
        <v>640.0000000000034</v>
      </c>
      <c r="G130" s="34"/>
      <c r="H130" s="28">
        <v>136323.81000000003</v>
      </c>
      <c r="I130" s="27"/>
      <c r="J130" s="27"/>
      <c r="K130" s="27"/>
      <c r="L130" s="27"/>
      <c r="M130" s="27"/>
      <c r="N130" s="27"/>
      <c r="O130" s="27"/>
      <c r="P130" s="27"/>
    </row>
    <row r="131">
      <c r="A131" s="30" t="s">
        <v>80</v>
      </c>
      <c r="B131" s="31">
        <v>8700.0</v>
      </c>
      <c r="C131" s="44">
        <v>4.73</v>
      </c>
      <c r="D131" s="25">
        <v>4.69</v>
      </c>
      <c r="E131" s="28">
        <v>41151.00000000001</v>
      </c>
      <c r="F131" s="33">
        <v>348.0000000000003</v>
      </c>
      <c r="G131" s="34"/>
      <c r="H131" s="28">
        <v>177474.81000000003</v>
      </c>
      <c r="I131" s="27"/>
      <c r="J131" s="27"/>
      <c r="K131" s="27"/>
      <c r="L131" s="27"/>
      <c r="M131" s="27"/>
      <c r="N131" s="27"/>
      <c r="O131" s="27"/>
      <c r="P131" s="27"/>
    </row>
    <row r="132">
      <c r="A132" s="30" t="s">
        <v>96</v>
      </c>
      <c r="B132" s="31">
        <v>2380.0</v>
      </c>
      <c r="C132" s="44">
        <v>4.73</v>
      </c>
      <c r="D132" s="25">
        <v>4.69</v>
      </c>
      <c r="E132" s="28">
        <v>11257.400000000001</v>
      </c>
      <c r="F132" s="33">
        <v>95.20000000000009</v>
      </c>
      <c r="G132" s="34"/>
      <c r="H132" s="28">
        <v>188732.21000000002</v>
      </c>
      <c r="I132" s="27"/>
      <c r="J132" s="27"/>
      <c r="K132" s="27"/>
      <c r="L132" s="27"/>
      <c r="M132" s="27"/>
      <c r="N132" s="27"/>
      <c r="O132" s="27"/>
      <c r="P132" s="27"/>
    </row>
    <row r="133">
      <c r="A133" s="30" t="s">
        <v>83</v>
      </c>
      <c r="B133" s="31">
        <v>13700.0</v>
      </c>
      <c r="C133" s="44">
        <v>4.73</v>
      </c>
      <c r="D133" s="25">
        <v>4.69</v>
      </c>
      <c r="E133" s="28">
        <v>64801.00000000001</v>
      </c>
      <c r="F133" s="33">
        <v>548.0000000000005</v>
      </c>
      <c r="G133" s="34"/>
      <c r="H133" s="28">
        <v>253533.21000000002</v>
      </c>
      <c r="I133" s="27"/>
      <c r="J133" s="27"/>
      <c r="K133" s="27"/>
      <c r="L133" s="27"/>
      <c r="M133" s="27"/>
      <c r="N133" s="27"/>
      <c r="O133" s="27"/>
      <c r="P133" s="27"/>
    </row>
    <row r="134">
      <c r="A134" s="30" t="s">
        <v>84</v>
      </c>
      <c r="B134" s="35"/>
      <c r="C134" s="27"/>
      <c r="D134" s="36"/>
      <c r="E134" s="34"/>
      <c r="F134" s="38"/>
      <c r="G134" s="28">
        <v>120000.0</v>
      </c>
      <c r="H134" s="28">
        <v>133533.21000000002</v>
      </c>
      <c r="I134" s="27"/>
      <c r="J134" s="27"/>
      <c r="K134" s="27"/>
      <c r="L134" s="27"/>
      <c r="M134" s="27"/>
      <c r="N134" s="27"/>
      <c r="O134" s="27"/>
      <c r="P134" s="27"/>
    </row>
    <row r="135">
      <c r="A135" s="30" t="s">
        <v>85</v>
      </c>
      <c r="B135" s="31">
        <v>13800.0</v>
      </c>
      <c r="C135" s="44">
        <v>4.73</v>
      </c>
      <c r="D135" s="25">
        <v>4.63</v>
      </c>
      <c r="E135" s="28">
        <v>65274.00000000001</v>
      </c>
      <c r="F135" s="33">
        <v>1380.0000000000073</v>
      </c>
      <c r="G135" s="34"/>
      <c r="H135" s="28">
        <v>198807.21000000002</v>
      </c>
      <c r="I135" s="27"/>
      <c r="J135" s="27"/>
      <c r="K135" s="27"/>
      <c r="L135" s="27"/>
      <c r="M135" s="27"/>
      <c r="N135" s="27"/>
      <c r="O135" s="27"/>
      <c r="P135" s="27"/>
    </row>
    <row r="136">
      <c r="A136" s="27"/>
      <c r="B136" s="35"/>
      <c r="C136" s="27"/>
      <c r="D136" s="36"/>
      <c r="E136" s="34"/>
      <c r="F136" s="38"/>
      <c r="G136" s="34"/>
      <c r="H136" s="34"/>
      <c r="I136" s="27"/>
      <c r="J136" s="27"/>
      <c r="K136" s="27"/>
      <c r="L136" s="27"/>
      <c r="M136" s="27"/>
      <c r="N136" s="27"/>
      <c r="O136" s="27"/>
      <c r="P136" s="27"/>
    </row>
    <row r="137">
      <c r="A137" s="27"/>
      <c r="B137" s="35"/>
      <c r="C137" s="27"/>
      <c r="D137" s="36"/>
      <c r="E137" s="34"/>
      <c r="F137" s="38"/>
      <c r="G137" s="34"/>
      <c r="H137" s="34"/>
      <c r="I137" s="27"/>
      <c r="J137" s="27"/>
      <c r="K137" s="27"/>
      <c r="L137" s="27"/>
      <c r="M137" s="27"/>
      <c r="N137" s="27"/>
      <c r="O137" s="27"/>
      <c r="P137" s="27"/>
    </row>
    <row r="138">
      <c r="A138" s="27"/>
      <c r="B138" s="35"/>
      <c r="C138" s="27"/>
      <c r="D138" s="36"/>
      <c r="E138" s="34"/>
      <c r="F138" s="38"/>
      <c r="G138" s="34"/>
      <c r="H138" s="34"/>
      <c r="I138" s="27"/>
      <c r="J138" s="27"/>
      <c r="K138" s="27"/>
      <c r="L138" s="27"/>
      <c r="M138" s="27"/>
      <c r="N138" s="27"/>
      <c r="O138" s="27"/>
      <c r="P138" s="27"/>
    </row>
    <row r="139">
      <c r="A139" s="27"/>
      <c r="B139" s="35"/>
      <c r="C139" s="27"/>
      <c r="D139" s="36"/>
      <c r="E139" s="34"/>
      <c r="F139" s="38"/>
      <c r="G139" s="34"/>
      <c r="H139" s="34"/>
      <c r="I139" s="27"/>
      <c r="J139" s="27"/>
      <c r="K139" s="27"/>
      <c r="L139" s="27"/>
      <c r="M139" s="27"/>
      <c r="N139" s="27"/>
      <c r="O139" s="27"/>
      <c r="P139" s="27"/>
    </row>
    <row r="140">
      <c r="A140" s="27"/>
      <c r="B140" s="35"/>
      <c r="C140" s="27"/>
      <c r="D140" s="36"/>
      <c r="E140" s="34"/>
      <c r="F140" s="38"/>
      <c r="G140" s="34"/>
      <c r="H140" s="34"/>
      <c r="I140" s="27"/>
      <c r="J140" s="27"/>
      <c r="K140" s="27"/>
      <c r="L140" s="27"/>
      <c r="M140" s="27"/>
      <c r="N140" s="27"/>
      <c r="O140" s="27"/>
      <c r="P140" s="27"/>
    </row>
    <row r="141">
      <c r="A141" s="27"/>
      <c r="B141" s="35"/>
      <c r="C141" s="27"/>
      <c r="D141" s="36"/>
      <c r="E141" s="34"/>
      <c r="F141" s="38"/>
      <c r="G141" s="34"/>
      <c r="H141" s="34"/>
      <c r="I141" s="27"/>
      <c r="J141" s="27"/>
      <c r="K141" s="27"/>
      <c r="L141" s="27"/>
      <c r="M141" s="27"/>
      <c r="N141" s="27"/>
      <c r="O141" s="27"/>
      <c r="P141" s="27"/>
    </row>
    <row r="142">
      <c r="A142" s="27"/>
      <c r="B142" s="35"/>
      <c r="C142" s="27"/>
      <c r="D142" s="36"/>
      <c r="E142" s="34"/>
      <c r="F142" s="38"/>
      <c r="G142" s="34"/>
      <c r="H142" s="34"/>
      <c r="I142" s="27"/>
      <c r="J142" s="27"/>
      <c r="K142" s="27"/>
      <c r="L142" s="27"/>
      <c r="M142" s="27"/>
      <c r="N142" s="27"/>
      <c r="O142" s="27"/>
      <c r="P142" s="27"/>
    </row>
    <row r="143">
      <c r="A143" s="27"/>
      <c r="B143" s="35"/>
      <c r="C143" s="27"/>
      <c r="D143" s="36"/>
      <c r="E143" s="34"/>
      <c r="F143" s="38"/>
      <c r="G143" s="34"/>
      <c r="H143" s="34"/>
      <c r="I143" s="27"/>
      <c r="J143" s="27"/>
      <c r="K143" s="27"/>
      <c r="L143" s="27"/>
      <c r="M143" s="27"/>
      <c r="N143" s="27"/>
      <c r="O143" s="27"/>
      <c r="P143" s="27"/>
    </row>
    <row r="144">
      <c r="A144" s="27"/>
      <c r="B144" s="35"/>
      <c r="C144" s="27"/>
      <c r="D144" s="36"/>
      <c r="E144" s="34"/>
      <c r="F144" s="38"/>
      <c r="G144" s="34"/>
      <c r="H144" s="34"/>
      <c r="I144" s="27"/>
      <c r="J144" s="27"/>
      <c r="K144" s="27"/>
      <c r="L144" s="27"/>
      <c r="M144" s="27"/>
      <c r="N144" s="27"/>
      <c r="O144" s="27"/>
      <c r="P144" s="27"/>
    </row>
    <row r="145">
      <c r="A145" s="27"/>
      <c r="B145" s="35"/>
      <c r="C145" s="27"/>
      <c r="D145" s="36"/>
      <c r="E145" s="34"/>
      <c r="F145" s="38"/>
      <c r="G145" s="34"/>
      <c r="H145" s="34"/>
      <c r="I145" s="27"/>
      <c r="J145" s="27"/>
      <c r="K145" s="27"/>
      <c r="L145" s="27"/>
      <c r="M145" s="27"/>
      <c r="N145" s="27"/>
      <c r="O145" s="27"/>
      <c r="P145" s="27"/>
    </row>
    <row r="146">
      <c r="A146" s="27"/>
      <c r="B146" s="35"/>
      <c r="C146" s="27"/>
      <c r="D146" s="36"/>
      <c r="E146" s="34"/>
      <c r="F146" s="38"/>
      <c r="G146" s="34"/>
      <c r="H146" s="34"/>
      <c r="I146" s="27"/>
      <c r="J146" s="27"/>
      <c r="K146" s="27"/>
      <c r="L146" s="27"/>
      <c r="M146" s="27"/>
      <c r="N146" s="27"/>
      <c r="O146" s="27"/>
      <c r="P146" s="27"/>
    </row>
    <row r="147">
      <c r="A147" s="27"/>
      <c r="B147" s="35"/>
      <c r="C147" s="27"/>
      <c r="D147" s="36"/>
      <c r="E147" s="34"/>
      <c r="F147" s="38"/>
      <c r="G147" s="34"/>
      <c r="H147" s="34"/>
      <c r="I147" s="27"/>
      <c r="J147" s="27"/>
      <c r="K147" s="27"/>
      <c r="L147" s="27"/>
      <c r="M147" s="27"/>
      <c r="N147" s="27"/>
      <c r="O147" s="27"/>
      <c r="P147" s="27"/>
    </row>
    <row r="148">
      <c r="A148" s="27"/>
      <c r="B148" s="35"/>
      <c r="C148" s="27"/>
      <c r="D148" s="36"/>
      <c r="E148" s="34"/>
      <c r="F148" s="38"/>
      <c r="G148" s="34"/>
      <c r="H148" s="34"/>
      <c r="I148" s="27"/>
      <c r="J148" s="27"/>
      <c r="K148" s="27"/>
      <c r="L148" s="27"/>
      <c r="M148" s="27"/>
      <c r="N148" s="27"/>
      <c r="O148" s="27"/>
      <c r="P148" s="27"/>
    </row>
    <row r="149">
      <c r="A149" s="27"/>
      <c r="B149" s="35"/>
      <c r="C149" s="27"/>
      <c r="D149" s="36"/>
      <c r="E149" s="34"/>
      <c r="F149" s="38"/>
      <c r="G149" s="34"/>
      <c r="H149" s="34"/>
      <c r="I149" s="27"/>
      <c r="J149" s="27"/>
      <c r="K149" s="27"/>
      <c r="L149" s="27"/>
      <c r="M149" s="27"/>
      <c r="N149" s="27"/>
      <c r="O149" s="27"/>
      <c r="P149" s="27"/>
    </row>
    <row r="150">
      <c r="A150" s="27"/>
      <c r="B150" s="35"/>
      <c r="C150" s="27"/>
      <c r="D150" s="36"/>
      <c r="E150" s="34"/>
      <c r="F150" s="38"/>
      <c r="G150" s="34"/>
      <c r="H150" s="34"/>
      <c r="I150" s="27"/>
      <c r="J150" s="27"/>
      <c r="K150" s="27"/>
      <c r="L150" s="27"/>
      <c r="M150" s="27"/>
      <c r="N150" s="27"/>
      <c r="O150" s="27"/>
      <c r="P150" s="27"/>
    </row>
    <row r="151">
      <c r="A151" s="27"/>
      <c r="B151" s="35"/>
      <c r="C151" s="27"/>
      <c r="D151" s="36"/>
      <c r="E151" s="34"/>
      <c r="F151" s="38"/>
      <c r="G151" s="34"/>
      <c r="H151" s="34"/>
      <c r="I151" s="27"/>
      <c r="J151" s="27"/>
      <c r="K151" s="27"/>
      <c r="L151" s="27"/>
      <c r="M151" s="27"/>
      <c r="N151" s="27"/>
      <c r="O151" s="27"/>
      <c r="P151" s="27"/>
    </row>
    <row r="152">
      <c r="A152" s="27"/>
      <c r="B152" s="35"/>
      <c r="C152" s="27"/>
      <c r="D152" s="36"/>
      <c r="E152" s="34"/>
      <c r="F152" s="38"/>
      <c r="G152" s="34"/>
      <c r="H152" s="34"/>
      <c r="I152" s="27"/>
      <c r="J152" s="27"/>
      <c r="K152" s="27"/>
      <c r="L152" s="27"/>
      <c r="M152" s="27"/>
      <c r="N152" s="27"/>
      <c r="O152" s="27"/>
      <c r="P152" s="27"/>
    </row>
    <row r="153">
      <c r="A153" s="27"/>
      <c r="B153" s="35"/>
      <c r="C153" s="27"/>
      <c r="D153" s="36"/>
      <c r="E153" s="34"/>
      <c r="F153" s="38"/>
      <c r="G153" s="34"/>
      <c r="H153" s="34"/>
      <c r="I153" s="27"/>
      <c r="J153" s="27"/>
      <c r="K153" s="27"/>
      <c r="L153" s="27"/>
      <c r="M153" s="27"/>
      <c r="N153" s="27"/>
      <c r="O153" s="27"/>
      <c r="P153" s="27"/>
    </row>
    <row r="154">
      <c r="A154" s="27"/>
      <c r="B154" s="35"/>
      <c r="C154" s="27"/>
      <c r="D154" s="36"/>
      <c r="E154" s="34"/>
      <c r="F154" s="38"/>
      <c r="G154" s="34"/>
      <c r="H154" s="34"/>
      <c r="I154" s="27"/>
      <c r="J154" s="27"/>
      <c r="K154" s="27"/>
      <c r="L154" s="27"/>
      <c r="M154" s="27"/>
      <c r="N154" s="27"/>
      <c r="O154" s="27"/>
      <c r="P154" s="27"/>
    </row>
    <row r="155">
      <c r="A155" s="27"/>
      <c r="B155" s="35"/>
      <c r="C155" s="27"/>
      <c r="D155" s="36"/>
      <c r="E155" s="34"/>
      <c r="F155" s="38"/>
      <c r="G155" s="34"/>
      <c r="H155" s="34"/>
      <c r="I155" s="27"/>
      <c r="J155" s="27"/>
      <c r="K155" s="27"/>
      <c r="L155" s="27"/>
      <c r="M155" s="27"/>
      <c r="N155" s="27"/>
      <c r="O155" s="27"/>
      <c r="P155" s="27"/>
    </row>
    <row r="156">
      <c r="A156" s="27"/>
      <c r="B156" s="35"/>
      <c r="C156" s="27"/>
      <c r="D156" s="36"/>
      <c r="E156" s="34"/>
      <c r="F156" s="38"/>
      <c r="G156" s="34"/>
      <c r="H156" s="34"/>
      <c r="I156" s="27"/>
      <c r="J156" s="27"/>
      <c r="K156" s="27"/>
      <c r="L156" s="27"/>
      <c r="M156" s="27"/>
      <c r="N156" s="27"/>
      <c r="O156" s="27"/>
      <c r="P156" s="27"/>
    </row>
    <row r="157">
      <c r="A157" s="27"/>
      <c r="B157" s="35"/>
      <c r="C157" s="27"/>
      <c r="D157" s="36"/>
      <c r="E157" s="34"/>
      <c r="F157" s="38"/>
      <c r="G157" s="34"/>
      <c r="H157" s="34"/>
      <c r="I157" s="27"/>
      <c r="J157" s="27"/>
      <c r="K157" s="27"/>
      <c r="L157" s="27"/>
      <c r="M157" s="27"/>
      <c r="N157" s="27"/>
      <c r="O157" s="27"/>
      <c r="P157" s="27"/>
    </row>
    <row r="158">
      <c r="A158" s="27"/>
      <c r="B158" s="35"/>
      <c r="C158" s="27"/>
      <c r="D158" s="36"/>
      <c r="E158" s="34"/>
      <c r="F158" s="38"/>
      <c r="G158" s="34"/>
      <c r="H158" s="34"/>
      <c r="I158" s="27"/>
      <c r="J158" s="27"/>
      <c r="K158" s="27"/>
      <c r="L158" s="27"/>
      <c r="M158" s="27"/>
      <c r="N158" s="27"/>
      <c r="O158" s="27"/>
      <c r="P158" s="27"/>
    </row>
    <row r="159">
      <c r="A159" s="27"/>
      <c r="B159" s="35"/>
      <c r="C159" s="27"/>
      <c r="D159" s="36"/>
      <c r="E159" s="34"/>
      <c r="F159" s="38"/>
      <c r="G159" s="34"/>
      <c r="H159" s="34"/>
      <c r="I159" s="27"/>
      <c r="J159" s="27"/>
      <c r="K159" s="27"/>
      <c r="L159" s="27"/>
      <c r="M159" s="27"/>
      <c r="N159" s="27"/>
      <c r="O159" s="27"/>
      <c r="P159" s="27"/>
    </row>
    <row r="160">
      <c r="A160" s="27"/>
      <c r="B160" s="35"/>
      <c r="C160" s="27"/>
      <c r="D160" s="36"/>
      <c r="E160" s="34"/>
      <c r="F160" s="38"/>
      <c r="G160" s="34"/>
      <c r="H160" s="34"/>
      <c r="I160" s="27"/>
      <c r="J160" s="27"/>
      <c r="K160" s="27"/>
      <c r="L160" s="27"/>
      <c r="M160" s="27"/>
      <c r="N160" s="27"/>
      <c r="O160" s="27"/>
      <c r="P160" s="27"/>
    </row>
    <row r="161">
      <c r="A161" s="27"/>
      <c r="B161" s="35"/>
      <c r="C161" s="27"/>
      <c r="D161" s="36"/>
      <c r="E161" s="34"/>
      <c r="F161" s="38"/>
      <c r="G161" s="34"/>
      <c r="H161" s="34"/>
      <c r="I161" s="27"/>
      <c r="J161" s="27"/>
      <c r="K161" s="27"/>
      <c r="L161" s="27"/>
      <c r="M161" s="27"/>
      <c r="N161" s="27"/>
      <c r="O161" s="27"/>
      <c r="P161" s="27"/>
    </row>
    <row r="162">
      <c r="A162" s="27"/>
      <c r="B162" s="35"/>
      <c r="C162" s="27"/>
      <c r="D162" s="36"/>
      <c r="E162" s="34"/>
      <c r="F162" s="38"/>
      <c r="G162" s="34"/>
      <c r="H162" s="34"/>
      <c r="I162" s="27"/>
      <c r="J162" s="27"/>
      <c r="K162" s="27"/>
      <c r="L162" s="27"/>
      <c r="M162" s="27"/>
      <c r="N162" s="27"/>
      <c r="O162" s="27"/>
      <c r="P162" s="27"/>
    </row>
    <row r="163">
      <c r="A163" s="27"/>
      <c r="B163" s="35"/>
      <c r="C163" s="27"/>
      <c r="D163" s="36"/>
      <c r="E163" s="34"/>
      <c r="F163" s="38"/>
      <c r="G163" s="34"/>
      <c r="H163" s="34"/>
      <c r="I163" s="27"/>
      <c r="J163" s="27"/>
      <c r="K163" s="27"/>
      <c r="L163" s="27"/>
      <c r="M163" s="27"/>
      <c r="N163" s="27"/>
      <c r="O163" s="27"/>
      <c r="P163" s="27"/>
    </row>
    <row r="164">
      <c r="A164" s="27"/>
      <c r="B164" s="35"/>
      <c r="C164" s="27"/>
      <c r="D164" s="36"/>
      <c r="E164" s="34"/>
      <c r="F164" s="38"/>
      <c r="G164" s="34"/>
      <c r="H164" s="34"/>
      <c r="I164" s="27"/>
      <c r="J164" s="27"/>
      <c r="K164" s="27"/>
      <c r="L164" s="27"/>
      <c r="M164" s="27"/>
      <c r="N164" s="27"/>
      <c r="O164" s="27"/>
      <c r="P164" s="27"/>
    </row>
    <row r="165">
      <c r="A165" s="27"/>
      <c r="B165" s="35"/>
      <c r="C165" s="27"/>
      <c r="D165" s="36"/>
      <c r="E165" s="34"/>
      <c r="F165" s="38"/>
      <c r="G165" s="34"/>
      <c r="H165" s="34"/>
      <c r="I165" s="27"/>
      <c r="J165" s="27"/>
      <c r="K165" s="27"/>
      <c r="L165" s="27"/>
      <c r="M165" s="27"/>
      <c r="N165" s="27"/>
      <c r="O165" s="27"/>
      <c r="P165" s="27"/>
    </row>
    <row r="166">
      <c r="A166" s="27"/>
      <c r="B166" s="35"/>
      <c r="C166" s="27"/>
      <c r="D166" s="36"/>
      <c r="E166" s="34"/>
      <c r="F166" s="38"/>
      <c r="G166" s="34"/>
      <c r="H166" s="34"/>
      <c r="I166" s="27"/>
      <c r="J166" s="27"/>
      <c r="K166" s="27"/>
      <c r="L166" s="27"/>
      <c r="M166" s="27"/>
      <c r="N166" s="27"/>
      <c r="O166" s="27"/>
      <c r="P166" s="27"/>
    </row>
    <row r="167">
      <c r="A167" s="27"/>
      <c r="B167" s="35"/>
      <c r="C167" s="27"/>
      <c r="D167" s="36"/>
      <c r="E167" s="34"/>
      <c r="F167" s="38"/>
      <c r="G167" s="34"/>
      <c r="H167" s="34"/>
      <c r="I167" s="27"/>
      <c r="J167" s="27"/>
      <c r="K167" s="27"/>
      <c r="L167" s="27"/>
      <c r="M167" s="27"/>
      <c r="N167" s="27"/>
      <c r="O167" s="27"/>
      <c r="P167" s="27"/>
    </row>
    <row r="168">
      <c r="A168" s="27"/>
      <c r="B168" s="35"/>
      <c r="C168" s="27"/>
      <c r="D168" s="36"/>
      <c r="E168" s="34"/>
      <c r="F168" s="38"/>
      <c r="G168" s="34"/>
      <c r="H168" s="34"/>
      <c r="I168" s="27"/>
      <c r="J168" s="27"/>
      <c r="K168" s="27"/>
      <c r="L168" s="27"/>
      <c r="M168" s="27"/>
      <c r="N168" s="27"/>
      <c r="O168" s="27"/>
      <c r="P168" s="27"/>
    </row>
    <row r="169">
      <c r="A169" s="27"/>
      <c r="B169" s="35"/>
      <c r="C169" s="27"/>
      <c r="D169" s="36"/>
      <c r="E169" s="34"/>
      <c r="F169" s="38"/>
      <c r="G169" s="34"/>
      <c r="H169" s="34"/>
      <c r="I169" s="27"/>
      <c r="J169" s="27"/>
      <c r="K169" s="27"/>
      <c r="L169" s="27"/>
      <c r="M169" s="27"/>
      <c r="N169" s="27"/>
      <c r="O169" s="27"/>
      <c r="P169" s="27"/>
    </row>
    <row r="170">
      <c r="A170" s="27"/>
      <c r="B170" s="35"/>
      <c r="C170" s="27"/>
      <c r="D170" s="36"/>
      <c r="E170" s="34"/>
      <c r="F170" s="38"/>
      <c r="G170" s="34"/>
      <c r="H170" s="34"/>
      <c r="I170" s="27"/>
      <c r="J170" s="27"/>
      <c r="K170" s="27"/>
      <c r="L170" s="27"/>
      <c r="M170" s="27"/>
      <c r="N170" s="27"/>
      <c r="O170" s="27"/>
      <c r="P170" s="27"/>
    </row>
    <row r="171">
      <c r="A171" s="27"/>
      <c r="B171" s="35"/>
      <c r="C171" s="27"/>
      <c r="D171" s="36"/>
      <c r="E171" s="34"/>
      <c r="F171" s="38"/>
      <c r="G171" s="34"/>
      <c r="H171" s="34"/>
      <c r="I171" s="27"/>
      <c r="J171" s="27"/>
      <c r="K171" s="27"/>
      <c r="L171" s="27"/>
      <c r="M171" s="27"/>
      <c r="N171" s="27"/>
      <c r="O171" s="27"/>
      <c r="P171" s="27"/>
    </row>
    <row r="172">
      <c r="A172" s="27"/>
      <c r="B172" s="35"/>
      <c r="C172" s="27"/>
      <c r="D172" s="36"/>
      <c r="E172" s="34"/>
      <c r="F172" s="38"/>
      <c r="G172" s="34"/>
      <c r="H172" s="34"/>
      <c r="I172" s="27"/>
      <c r="J172" s="27"/>
      <c r="K172" s="27"/>
      <c r="L172" s="27"/>
      <c r="M172" s="27"/>
      <c r="N172" s="27"/>
      <c r="O172" s="27"/>
      <c r="P172" s="27"/>
    </row>
    <row r="173">
      <c r="A173" s="27"/>
      <c r="B173" s="35"/>
      <c r="C173" s="27"/>
      <c r="D173" s="36"/>
      <c r="E173" s="34"/>
      <c r="F173" s="38"/>
      <c r="G173" s="34"/>
      <c r="H173" s="34"/>
      <c r="I173" s="27"/>
      <c r="J173" s="27"/>
      <c r="K173" s="27"/>
      <c r="L173" s="27"/>
      <c r="M173" s="27"/>
      <c r="N173" s="27"/>
      <c r="O173" s="27"/>
      <c r="P173" s="27"/>
    </row>
    <row r="174">
      <c r="A174" s="27"/>
      <c r="B174" s="35"/>
      <c r="C174" s="27"/>
      <c r="D174" s="36"/>
      <c r="E174" s="34"/>
      <c r="F174" s="38"/>
      <c r="G174" s="34"/>
      <c r="H174" s="34"/>
      <c r="I174" s="27"/>
      <c r="J174" s="27"/>
      <c r="K174" s="27"/>
      <c r="L174" s="27"/>
      <c r="M174" s="27"/>
      <c r="N174" s="27"/>
      <c r="O174" s="27"/>
      <c r="P174" s="27"/>
    </row>
    <row r="175">
      <c r="A175" s="27"/>
      <c r="B175" s="35"/>
      <c r="C175" s="27"/>
      <c r="D175" s="36"/>
      <c r="E175" s="34"/>
      <c r="F175" s="38"/>
      <c r="G175" s="34"/>
      <c r="H175" s="34"/>
      <c r="I175" s="27"/>
      <c r="J175" s="27"/>
      <c r="K175" s="27"/>
      <c r="L175" s="27"/>
      <c r="M175" s="27"/>
      <c r="N175" s="27"/>
      <c r="O175" s="27"/>
      <c r="P175" s="27"/>
    </row>
    <row r="176">
      <c r="A176" s="27"/>
      <c r="B176" s="35"/>
      <c r="C176" s="27"/>
      <c r="D176" s="36"/>
      <c r="E176" s="34"/>
      <c r="F176" s="38"/>
      <c r="G176" s="34"/>
      <c r="H176" s="34"/>
      <c r="I176" s="27"/>
      <c r="J176" s="27"/>
      <c r="K176" s="27"/>
      <c r="L176" s="27"/>
      <c r="M176" s="27"/>
      <c r="N176" s="27"/>
      <c r="O176" s="27"/>
      <c r="P176" s="27"/>
    </row>
    <row r="177">
      <c r="A177" s="27"/>
      <c r="B177" s="35"/>
      <c r="C177" s="27"/>
      <c r="D177" s="36"/>
      <c r="E177" s="34"/>
      <c r="F177" s="38"/>
      <c r="G177" s="34"/>
      <c r="H177" s="34"/>
      <c r="I177" s="27"/>
      <c r="J177" s="27"/>
      <c r="K177" s="27"/>
      <c r="L177" s="27"/>
      <c r="M177" s="27"/>
      <c r="N177" s="27"/>
      <c r="O177" s="27"/>
      <c r="P177" s="27"/>
    </row>
    <row r="178">
      <c r="A178" s="27"/>
      <c r="B178" s="35"/>
      <c r="C178" s="27"/>
      <c r="D178" s="36"/>
      <c r="E178" s="34"/>
      <c r="F178" s="38"/>
      <c r="G178" s="34"/>
      <c r="H178" s="34"/>
      <c r="I178" s="27"/>
      <c r="J178" s="27"/>
      <c r="K178" s="27"/>
      <c r="L178" s="27"/>
      <c r="M178" s="27"/>
      <c r="N178" s="27"/>
      <c r="O178" s="27"/>
      <c r="P178" s="27"/>
    </row>
    <row r="179">
      <c r="A179" s="27"/>
      <c r="B179" s="35"/>
      <c r="C179" s="27"/>
      <c r="D179" s="36"/>
      <c r="E179" s="34"/>
      <c r="F179" s="38"/>
      <c r="G179" s="34"/>
      <c r="H179" s="34"/>
      <c r="I179" s="27"/>
      <c r="J179" s="27"/>
      <c r="K179" s="27"/>
      <c r="L179" s="27"/>
      <c r="M179" s="27"/>
      <c r="N179" s="27"/>
      <c r="O179" s="27"/>
      <c r="P179" s="27"/>
    </row>
    <row r="180">
      <c r="A180" s="27"/>
      <c r="B180" s="35"/>
      <c r="C180" s="27"/>
      <c r="D180" s="36"/>
      <c r="E180" s="34"/>
      <c r="F180" s="38"/>
      <c r="G180" s="34"/>
      <c r="H180" s="34"/>
      <c r="I180" s="27"/>
      <c r="J180" s="27"/>
      <c r="K180" s="27"/>
      <c r="L180" s="27"/>
      <c r="M180" s="27"/>
      <c r="N180" s="27"/>
      <c r="O180" s="27"/>
      <c r="P180" s="27"/>
    </row>
    <row r="181">
      <c r="A181" s="27"/>
      <c r="B181" s="35"/>
      <c r="C181" s="27"/>
      <c r="D181" s="36"/>
      <c r="E181" s="34"/>
      <c r="F181" s="38"/>
      <c r="G181" s="34"/>
      <c r="H181" s="34"/>
      <c r="I181" s="27"/>
      <c r="J181" s="27"/>
      <c r="K181" s="27"/>
      <c r="L181" s="27"/>
      <c r="M181" s="27"/>
      <c r="N181" s="27"/>
      <c r="O181" s="27"/>
      <c r="P181" s="27"/>
    </row>
    <row r="182">
      <c r="A182" s="27"/>
      <c r="B182" s="35"/>
      <c r="C182" s="27"/>
      <c r="D182" s="36"/>
      <c r="E182" s="34"/>
      <c r="F182" s="38"/>
      <c r="G182" s="34"/>
      <c r="H182" s="34"/>
      <c r="I182" s="27"/>
      <c r="J182" s="27"/>
      <c r="K182" s="27"/>
      <c r="L182" s="27"/>
      <c r="M182" s="27"/>
      <c r="N182" s="27"/>
      <c r="O182" s="27"/>
      <c r="P182" s="27"/>
    </row>
    <row r="183">
      <c r="A183" s="27"/>
      <c r="B183" s="35"/>
      <c r="C183" s="27"/>
      <c r="D183" s="36"/>
      <c r="E183" s="34"/>
      <c r="F183" s="38"/>
      <c r="G183" s="34"/>
      <c r="H183" s="34"/>
      <c r="I183" s="27"/>
      <c r="J183" s="27"/>
      <c r="K183" s="27"/>
      <c r="L183" s="27"/>
      <c r="M183" s="27"/>
      <c r="N183" s="27"/>
      <c r="O183" s="27"/>
      <c r="P183" s="27"/>
    </row>
    <row r="184">
      <c r="A184" s="27"/>
      <c r="B184" s="35"/>
      <c r="C184" s="27"/>
      <c r="D184" s="36"/>
      <c r="E184" s="34"/>
      <c r="F184" s="38"/>
      <c r="G184" s="34"/>
      <c r="H184" s="34"/>
      <c r="I184" s="27"/>
      <c r="J184" s="27"/>
      <c r="K184" s="27"/>
      <c r="L184" s="27"/>
      <c r="M184" s="27"/>
      <c r="N184" s="27"/>
      <c r="O184" s="27"/>
      <c r="P184" s="27"/>
    </row>
    <row r="185">
      <c r="A185" s="27"/>
      <c r="B185" s="35"/>
      <c r="C185" s="27"/>
      <c r="D185" s="36"/>
      <c r="E185" s="34"/>
      <c r="F185" s="38"/>
      <c r="G185" s="34"/>
      <c r="H185" s="34"/>
      <c r="I185" s="27"/>
      <c r="J185" s="27"/>
      <c r="K185" s="27"/>
      <c r="L185" s="27"/>
      <c r="M185" s="27"/>
      <c r="N185" s="27"/>
      <c r="O185" s="27"/>
      <c r="P185" s="27"/>
    </row>
    <row r="186">
      <c r="A186" s="27"/>
      <c r="B186" s="35"/>
      <c r="C186" s="27"/>
      <c r="D186" s="36"/>
      <c r="E186" s="34"/>
      <c r="F186" s="38"/>
      <c r="G186" s="34"/>
      <c r="H186" s="34"/>
      <c r="I186" s="27"/>
      <c r="J186" s="27"/>
      <c r="K186" s="27"/>
      <c r="L186" s="27"/>
      <c r="M186" s="27"/>
      <c r="N186" s="27"/>
      <c r="O186" s="27"/>
      <c r="P186" s="27"/>
    </row>
    <row r="187">
      <c r="A187" s="27"/>
      <c r="B187" s="35"/>
      <c r="C187" s="27"/>
      <c r="D187" s="36"/>
      <c r="E187" s="34"/>
      <c r="F187" s="38"/>
      <c r="G187" s="34"/>
      <c r="H187" s="34"/>
      <c r="I187" s="27"/>
      <c r="J187" s="27"/>
      <c r="K187" s="27"/>
      <c r="L187" s="27"/>
      <c r="M187" s="27"/>
      <c r="N187" s="27"/>
      <c r="O187" s="27"/>
      <c r="P187" s="27"/>
    </row>
    <row r="188">
      <c r="A188" s="27"/>
      <c r="B188" s="35"/>
      <c r="C188" s="27"/>
      <c r="D188" s="36"/>
      <c r="E188" s="34"/>
      <c r="F188" s="38"/>
      <c r="G188" s="34"/>
      <c r="H188" s="34"/>
      <c r="I188" s="27"/>
      <c r="J188" s="27"/>
      <c r="K188" s="27"/>
      <c r="L188" s="27"/>
      <c r="M188" s="27"/>
      <c r="N188" s="27"/>
      <c r="O188" s="27"/>
      <c r="P188" s="27"/>
    </row>
    <row r="189">
      <c r="A189" s="27"/>
      <c r="B189" s="35"/>
      <c r="C189" s="27"/>
      <c r="D189" s="36"/>
      <c r="E189" s="34"/>
      <c r="F189" s="38"/>
      <c r="G189" s="34"/>
      <c r="H189" s="34"/>
      <c r="I189" s="27"/>
      <c r="J189" s="27"/>
      <c r="K189" s="27"/>
      <c r="L189" s="27"/>
      <c r="M189" s="27"/>
      <c r="N189" s="27"/>
      <c r="O189" s="27"/>
      <c r="P189" s="27"/>
    </row>
    <row r="190">
      <c r="A190" s="27"/>
      <c r="B190" s="35"/>
      <c r="C190" s="27"/>
      <c r="D190" s="36"/>
      <c r="E190" s="34"/>
      <c r="F190" s="38"/>
      <c r="G190" s="34"/>
      <c r="H190" s="34"/>
      <c r="I190" s="27"/>
      <c r="J190" s="27"/>
      <c r="K190" s="27"/>
      <c r="L190" s="27"/>
      <c r="M190" s="27"/>
      <c r="N190" s="27"/>
      <c r="O190" s="27"/>
      <c r="P190" s="27"/>
    </row>
    <row r="191">
      <c r="A191" s="27"/>
      <c r="B191" s="35"/>
      <c r="C191" s="27"/>
      <c r="D191" s="36"/>
      <c r="E191" s="34"/>
      <c r="F191" s="38"/>
      <c r="G191" s="34"/>
      <c r="H191" s="34"/>
      <c r="I191" s="27"/>
      <c r="J191" s="27"/>
      <c r="K191" s="27"/>
      <c r="L191" s="27"/>
      <c r="M191" s="27"/>
      <c r="N191" s="27"/>
      <c r="O191" s="27"/>
      <c r="P191" s="27"/>
    </row>
    <row r="192">
      <c r="A192" s="27"/>
      <c r="B192" s="35"/>
      <c r="C192" s="27"/>
      <c r="D192" s="36"/>
      <c r="E192" s="34"/>
      <c r="F192" s="38"/>
      <c r="G192" s="34"/>
      <c r="H192" s="34"/>
      <c r="I192" s="27"/>
      <c r="J192" s="27"/>
      <c r="K192" s="27"/>
      <c r="L192" s="27"/>
      <c r="M192" s="27"/>
      <c r="N192" s="27"/>
      <c r="O192" s="27"/>
      <c r="P192" s="27"/>
    </row>
    <row r="193">
      <c r="A193" s="27"/>
      <c r="B193" s="35"/>
      <c r="C193" s="27"/>
      <c r="D193" s="36"/>
      <c r="E193" s="34"/>
      <c r="F193" s="38"/>
      <c r="G193" s="34"/>
      <c r="H193" s="34"/>
      <c r="I193" s="27"/>
      <c r="J193" s="27"/>
      <c r="K193" s="27"/>
      <c r="L193" s="27"/>
      <c r="M193" s="27"/>
      <c r="N193" s="27"/>
      <c r="O193" s="27"/>
      <c r="P193" s="27"/>
    </row>
    <row r="194">
      <c r="A194" s="27"/>
      <c r="B194" s="35"/>
      <c r="C194" s="27"/>
      <c r="D194" s="36"/>
      <c r="E194" s="34"/>
      <c r="F194" s="38"/>
      <c r="G194" s="34"/>
      <c r="H194" s="34"/>
      <c r="I194" s="27"/>
      <c r="J194" s="27"/>
      <c r="K194" s="27"/>
      <c r="L194" s="27"/>
      <c r="M194" s="27"/>
      <c r="N194" s="27"/>
      <c r="O194" s="27"/>
      <c r="P194" s="27"/>
    </row>
    <row r="195">
      <c r="A195" s="27"/>
      <c r="B195" s="35"/>
      <c r="C195" s="27"/>
      <c r="D195" s="36"/>
      <c r="E195" s="34"/>
      <c r="F195" s="38"/>
      <c r="G195" s="34"/>
      <c r="H195" s="34"/>
      <c r="I195" s="27"/>
      <c r="J195" s="27"/>
      <c r="K195" s="27"/>
      <c r="L195" s="27"/>
      <c r="M195" s="27"/>
      <c r="N195" s="27"/>
      <c r="O195" s="27"/>
      <c r="P195" s="27"/>
    </row>
    <row r="196">
      <c r="A196" s="27"/>
      <c r="B196" s="35"/>
      <c r="C196" s="27"/>
      <c r="D196" s="36"/>
      <c r="E196" s="34"/>
      <c r="F196" s="38"/>
      <c r="G196" s="34"/>
      <c r="H196" s="34"/>
      <c r="I196" s="27"/>
      <c r="J196" s="27"/>
      <c r="K196" s="27"/>
      <c r="L196" s="27"/>
      <c r="M196" s="27"/>
      <c r="N196" s="27"/>
      <c r="O196" s="27"/>
      <c r="P196" s="27"/>
    </row>
    <row r="197">
      <c r="A197" s="27"/>
      <c r="B197" s="35"/>
      <c r="C197" s="27"/>
      <c r="D197" s="36"/>
      <c r="E197" s="34"/>
      <c r="F197" s="38"/>
      <c r="G197" s="34"/>
      <c r="H197" s="34"/>
      <c r="I197" s="27"/>
      <c r="J197" s="27"/>
      <c r="K197" s="27"/>
      <c r="L197" s="27"/>
      <c r="M197" s="27"/>
      <c r="N197" s="27"/>
      <c r="O197" s="27"/>
      <c r="P197" s="27"/>
    </row>
    <row r="198">
      <c r="A198" s="27"/>
      <c r="B198" s="35"/>
      <c r="C198" s="27"/>
      <c r="D198" s="36"/>
      <c r="E198" s="34"/>
      <c r="F198" s="38"/>
      <c r="G198" s="34"/>
      <c r="H198" s="34"/>
      <c r="I198" s="27"/>
      <c r="J198" s="27"/>
      <c r="K198" s="27"/>
      <c r="L198" s="27"/>
      <c r="M198" s="27"/>
      <c r="N198" s="27"/>
      <c r="O198" s="27"/>
      <c r="P198" s="27"/>
    </row>
    <row r="199">
      <c r="A199" s="27"/>
      <c r="B199" s="35"/>
      <c r="C199" s="27"/>
      <c r="D199" s="36"/>
      <c r="E199" s="34"/>
      <c r="F199" s="38"/>
      <c r="G199" s="34"/>
      <c r="H199" s="34"/>
      <c r="I199" s="27"/>
      <c r="J199" s="27"/>
      <c r="K199" s="27"/>
      <c r="L199" s="27"/>
      <c r="M199" s="27"/>
      <c r="N199" s="27"/>
      <c r="O199" s="27"/>
      <c r="P199" s="27"/>
    </row>
    <row r="200">
      <c r="A200" s="27"/>
      <c r="B200" s="35"/>
      <c r="C200" s="27"/>
      <c r="D200" s="36"/>
      <c r="E200" s="34"/>
      <c r="F200" s="38"/>
      <c r="G200" s="34"/>
      <c r="H200" s="34"/>
      <c r="I200" s="27"/>
      <c r="J200" s="27"/>
      <c r="K200" s="27"/>
      <c r="L200" s="27"/>
      <c r="M200" s="27"/>
      <c r="N200" s="27"/>
      <c r="O200" s="27"/>
      <c r="P200" s="27"/>
    </row>
    <row r="201">
      <c r="A201" s="27"/>
      <c r="B201" s="35"/>
      <c r="C201" s="27"/>
      <c r="D201" s="36"/>
      <c r="E201" s="34"/>
      <c r="F201" s="38"/>
      <c r="G201" s="34"/>
      <c r="H201" s="34"/>
      <c r="I201" s="27"/>
      <c r="J201" s="27"/>
      <c r="K201" s="27"/>
      <c r="L201" s="27"/>
      <c r="M201" s="27"/>
      <c r="N201" s="27"/>
      <c r="O201" s="27"/>
      <c r="P201" s="27"/>
    </row>
    <row r="202">
      <c r="A202" s="27"/>
      <c r="B202" s="35"/>
      <c r="C202" s="27"/>
      <c r="D202" s="36"/>
      <c r="E202" s="34"/>
      <c r="F202" s="38"/>
      <c r="G202" s="34"/>
      <c r="H202" s="34"/>
      <c r="I202" s="27"/>
      <c r="J202" s="27"/>
      <c r="K202" s="27"/>
      <c r="L202" s="27"/>
      <c r="M202" s="27"/>
      <c r="N202" s="27"/>
      <c r="O202" s="27"/>
      <c r="P202" s="27"/>
    </row>
    <row r="203">
      <c r="A203" s="27"/>
      <c r="B203" s="35"/>
      <c r="C203" s="27"/>
      <c r="D203" s="36"/>
      <c r="E203" s="34"/>
      <c r="F203" s="38"/>
      <c r="G203" s="34"/>
      <c r="H203" s="34"/>
      <c r="I203" s="27"/>
      <c r="J203" s="27"/>
      <c r="K203" s="27"/>
      <c r="L203" s="27"/>
      <c r="M203" s="27"/>
      <c r="N203" s="27"/>
      <c r="O203" s="27"/>
      <c r="P203" s="27"/>
    </row>
    <row r="204">
      <c r="A204" s="27"/>
      <c r="B204" s="35"/>
      <c r="C204" s="27"/>
      <c r="D204" s="36"/>
      <c r="E204" s="34"/>
      <c r="F204" s="38"/>
      <c r="G204" s="34"/>
      <c r="H204" s="34"/>
      <c r="I204" s="27"/>
      <c r="J204" s="27"/>
      <c r="K204" s="27"/>
      <c r="L204" s="27"/>
      <c r="M204" s="27"/>
      <c r="N204" s="27"/>
      <c r="O204" s="27"/>
      <c r="P204" s="27"/>
    </row>
    <row r="205">
      <c r="A205" s="27"/>
      <c r="B205" s="35"/>
      <c r="C205" s="27"/>
      <c r="D205" s="36"/>
      <c r="E205" s="34"/>
      <c r="F205" s="38"/>
      <c r="G205" s="34"/>
      <c r="H205" s="34"/>
      <c r="I205" s="27"/>
      <c r="J205" s="27"/>
      <c r="K205" s="27"/>
      <c r="L205" s="27"/>
      <c r="M205" s="27"/>
      <c r="N205" s="27"/>
      <c r="O205" s="27"/>
      <c r="P205" s="27"/>
    </row>
    <row r="206">
      <c r="A206" s="27"/>
      <c r="B206" s="35"/>
      <c r="C206" s="27"/>
      <c r="D206" s="36"/>
      <c r="E206" s="34"/>
      <c r="F206" s="38"/>
      <c r="G206" s="34"/>
      <c r="H206" s="34"/>
      <c r="I206" s="27"/>
      <c r="J206" s="27"/>
      <c r="K206" s="27"/>
      <c r="L206" s="27"/>
      <c r="M206" s="27"/>
      <c r="N206" s="27"/>
      <c r="O206" s="27"/>
      <c r="P206" s="27"/>
    </row>
    <row r="207">
      <c r="A207" s="27"/>
      <c r="B207" s="35"/>
      <c r="C207" s="27"/>
      <c r="D207" s="36"/>
      <c r="E207" s="34"/>
      <c r="F207" s="38"/>
      <c r="G207" s="34"/>
      <c r="H207" s="34"/>
      <c r="I207" s="27"/>
      <c r="J207" s="27"/>
      <c r="K207" s="27"/>
      <c r="L207" s="27"/>
      <c r="M207" s="27"/>
      <c r="N207" s="27"/>
      <c r="O207" s="27"/>
      <c r="P207" s="27"/>
    </row>
    <row r="208">
      <c r="A208" s="27"/>
      <c r="B208" s="35"/>
      <c r="C208" s="27"/>
      <c r="D208" s="36"/>
      <c r="E208" s="34"/>
      <c r="F208" s="38"/>
      <c r="G208" s="34"/>
      <c r="H208" s="34"/>
      <c r="I208" s="27"/>
      <c r="J208" s="27"/>
      <c r="K208" s="27"/>
      <c r="L208" s="27"/>
      <c r="M208" s="27"/>
      <c r="N208" s="27"/>
      <c r="O208" s="27"/>
      <c r="P208" s="27"/>
    </row>
    <row r="209">
      <c r="A209" s="27"/>
      <c r="B209" s="35"/>
      <c r="C209" s="27"/>
      <c r="D209" s="36"/>
      <c r="E209" s="34"/>
      <c r="F209" s="38"/>
      <c r="G209" s="34"/>
      <c r="H209" s="34"/>
      <c r="I209" s="27"/>
      <c r="J209" s="27"/>
      <c r="K209" s="27"/>
      <c r="L209" s="27"/>
      <c r="M209" s="27"/>
      <c r="N209" s="27"/>
      <c r="O209" s="27"/>
      <c r="P209" s="27"/>
    </row>
    <row r="210">
      <c r="A210" s="27"/>
      <c r="B210" s="35"/>
      <c r="C210" s="27"/>
      <c r="D210" s="36"/>
      <c r="E210" s="34"/>
      <c r="F210" s="38"/>
      <c r="G210" s="34"/>
      <c r="H210" s="34"/>
      <c r="I210" s="27"/>
      <c r="J210" s="27"/>
      <c r="K210" s="27"/>
      <c r="L210" s="27"/>
      <c r="M210" s="27"/>
      <c r="N210" s="27"/>
      <c r="O210" s="27"/>
      <c r="P210" s="27"/>
    </row>
    <row r="211">
      <c r="A211" s="27"/>
      <c r="B211" s="35"/>
      <c r="C211" s="27"/>
      <c r="D211" s="36"/>
      <c r="E211" s="34"/>
      <c r="F211" s="38"/>
      <c r="G211" s="34"/>
      <c r="H211" s="34"/>
      <c r="I211" s="27"/>
      <c r="J211" s="27"/>
      <c r="K211" s="27"/>
      <c r="L211" s="27"/>
      <c r="M211" s="27"/>
      <c r="N211" s="27"/>
      <c r="O211" s="27"/>
      <c r="P211" s="27"/>
    </row>
    <row r="212">
      <c r="A212" s="27"/>
      <c r="B212" s="35"/>
      <c r="C212" s="27"/>
      <c r="D212" s="36"/>
      <c r="E212" s="34"/>
      <c r="F212" s="38"/>
      <c r="G212" s="34"/>
      <c r="H212" s="34"/>
      <c r="I212" s="27"/>
      <c r="J212" s="27"/>
      <c r="K212" s="27"/>
      <c r="L212" s="27"/>
      <c r="M212" s="27"/>
      <c r="N212" s="27"/>
      <c r="O212" s="27"/>
      <c r="P212" s="27"/>
    </row>
    <row r="213">
      <c r="A213" s="27"/>
      <c r="B213" s="35"/>
      <c r="C213" s="27"/>
      <c r="D213" s="36"/>
      <c r="E213" s="34"/>
      <c r="F213" s="38"/>
      <c r="G213" s="34"/>
      <c r="H213" s="34"/>
      <c r="I213" s="27"/>
      <c r="J213" s="27"/>
      <c r="K213" s="27"/>
      <c r="L213" s="27"/>
      <c r="M213" s="27"/>
      <c r="N213" s="27"/>
      <c r="O213" s="27"/>
      <c r="P213" s="27"/>
    </row>
    <row r="214">
      <c r="A214" s="27"/>
      <c r="B214" s="35"/>
      <c r="C214" s="27"/>
      <c r="D214" s="36"/>
      <c r="E214" s="34"/>
      <c r="F214" s="38"/>
      <c r="G214" s="34"/>
      <c r="H214" s="34"/>
      <c r="I214" s="27"/>
      <c r="J214" s="27"/>
      <c r="K214" s="27"/>
      <c r="L214" s="27"/>
      <c r="M214" s="27"/>
      <c r="N214" s="27"/>
      <c r="O214" s="27"/>
      <c r="P214" s="27"/>
    </row>
    <row r="215">
      <c r="A215" s="27"/>
      <c r="B215" s="35"/>
      <c r="C215" s="27"/>
      <c r="D215" s="36"/>
      <c r="E215" s="34"/>
      <c r="F215" s="38"/>
      <c r="G215" s="34"/>
      <c r="H215" s="34"/>
      <c r="I215" s="27"/>
      <c r="J215" s="27"/>
      <c r="K215" s="27"/>
      <c r="L215" s="27"/>
      <c r="M215" s="27"/>
      <c r="N215" s="27"/>
      <c r="O215" s="27"/>
      <c r="P215" s="27"/>
    </row>
    <row r="216">
      <c r="A216" s="27"/>
      <c r="B216" s="35"/>
      <c r="C216" s="27"/>
      <c r="D216" s="36"/>
      <c r="E216" s="34"/>
      <c r="F216" s="38"/>
      <c r="G216" s="34"/>
      <c r="H216" s="34"/>
      <c r="I216" s="27"/>
      <c r="J216" s="27"/>
      <c r="K216" s="27"/>
      <c r="L216" s="27"/>
      <c r="M216" s="27"/>
      <c r="N216" s="27"/>
      <c r="O216" s="27"/>
      <c r="P216" s="27"/>
    </row>
    <row r="217">
      <c r="A217" s="27"/>
      <c r="B217" s="35"/>
      <c r="C217" s="27"/>
      <c r="D217" s="36"/>
      <c r="E217" s="34"/>
      <c r="F217" s="38"/>
      <c r="G217" s="34"/>
      <c r="H217" s="34"/>
      <c r="I217" s="27"/>
      <c r="J217" s="27"/>
      <c r="K217" s="27"/>
      <c r="L217" s="27"/>
      <c r="M217" s="27"/>
      <c r="N217" s="27"/>
      <c r="O217" s="27"/>
      <c r="P217" s="27"/>
    </row>
    <row r="218">
      <c r="A218" s="27"/>
      <c r="B218" s="35"/>
      <c r="C218" s="27"/>
      <c r="D218" s="36"/>
      <c r="E218" s="34"/>
      <c r="F218" s="38"/>
      <c r="G218" s="34"/>
      <c r="H218" s="34"/>
      <c r="I218" s="27"/>
      <c r="J218" s="27"/>
      <c r="K218" s="27"/>
      <c r="L218" s="27"/>
      <c r="M218" s="27"/>
      <c r="N218" s="27"/>
      <c r="O218" s="27"/>
      <c r="P218" s="27"/>
    </row>
    <row r="219">
      <c r="A219" s="27"/>
      <c r="B219" s="35"/>
      <c r="C219" s="27"/>
      <c r="D219" s="36"/>
      <c r="E219" s="34"/>
      <c r="F219" s="38"/>
      <c r="G219" s="34"/>
      <c r="H219" s="34"/>
      <c r="I219" s="27"/>
      <c r="J219" s="27"/>
      <c r="K219" s="27"/>
      <c r="L219" s="27"/>
      <c r="M219" s="27"/>
      <c r="N219" s="27"/>
      <c r="O219" s="27"/>
      <c r="P219" s="27"/>
    </row>
    <row r="220">
      <c r="A220" s="27"/>
      <c r="B220" s="35"/>
      <c r="C220" s="27"/>
      <c r="D220" s="36"/>
      <c r="E220" s="34"/>
      <c r="F220" s="38"/>
      <c r="G220" s="34"/>
      <c r="H220" s="34"/>
      <c r="I220" s="27"/>
      <c r="J220" s="27"/>
      <c r="K220" s="27"/>
      <c r="L220" s="27"/>
      <c r="M220" s="27"/>
      <c r="N220" s="27"/>
      <c r="O220" s="27"/>
      <c r="P220" s="27"/>
    </row>
    <row r="221">
      <c r="A221" s="27"/>
      <c r="B221" s="35"/>
      <c r="C221" s="27"/>
      <c r="D221" s="36"/>
      <c r="E221" s="34"/>
      <c r="F221" s="38"/>
      <c r="G221" s="34"/>
      <c r="H221" s="34"/>
      <c r="I221" s="27"/>
      <c r="J221" s="27"/>
      <c r="K221" s="27"/>
      <c r="L221" s="27"/>
      <c r="M221" s="27"/>
      <c r="N221" s="27"/>
      <c r="O221" s="27"/>
      <c r="P221" s="27"/>
    </row>
    <row r="222">
      <c r="A222" s="27"/>
      <c r="B222" s="35"/>
      <c r="C222" s="27"/>
      <c r="D222" s="36"/>
      <c r="E222" s="34"/>
      <c r="F222" s="38"/>
      <c r="G222" s="34"/>
      <c r="H222" s="34"/>
      <c r="I222" s="27"/>
      <c r="J222" s="27"/>
      <c r="K222" s="27"/>
      <c r="L222" s="27"/>
      <c r="M222" s="27"/>
      <c r="N222" s="27"/>
      <c r="O222" s="27"/>
      <c r="P222" s="27"/>
    </row>
    <row r="223">
      <c r="A223" s="27"/>
      <c r="B223" s="35"/>
      <c r="C223" s="27"/>
      <c r="D223" s="36"/>
      <c r="E223" s="34"/>
      <c r="F223" s="38"/>
      <c r="G223" s="34"/>
      <c r="H223" s="34"/>
      <c r="I223" s="27"/>
      <c r="J223" s="27"/>
      <c r="K223" s="27"/>
      <c r="L223" s="27"/>
      <c r="M223" s="27"/>
      <c r="N223" s="27"/>
      <c r="O223" s="27"/>
      <c r="P223" s="27"/>
    </row>
    <row r="224">
      <c r="A224" s="27"/>
      <c r="B224" s="35"/>
      <c r="C224" s="27"/>
      <c r="D224" s="36"/>
      <c r="E224" s="34"/>
      <c r="F224" s="38"/>
      <c r="G224" s="34"/>
      <c r="H224" s="34"/>
      <c r="I224" s="27"/>
      <c r="J224" s="27"/>
      <c r="K224" s="27"/>
      <c r="L224" s="27"/>
      <c r="M224" s="27"/>
      <c r="N224" s="27"/>
      <c r="O224" s="27"/>
      <c r="P224" s="27"/>
    </row>
    <row r="225">
      <c r="A225" s="27"/>
      <c r="B225" s="35"/>
      <c r="C225" s="27"/>
      <c r="D225" s="36"/>
      <c r="E225" s="34"/>
      <c r="F225" s="38"/>
      <c r="G225" s="34"/>
      <c r="H225" s="34"/>
      <c r="I225" s="27"/>
      <c r="J225" s="27"/>
      <c r="K225" s="27"/>
      <c r="L225" s="27"/>
      <c r="M225" s="27"/>
      <c r="N225" s="27"/>
      <c r="O225" s="27"/>
      <c r="P225" s="27"/>
    </row>
    <row r="226">
      <c r="A226" s="27"/>
      <c r="B226" s="35"/>
      <c r="C226" s="27"/>
      <c r="D226" s="36"/>
      <c r="E226" s="34"/>
      <c r="F226" s="38"/>
      <c r="G226" s="34"/>
      <c r="H226" s="34"/>
      <c r="I226" s="27"/>
      <c r="J226" s="27"/>
      <c r="K226" s="27"/>
      <c r="L226" s="27"/>
      <c r="M226" s="27"/>
      <c r="N226" s="27"/>
      <c r="O226" s="27"/>
      <c r="P226" s="27"/>
    </row>
    <row r="227">
      <c r="A227" s="27"/>
      <c r="B227" s="35"/>
      <c r="C227" s="27"/>
      <c r="D227" s="36"/>
      <c r="E227" s="34"/>
      <c r="F227" s="38"/>
      <c r="G227" s="34"/>
      <c r="H227" s="34"/>
      <c r="I227" s="27"/>
      <c r="J227" s="27"/>
      <c r="K227" s="27"/>
      <c r="L227" s="27"/>
      <c r="M227" s="27"/>
      <c r="N227" s="27"/>
      <c r="O227" s="27"/>
      <c r="P227" s="27"/>
    </row>
    <row r="228">
      <c r="A228" s="27"/>
      <c r="B228" s="35"/>
      <c r="C228" s="27"/>
      <c r="D228" s="36"/>
      <c r="E228" s="34"/>
      <c r="F228" s="38"/>
      <c r="G228" s="34"/>
      <c r="H228" s="34"/>
      <c r="I228" s="27"/>
      <c r="J228" s="27"/>
      <c r="K228" s="27"/>
      <c r="L228" s="27"/>
      <c r="M228" s="27"/>
      <c r="N228" s="27"/>
      <c r="O228" s="27"/>
      <c r="P228" s="27"/>
    </row>
    <row r="229">
      <c r="A229" s="27"/>
      <c r="B229" s="35"/>
      <c r="C229" s="27"/>
      <c r="D229" s="36"/>
      <c r="E229" s="34"/>
      <c r="F229" s="38"/>
      <c r="G229" s="34"/>
      <c r="H229" s="34"/>
      <c r="I229" s="27"/>
      <c r="J229" s="27"/>
      <c r="K229" s="27"/>
      <c r="L229" s="27"/>
      <c r="M229" s="27"/>
      <c r="N229" s="27"/>
      <c r="O229" s="27"/>
      <c r="P229" s="27"/>
    </row>
    <row r="230">
      <c r="A230" s="27"/>
      <c r="B230" s="35"/>
      <c r="C230" s="27"/>
      <c r="D230" s="36"/>
      <c r="E230" s="34"/>
      <c r="F230" s="38"/>
      <c r="G230" s="34"/>
      <c r="H230" s="34"/>
      <c r="I230" s="27"/>
      <c r="J230" s="27"/>
      <c r="K230" s="27"/>
      <c r="L230" s="27"/>
      <c r="M230" s="27"/>
      <c r="N230" s="27"/>
      <c r="O230" s="27"/>
      <c r="P230" s="27"/>
    </row>
    <row r="231">
      <c r="A231" s="27"/>
      <c r="B231" s="35"/>
      <c r="C231" s="27"/>
      <c r="D231" s="36"/>
      <c r="E231" s="34"/>
      <c r="F231" s="38"/>
      <c r="G231" s="34"/>
      <c r="H231" s="34"/>
      <c r="I231" s="27"/>
      <c r="J231" s="27"/>
      <c r="K231" s="27"/>
      <c r="L231" s="27"/>
      <c r="M231" s="27"/>
      <c r="N231" s="27"/>
      <c r="O231" s="27"/>
      <c r="P231" s="27"/>
    </row>
    <row r="232">
      <c r="A232" s="27"/>
      <c r="B232" s="35"/>
      <c r="C232" s="27"/>
      <c r="D232" s="36"/>
      <c r="E232" s="34"/>
      <c r="F232" s="38"/>
      <c r="G232" s="34"/>
      <c r="H232" s="34"/>
      <c r="I232" s="27"/>
      <c r="J232" s="27"/>
      <c r="K232" s="27"/>
      <c r="L232" s="27"/>
      <c r="M232" s="27"/>
      <c r="N232" s="27"/>
      <c r="O232" s="27"/>
      <c r="P232" s="27"/>
    </row>
    <row r="233">
      <c r="A233" s="27"/>
      <c r="B233" s="35"/>
      <c r="C233" s="27"/>
      <c r="D233" s="36"/>
      <c r="E233" s="34"/>
      <c r="F233" s="38"/>
      <c r="G233" s="34"/>
      <c r="H233" s="34"/>
      <c r="I233" s="27"/>
      <c r="J233" s="27"/>
      <c r="K233" s="27"/>
      <c r="L233" s="27"/>
      <c r="M233" s="27"/>
      <c r="N233" s="27"/>
      <c r="O233" s="27"/>
      <c r="P233" s="27"/>
    </row>
    <row r="234">
      <c r="A234" s="27"/>
      <c r="B234" s="35"/>
      <c r="C234" s="27"/>
      <c r="D234" s="36"/>
      <c r="E234" s="34"/>
      <c r="F234" s="38"/>
      <c r="G234" s="34"/>
      <c r="H234" s="34"/>
      <c r="I234" s="27"/>
      <c r="J234" s="27"/>
      <c r="K234" s="27"/>
      <c r="L234" s="27"/>
      <c r="M234" s="27"/>
      <c r="N234" s="27"/>
      <c r="O234" s="27"/>
      <c r="P234" s="27"/>
    </row>
    <row r="235">
      <c r="A235" s="27"/>
      <c r="B235" s="35"/>
      <c r="C235" s="27"/>
      <c r="D235" s="36"/>
      <c r="E235" s="34"/>
      <c r="F235" s="38"/>
      <c r="G235" s="34"/>
      <c r="H235" s="34"/>
      <c r="I235" s="27"/>
      <c r="J235" s="27"/>
      <c r="K235" s="27"/>
      <c r="L235" s="27"/>
      <c r="M235" s="27"/>
      <c r="N235" s="27"/>
      <c r="O235" s="27"/>
      <c r="P235" s="27"/>
    </row>
    <row r="236">
      <c r="A236" s="27"/>
      <c r="B236" s="35"/>
      <c r="C236" s="27"/>
      <c r="D236" s="36"/>
      <c r="E236" s="34"/>
      <c r="F236" s="38"/>
      <c r="G236" s="34"/>
      <c r="H236" s="34"/>
      <c r="I236" s="27"/>
      <c r="J236" s="27"/>
      <c r="K236" s="27"/>
      <c r="L236" s="27"/>
      <c r="M236" s="27"/>
      <c r="N236" s="27"/>
      <c r="O236" s="27"/>
      <c r="P236" s="27"/>
    </row>
    <row r="237">
      <c r="A237" s="27"/>
      <c r="B237" s="35"/>
      <c r="C237" s="27"/>
      <c r="D237" s="36"/>
      <c r="E237" s="34"/>
      <c r="F237" s="38"/>
      <c r="G237" s="34"/>
      <c r="H237" s="34"/>
      <c r="I237" s="27"/>
      <c r="J237" s="27"/>
      <c r="K237" s="27"/>
      <c r="L237" s="27"/>
      <c r="M237" s="27"/>
      <c r="N237" s="27"/>
      <c r="O237" s="27"/>
      <c r="P237" s="27"/>
    </row>
    <row r="238">
      <c r="A238" s="27"/>
      <c r="B238" s="35"/>
      <c r="C238" s="27"/>
      <c r="D238" s="36"/>
      <c r="E238" s="34"/>
      <c r="F238" s="38"/>
      <c r="G238" s="34"/>
      <c r="H238" s="34"/>
      <c r="I238" s="27"/>
      <c r="J238" s="27"/>
      <c r="K238" s="27"/>
      <c r="L238" s="27"/>
      <c r="M238" s="27"/>
      <c r="N238" s="27"/>
      <c r="O238" s="27"/>
      <c r="P238" s="27"/>
    </row>
    <row r="239">
      <c r="A239" s="27"/>
      <c r="B239" s="35"/>
      <c r="C239" s="27"/>
      <c r="D239" s="36"/>
      <c r="E239" s="34"/>
      <c r="F239" s="38"/>
      <c r="G239" s="34"/>
      <c r="H239" s="34"/>
      <c r="I239" s="27"/>
      <c r="J239" s="27"/>
      <c r="K239" s="27"/>
      <c r="L239" s="27"/>
      <c r="M239" s="27"/>
      <c r="N239" s="27"/>
      <c r="O239" s="27"/>
      <c r="P239" s="27"/>
    </row>
    <row r="240">
      <c r="A240" s="27"/>
      <c r="B240" s="35"/>
      <c r="C240" s="27"/>
      <c r="D240" s="36"/>
      <c r="E240" s="34"/>
      <c r="F240" s="38"/>
      <c r="G240" s="34"/>
      <c r="H240" s="34"/>
      <c r="I240" s="27"/>
      <c r="J240" s="27"/>
      <c r="K240" s="27"/>
      <c r="L240" s="27"/>
      <c r="M240" s="27"/>
      <c r="N240" s="27"/>
      <c r="O240" s="27"/>
      <c r="P240" s="27"/>
    </row>
    <row r="241">
      <c r="A241" s="27"/>
      <c r="B241" s="35"/>
      <c r="C241" s="27"/>
      <c r="D241" s="36"/>
      <c r="E241" s="34"/>
      <c r="F241" s="38"/>
      <c r="G241" s="34"/>
      <c r="H241" s="34"/>
      <c r="I241" s="27"/>
      <c r="J241" s="27"/>
      <c r="K241" s="27"/>
      <c r="L241" s="27"/>
      <c r="M241" s="27"/>
      <c r="N241" s="27"/>
      <c r="O241" s="27"/>
      <c r="P241" s="27"/>
    </row>
    <row r="242">
      <c r="A242" s="27"/>
      <c r="B242" s="35"/>
      <c r="C242" s="27"/>
      <c r="D242" s="36"/>
      <c r="E242" s="34"/>
      <c r="F242" s="38"/>
      <c r="G242" s="34"/>
      <c r="H242" s="34"/>
      <c r="I242" s="27"/>
      <c r="J242" s="27"/>
      <c r="K242" s="27"/>
      <c r="L242" s="27"/>
      <c r="M242" s="27"/>
      <c r="N242" s="27"/>
      <c r="O242" s="27"/>
      <c r="P242" s="27"/>
    </row>
    <row r="243">
      <c r="A243" s="27"/>
      <c r="B243" s="35"/>
      <c r="C243" s="27"/>
      <c r="D243" s="36"/>
      <c r="E243" s="34"/>
      <c r="F243" s="38"/>
      <c r="G243" s="34"/>
      <c r="H243" s="34"/>
      <c r="I243" s="27"/>
      <c r="J243" s="27"/>
      <c r="K243" s="27"/>
      <c r="L243" s="27"/>
      <c r="M243" s="27"/>
      <c r="N243" s="27"/>
      <c r="O243" s="27"/>
      <c r="P243" s="27"/>
    </row>
    <row r="244">
      <c r="A244" s="27"/>
      <c r="B244" s="35"/>
      <c r="C244" s="27"/>
      <c r="D244" s="36"/>
      <c r="E244" s="34"/>
      <c r="F244" s="38"/>
      <c r="G244" s="34"/>
      <c r="H244" s="34"/>
      <c r="I244" s="27"/>
      <c r="J244" s="27"/>
      <c r="K244" s="27"/>
      <c r="L244" s="27"/>
      <c r="M244" s="27"/>
      <c r="N244" s="27"/>
      <c r="O244" s="27"/>
      <c r="P244" s="27"/>
    </row>
    <row r="245">
      <c r="A245" s="27"/>
      <c r="B245" s="35"/>
      <c r="C245" s="27"/>
      <c r="D245" s="36"/>
      <c r="E245" s="34"/>
      <c r="F245" s="38"/>
      <c r="G245" s="34"/>
      <c r="H245" s="34"/>
      <c r="I245" s="27"/>
      <c r="J245" s="27"/>
      <c r="K245" s="27"/>
      <c r="L245" s="27"/>
      <c r="M245" s="27"/>
      <c r="N245" s="27"/>
      <c r="O245" s="27"/>
      <c r="P245" s="27"/>
    </row>
    <row r="246">
      <c r="A246" s="27"/>
      <c r="B246" s="35"/>
      <c r="C246" s="27"/>
      <c r="D246" s="36"/>
      <c r="E246" s="34"/>
      <c r="F246" s="38"/>
      <c r="G246" s="34"/>
      <c r="H246" s="34"/>
      <c r="I246" s="27"/>
      <c r="J246" s="27"/>
      <c r="K246" s="27"/>
      <c r="L246" s="27"/>
      <c r="M246" s="27"/>
      <c r="N246" s="27"/>
      <c r="O246" s="27"/>
      <c r="P246" s="27"/>
    </row>
    <row r="247">
      <c r="A247" s="27"/>
      <c r="B247" s="35"/>
      <c r="C247" s="27"/>
      <c r="D247" s="36"/>
      <c r="E247" s="34"/>
      <c r="F247" s="38"/>
      <c r="G247" s="34"/>
      <c r="H247" s="34"/>
      <c r="I247" s="27"/>
      <c r="J247" s="27"/>
      <c r="K247" s="27"/>
      <c r="L247" s="27"/>
      <c r="M247" s="27"/>
      <c r="N247" s="27"/>
      <c r="O247" s="27"/>
      <c r="P247" s="27"/>
    </row>
    <row r="248">
      <c r="A248" s="27"/>
      <c r="B248" s="35"/>
      <c r="C248" s="27"/>
      <c r="D248" s="36"/>
      <c r="E248" s="34"/>
      <c r="F248" s="38"/>
      <c r="G248" s="34"/>
      <c r="H248" s="34"/>
      <c r="I248" s="27"/>
      <c r="J248" s="27"/>
      <c r="K248" s="27"/>
      <c r="L248" s="27"/>
      <c r="M248" s="27"/>
      <c r="N248" s="27"/>
      <c r="O248" s="27"/>
      <c r="P248" s="27"/>
    </row>
    <row r="249">
      <c r="A249" s="27"/>
      <c r="B249" s="35"/>
      <c r="C249" s="27"/>
      <c r="D249" s="36"/>
      <c r="E249" s="34"/>
      <c r="F249" s="38"/>
      <c r="G249" s="34"/>
      <c r="H249" s="34"/>
      <c r="I249" s="27"/>
      <c r="J249" s="27"/>
      <c r="K249" s="27"/>
      <c r="L249" s="27"/>
      <c r="M249" s="27"/>
      <c r="N249" s="27"/>
      <c r="O249" s="27"/>
      <c r="P249" s="27"/>
    </row>
    <row r="250">
      <c r="A250" s="27"/>
      <c r="B250" s="35"/>
      <c r="C250" s="27"/>
      <c r="D250" s="36"/>
      <c r="E250" s="34"/>
      <c r="F250" s="38"/>
      <c r="G250" s="34"/>
      <c r="H250" s="34"/>
      <c r="I250" s="27"/>
      <c r="J250" s="27"/>
      <c r="K250" s="27"/>
      <c r="L250" s="27"/>
      <c r="M250" s="27"/>
      <c r="N250" s="27"/>
      <c r="O250" s="27"/>
      <c r="P250" s="27"/>
    </row>
    <row r="251">
      <c r="A251" s="27"/>
      <c r="B251" s="35"/>
      <c r="C251" s="27"/>
      <c r="D251" s="36"/>
      <c r="E251" s="34"/>
      <c r="F251" s="38"/>
      <c r="G251" s="34"/>
      <c r="H251" s="34"/>
      <c r="I251" s="27"/>
      <c r="J251" s="27"/>
      <c r="K251" s="27"/>
      <c r="L251" s="27"/>
      <c r="M251" s="27"/>
      <c r="N251" s="27"/>
      <c r="O251" s="27"/>
      <c r="P251" s="27"/>
    </row>
    <row r="252">
      <c r="A252" s="27"/>
      <c r="B252" s="35"/>
      <c r="C252" s="27"/>
      <c r="D252" s="36"/>
      <c r="E252" s="34"/>
      <c r="F252" s="38"/>
      <c r="G252" s="34"/>
      <c r="H252" s="34"/>
      <c r="I252" s="27"/>
      <c r="J252" s="27"/>
      <c r="K252" s="27"/>
      <c r="L252" s="27"/>
      <c r="M252" s="27"/>
      <c r="N252" s="27"/>
      <c r="O252" s="27"/>
      <c r="P252" s="27"/>
    </row>
    <row r="253">
      <c r="A253" s="27"/>
      <c r="B253" s="35"/>
      <c r="C253" s="27"/>
      <c r="D253" s="36"/>
      <c r="E253" s="34"/>
      <c r="F253" s="38"/>
      <c r="G253" s="34"/>
      <c r="H253" s="34"/>
      <c r="I253" s="27"/>
      <c r="J253" s="27"/>
      <c r="K253" s="27"/>
      <c r="L253" s="27"/>
      <c r="M253" s="27"/>
      <c r="N253" s="27"/>
      <c r="O253" s="27"/>
      <c r="P253" s="27"/>
    </row>
    <row r="254">
      <c r="A254" s="27"/>
      <c r="B254" s="35"/>
      <c r="C254" s="27"/>
      <c r="D254" s="36"/>
      <c r="E254" s="34"/>
      <c r="F254" s="38"/>
      <c r="G254" s="34"/>
      <c r="H254" s="34"/>
      <c r="I254" s="27"/>
      <c r="J254" s="27"/>
      <c r="K254" s="27"/>
      <c r="L254" s="27"/>
      <c r="M254" s="27"/>
      <c r="N254" s="27"/>
      <c r="O254" s="27"/>
      <c r="P254" s="27"/>
    </row>
    <row r="255">
      <c r="A255" s="27"/>
      <c r="B255" s="35"/>
      <c r="C255" s="27"/>
      <c r="D255" s="36"/>
      <c r="E255" s="34"/>
      <c r="F255" s="38"/>
      <c r="G255" s="34"/>
      <c r="H255" s="34"/>
      <c r="I255" s="27"/>
      <c r="J255" s="27"/>
      <c r="K255" s="27"/>
      <c r="L255" s="27"/>
      <c r="M255" s="27"/>
      <c r="N255" s="27"/>
      <c r="O255" s="27"/>
      <c r="P255" s="27"/>
    </row>
    <row r="256">
      <c r="A256" s="27"/>
      <c r="B256" s="35"/>
      <c r="C256" s="27"/>
      <c r="D256" s="36"/>
      <c r="E256" s="34"/>
      <c r="F256" s="38"/>
      <c r="G256" s="34"/>
      <c r="H256" s="34"/>
      <c r="I256" s="27"/>
      <c r="J256" s="27"/>
      <c r="K256" s="27"/>
      <c r="L256" s="27"/>
      <c r="M256" s="27"/>
      <c r="N256" s="27"/>
      <c r="O256" s="27"/>
      <c r="P256" s="27"/>
    </row>
    <row r="257">
      <c r="A257" s="27"/>
      <c r="B257" s="35"/>
      <c r="C257" s="27"/>
      <c r="D257" s="36"/>
      <c r="E257" s="34"/>
      <c r="F257" s="38"/>
      <c r="G257" s="34"/>
      <c r="H257" s="34"/>
      <c r="I257" s="27"/>
      <c r="J257" s="27"/>
      <c r="K257" s="27"/>
      <c r="L257" s="27"/>
      <c r="M257" s="27"/>
      <c r="N257" s="27"/>
      <c r="O257" s="27"/>
      <c r="P257" s="27"/>
    </row>
    <row r="258">
      <c r="A258" s="27"/>
      <c r="B258" s="35"/>
      <c r="C258" s="27"/>
      <c r="D258" s="36"/>
      <c r="E258" s="34"/>
      <c r="F258" s="38"/>
      <c r="G258" s="34"/>
      <c r="H258" s="34"/>
      <c r="I258" s="27"/>
      <c r="J258" s="27"/>
      <c r="K258" s="27"/>
      <c r="L258" s="27"/>
      <c r="M258" s="27"/>
      <c r="N258" s="27"/>
      <c r="O258" s="27"/>
      <c r="P258" s="27"/>
    </row>
    <row r="259">
      <c r="A259" s="27"/>
      <c r="B259" s="35"/>
      <c r="C259" s="27"/>
      <c r="D259" s="36"/>
      <c r="E259" s="34"/>
      <c r="F259" s="38"/>
      <c r="G259" s="34"/>
      <c r="H259" s="34"/>
      <c r="I259" s="27"/>
      <c r="J259" s="27"/>
      <c r="K259" s="27"/>
      <c r="L259" s="27"/>
      <c r="M259" s="27"/>
      <c r="N259" s="27"/>
      <c r="O259" s="27"/>
      <c r="P259" s="27"/>
    </row>
    <row r="260">
      <c r="A260" s="27"/>
      <c r="B260" s="35"/>
      <c r="C260" s="27"/>
      <c r="D260" s="36"/>
      <c r="E260" s="34"/>
      <c r="F260" s="38"/>
      <c r="G260" s="34"/>
      <c r="H260" s="34"/>
      <c r="I260" s="27"/>
      <c r="J260" s="27"/>
      <c r="K260" s="27"/>
      <c r="L260" s="27"/>
      <c r="M260" s="27"/>
      <c r="N260" s="27"/>
      <c r="O260" s="27"/>
      <c r="P260" s="27"/>
    </row>
    <row r="261">
      <c r="A261" s="27"/>
      <c r="B261" s="35"/>
      <c r="C261" s="27"/>
      <c r="D261" s="36"/>
      <c r="E261" s="34"/>
      <c r="F261" s="38"/>
      <c r="G261" s="34"/>
      <c r="H261" s="34"/>
      <c r="I261" s="27"/>
      <c r="J261" s="27"/>
      <c r="K261" s="27"/>
      <c r="L261" s="27"/>
      <c r="M261" s="27"/>
      <c r="N261" s="27"/>
      <c r="O261" s="27"/>
      <c r="P261" s="27"/>
    </row>
    <row r="262">
      <c r="A262" s="27"/>
      <c r="B262" s="35"/>
      <c r="C262" s="27"/>
      <c r="D262" s="36"/>
      <c r="E262" s="34"/>
      <c r="F262" s="38"/>
      <c r="G262" s="34"/>
      <c r="H262" s="34"/>
      <c r="I262" s="27"/>
      <c r="J262" s="27"/>
      <c r="K262" s="27"/>
      <c r="L262" s="27"/>
      <c r="M262" s="27"/>
      <c r="N262" s="27"/>
      <c r="O262" s="27"/>
      <c r="P262" s="27"/>
    </row>
    <row r="263">
      <c r="A263" s="27"/>
      <c r="B263" s="35"/>
      <c r="C263" s="27"/>
      <c r="D263" s="36"/>
      <c r="E263" s="34"/>
      <c r="F263" s="38"/>
      <c r="G263" s="34"/>
      <c r="H263" s="34"/>
      <c r="I263" s="27"/>
      <c r="J263" s="27"/>
      <c r="K263" s="27"/>
      <c r="L263" s="27"/>
      <c r="M263" s="27"/>
      <c r="N263" s="27"/>
      <c r="O263" s="27"/>
      <c r="P263" s="27"/>
    </row>
    <row r="264">
      <c r="A264" s="27"/>
      <c r="B264" s="35"/>
      <c r="C264" s="27"/>
      <c r="D264" s="36"/>
      <c r="E264" s="34"/>
      <c r="F264" s="38"/>
      <c r="G264" s="34"/>
      <c r="H264" s="34"/>
      <c r="I264" s="27"/>
      <c r="J264" s="27"/>
      <c r="K264" s="27"/>
      <c r="L264" s="27"/>
      <c r="M264" s="27"/>
      <c r="N264" s="27"/>
      <c r="O264" s="27"/>
      <c r="P264" s="27"/>
    </row>
    <row r="265">
      <c r="A265" s="27"/>
      <c r="B265" s="35"/>
      <c r="C265" s="27"/>
      <c r="D265" s="36"/>
      <c r="E265" s="34"/>
      <c r="F265" s="38"/>
      <c r="G265" s="34"/>
      <c r="H265" s="34"/>
      <c r="I265" s="27"/>
      <c r="J265" s="27"/>
      <c r="K265" s="27"/>
      <c r="L265" s="27"/>
      <c r="M265" s="27"/>
      <c r="N265" s="27"/>
      <c r="O265" s="27"/>
      <c r="P265" s="27"/>
    </row>
    <row r="266">
      <c r="A266" s="27"/>
      <c r="B266" s="35"/>
      <c r="C266" s="27"/>
      <c r="D266" s="36"/>
      <c r="E266" s="34"/>
      <c r="F266" s="38"/>
      <c r="G266" s="34"/>
      <c r="H266" s="34"/>
      <c r="I266" s="27"/>
      <c r="J266" s="27"/>
      <c r="K266" s="27"/>
      <c r="L266" s="27"/>
      <c r="M266" s="27"/>
      <c r="N266" s="27"/>
      <c r="O266" s="27"/>
      <c r="P266" s="27"/>
    </row>
    <row r="267">
      <c r="A267" s="27"/>
      <c r="B267" s="35"/>
      <c r="C267" s="27"/>
      <c r="D267" s="36"/>
      <c r="E267" s="34"/>
      <c r="F267" s="38"/>
      <c r="G267" s="34"/>
      <c r="H267" s="34"/>
      <c r="I267" s="27"/>
      <c r="J267" s="27"/>
      <c r="K267" s="27"/>
      <c r="L267" s="27"/>
      <c r="M267" s="27"/>
      <c r="N267" s="27"/>
      <c r="O267" s="27"/>
      <c r="P267" s="27"/>
    </row>
    <row r="268">
      <c r="A268" s="27"/>
      <c r="B268" s="35"/>
      <c r="C268" s="27"/>
      <c r="D268" s="36"/>
      <c r="E268" s="34"/>
      <c r="F268" s="38"/>
      <c r="G268" s="34"/>
      <c r="H268" s="34"/>
      <c r="I268" s="27"/>
      <c r="J268" s="27"/>
      <c r="K268" s="27"/>
      <c r="L268" s="27"/>
      <c r="M268" s="27"/>
      <c r="N268" s="27"/>
      <c r="O268" s="27"/>
      <c r="P268" s="27"/>
    </row>
    <row r="269">
      <c r="A269" s="27"/>
      <c r="B269" s="35"/>
      <c r="C269" s="27"/>
      <c r="D269" s="36"/>
      <c r="E269" s="34"/>
      <c r="F269" s="38"/>
      <c r="G269" s="34"/>
      <c r="H269" s="34"/>
      <c r="I269" s="27"/>
      <c r="J269" s="27"/>
      <c r="K269" s="27"/>
      <c r="L269" s="27"/>
      <c r="M269" s="27"/>
      <c r="N269" s="27"/>
      <c r="O269" s="27"/>
      <c r="P269" s="27"/>
    </row>
    <row r="270">
      <c r="A270" s="27"/>
      <c r="B270" s="35"/>
      <c r="C270" s="27"/>
      <c r="D270" s="36"/>
      <c r="E270" s="34"/>
      <c r="F270" s="38"/>
      <c r="G270" s="34"/>
      <c r="H270" s="34"/>
      <c r="I270" s="27"/>
      <c r="J270" s="27"/>
      <c r="K270" s="27"/>
      <c r="L270" s="27"/>
      <c r="M270" s="27"/>
      <c r="N270" s="27"/>
      <c r="O270" s="27"/>
      <c r="P270" s="27"/>
    </row>
    <row r="271">
      <c r="A271" s="27"/>
      <c r="B271" s="35"/>
      <c r="C271" s="27"/>
      <c r="D271" s="36"/>
      <c r="E271" s="34"/>
      <c r="F271" s="38"/>
      <c r="G271" s="34"/>
      <c r="H271" s="34"/>
      <c r="I271" s="27"/>
      <c r="J271" s="27"/>
      <c r="K271" s="27"/>
      <c r="L271" s="27"/>
      <c r="M271" s="27"/>
      <c r="N271" s="27"/>
      <c r="O271" s="27"/>
      <c r="P271" s="27"/>
    </row>
    <row r="272">
      <c r="A272" s="27"/>
      <c r="B272" s="35"/>
      <c r="C272" s="27"/>
      <c r="D272" s="36"/>
      <c r="E272" s="34"/>
      <c r="F272" s="38"/>
      <c r="G272" s="34"/>
      <c r="H272" s="34"/>
      <c r="I272" s="27"/>
      <c r="J272" s="27"/>
      <c r="K272" s="27"/>
      <c r="L272" s="27"/>
      <c r="M272" s="27"/>
      <c r="N272" s="27"/>
      <c r="O272" s="27"/>
      <c r="P272" s="27"/>
    </row>
    <row r="273">
      <c r="A273" s="27"/>
      <c r="B273" s="35"/>
      <c r="C273" s="27"/>
      <c r="D273" s="36"/>
      <c r="E273" s="34"/>
      <c r="F273" s="38"/>
      <c r="G273" s="34"/>
      <c r="H273" s="34"/>
      <c r="I273" s="27"/>
      <c r="J273" s="27"/>
      <c r="K273" s="27"/>
      <c r="L273" s="27"/>
      <c r="M273" s="27"/>
      <c r="N273" s="27"/>
      <c r="O273" s="27"/>
      <c r="P273" s="27"/>
    </row>
    <row r="274">
      <c r="A274" s="27"/>
      <c r="B274" s="35"/>
      <c r="C274" s="27"/>
      <c r="D274" s="36"/>
      <c r="E274" s="34"/>
      <c r="F274" s="38"/>
      <c r="G274" s="34"/>
      <c r="H274" s="34"/>
      <c r="I274" s="27"/>
      <c r="J274" s="27"/>
      <c r="K274" s="27"/>
      <c r="L274" s="27"/>
      <c r="M274" s="27"/>
      <c r="N274" s="27"/>
      <c r="O274" s="27"/>
      <c r="P274" s="27"/>
    </row>
    <row r="275">
      <c r="A275" s="27"/>
      <c r="B275" s="35"/>
      <c r="C275" s="27"/>
      <c r="D275" s="36"/>
      <c r="E275" s="34"/>
      <c r="F275" s="38"/>
      <c r="G275" s="34"/>
      <c r="H275" s="34"/>
      <c r="I275" s="27"/>
      <c r="J275" s="27"/>
      <c r="K275" s="27"/>
      <c r="L275" s="27"/>
      <c r="M275" s="27"/>
      <c r="N275" s="27"/>
      <c r="O275" s="27"/>
      <c r="P275" s="27"/>
    </row>
    <row r="276">
      <c r="A276" s="27"/>
      <c r="B276" s="35"/>
      <c r="C276" s="27"/>
      <c r="D276" s="36"/>
      <c r="E276" s="34"/>
      <c r="F276" s="38"/>
      <c r="G276" s="34"/>
      <c r="H276" s="34"/>
      <c r="I276" s="27"/>
      <c r="J276" s="27"/>
      <c r="K276" s="27"/>
      <c r="L276" s="27"/>
      <c r="M276" s="27"/>
      <c r="N276" s="27"/>
      <c r="O276" s="27"/>
      <c r="P276" s="27"/>
    </row>
    <row r="277">
      <c r="A277" s="27"/>
      <c r="B277" s="35"/>
      <c r="C277" s="27"/>
      <c r="D277" s="36"/>
      <c r="E277" s="34"/>
      <c r="F277" s="38"/>
      <c r="G277" s="34"/>
      <c r="H277" s="34"/>
      <c r="I277" s="27"/>
      <c r="J277" s="27"/>
      <c r="K277" s="27"/>
      <c r="L277" s="27"/>
      <c r="M277" s="27"/>
      <c r="N277" s="27"/>
      <c r="O277" s="27"/>
      <c r="P277" s="27"/>
    </row>
    <row r="278">
      <c r="A278" s="27"/>
      <c r="B278" s="35"/>
      <c r="C278" s="27"/>
      <c r="D278" s="36"/>
      <c r="E278" s="34"/>
      <c r="F278" s="38"/>
      <c r="G278" s="34"/>
      <c r="H278" s="34"/>
      <c r="I278" s="27"/>
      <c r="J278" s="27"/>
      <c r="K278" s="27"/>
      <c r="L278" s="27"/>
      <c r="M278" s="27"/>
      <c r="N278" s="27"/>
      <c r="O278" s="27"/>
      <c r="P278" s="27"/>
    </row>
    <row r="279">
      <c r="A279" s="27"/>
      <c r="B279" s="35"/>
      <c r="C279" s="27"/>
      <c r="D279" s="36"/>
      <c r="E279" s="34"/>
      <c r="F279" s="38"/>
      <c r="G279" s="34"/>
      <c r="H279" s="34"/>
      <c r="I279" s="27"/>
      <c r="J279" s="27"/>
      <c r="K279" s="27"/>
      <c r="L279" s="27"/>
      <c r="M279" s="27"/>
      <c r="N279" s="27"/>
      <c r="O279" s="27"/>
      <c r="P279" s="27"/>
    </row>
    <row r="280">
      <c r="A280" s="27"/>
      <c r="B280" s="35"/>
      <c r="C280" s="27"/>
      <c r="D280" s="36"/>
      <c r="E280" s="34"/>
      <c r="F280" s="38"/>
      <c r="G280" s="34"/>
      <c r="H280" s="34"/>
      <c r="I280" s="27"/>
      <c r="J280" s="27"/>
      <c r="K280" s="27"/>
      <c r="L280" s="27"/>
      <c r="M280" s="27"/>
      <c r="N280" s="27"/>
      <c r="O280" s="27"/>
      <c r="P280" s="27"/>
    </row>
    <row r="281">
      <c r="A281" s="27"/>
      <c r="B281" s="35"/>
      <c r="C281" s="27"/>
      <c r="D281" s="36"/>
      <c r="E281" s="34"/>
      <c r="F281" s="38"/>
      <c r="G281" s="34"/>
      <c r="H281" s="34"/>
      <c r="I281" s="27"/>
      <c r="J281" s="27"/>
      <c r="K281" s="27"/>
      <c r="L281" s="27"/>
      <c r="M281" s="27"/>
      <c r="N281" s="27"/>
      <c r="O281" s="27"/>
      <c r="P281" s="27"/>
    </row>
    <row r="282">
      <c r="A282" s="27"/>
      <c r="B282" s="35"/>
      <c r="C282" s="27"/>
      <c r="D282" s="36"/>
      <c r="E282" s="34"/>
      <c r="F282" s="38"/>
      <c r="G282" s="34"/>
      <c r="H282" s="34"/>
      <c r="I282" s="27"/>
      <c r="J282" s="27"/>
      <c r="K282" s="27"/>
      <c r="L282" s="27"/>
      <c r="M282" s="27"/>
      <c r="N282" s="27"/>
      <c r="O282" s="27"/>
      <c r="P282" s="27"/>
    </row>
    <row r="283">
      <c r="A283" s="27"/>
      <c r="B283" s="35"/>
      <c r="C283" s="27"/>
      <c r="D283" s="36"/>
      <c r="E283" s="34"/>
      <c r="F283" s="38"/>
      <c r="G283" s="34"/>
      <c r="H283" s="34"/>
      <c r="I283" s="27"/>
      <c r="J283" s="27"/>
      <c r="K283" s="27"/>
      <c r="L283" s="27"/>
      <c r="M283" s="27"/>
      <c r="N283" s="27"/>
      <c r="O283" s="27"/>
      <c r="P283" s="27"/>
    </row>
    <row r="284">
      <c r="A284" s="27"/>
      <c r="B284" s="35"/>
      <c r="C284" s="27"/>
      <c r="D284" s="36"/>
      <c r="E284" s="34"/>
      <c r="F284" s="38"/>
      <c r="G284" s="34"/>
      <c r="H284" s="34"/>
      <c r="I284" s="27"/>
      <c r="J284" s="27"/>
      <c r="K284" s="27"/>
      <c r="L284" s="27"/>
      <c r="M284" s="27"/>
      <c r="N284" s="27"/>
      <c r="O284" s="27"/>
      <c r="P284" s="27"/>
    </row>
    <row r="285">
      <c r="A285" s="27"/>
      <c r="B285" s="35"/>
      <c r="C285" s="27"/>
      <c r="D285" s="36"/>
      <c r="E285" s="34"/>
      <c r="F285" s="38"/>
      <c r="G285" s="34"/>
      <c r="H285" s="34"/>
      <c r="I285" s="27"/>
      <c r="J285" s="27"/>
      <c r="K285" s="27"/>
      <c r="L285" s="27"/>
      <c r="M285" s="27"/>
      <c r="N285" s="27"/>
      <c r="O285" s="27"/>
      <c r="P285" s="27"/>
    </row>
    <row r="286">
      <c r="A286" s="27"/>
      <c r="B286" s="35"/>
      <c r="C286" s="27"/>
      <c r="D286" s="36"/>
      <c r="E286" s="34"/>
      <c r="F286" s="38"/>
      <c r="G286" s="34"/>
      <c r="H286" s="34"/>
      <c r="I286" s="27"/>
      <c r="J286" s="27"/>
      <c r="K286" s="27"/>
      <c r="L286" s="27"/>
      <c r="M286" s="27"/>
      <c r="N286" s="27"/>
      <c r="O286" s="27"/>
      <c r="P286" s="27"/>
    </row>
    <row r="287">
      <c r="A287" s="27"/>
      <c r="B287" s="35"/>
      <c r="C287" s="27"/>
      <c r="D287" s="36"/>
      <c r="E287" s="34"/>
      <c r="F287" s="38"/>
      <c r="G287" s="34"/>
      <c r="H287" s="34"/>
      <c r="I287" s="27"/>
      <c r="J287" s="27"/>
      <c r="K287" s="27"/>
      <c r="L287" s="27"/>
      <c r="M287" s="27"/>
      <c r="N287" s="27"/>
      <c r="O287" s="27"/>
      <c r="P287" s="27"/>
    </row>
    <row r="288">
      <c r="A288" s="27"/>
      <c r="B288" s="35"/>
      <c r="C288" s="27"/>
      <c r="D288" s="36"/>
      <c r="E288" s="34"/>
      <c r="F288" s="38"/>
      <c r="G288" s="34"/>
      <c r="H288" s="34"/>
      <c r="I288" s="27"/>
      <c r="J288" s="27"/>
      <c r="K288" s="27"/>
      <c r="L288" s="27"/>
      <c r="M288" s="27"/>
      <c r="N288" s="27"/>
      <c r="O288" s="27"/>
      <c r="P288" s="27"/>
    </row>
    <row r="289">
      <c r="A289" s="27"/>
      <c r="B289" s="35"/>
      <c r="C289" s="27"/>
      <c r="D289" s="36"/>
      <c r="E289" s="34"/>
      <c r="F289" s="38"/>
      <c r="G289" s="34"/>
      <c r="H289" s="34"/>
      <c r="I289" s="27"/>
      <c r="J289" s="27"/>
      <c r="K289" s="27"/>
      <c r="L289" s="27"/>
      <c r="M289" s="27"/>
      <c r="N289" s="27"/>
      <c r="O289" s="27"/>
      <c r="P289" s="27"/>
    </row>
    <row r="290">
      <c r="A290" s="27"/>
      <c r="B290" s="35"/>
      <c r="C290" s="27"/>
      <c r="D290" s="36"/>
      <c r="E290" s="34"/>
      <c r="F290" s="38"/>
      <c r="G290" s="34"/>
      <c r="H290" s="34"/>
      <c r="I290" s="27"/>
      <c r="J290" s="27"/>
      <c r="K290" s="27"/>
      <c r="L290" s="27"/>
      <c r="M290" s="27"/>
      <c r="N290" s="27"/>
      <c r="O290" s="27"/>
      <c r="P290" s="27"/>
    </row>
    <row r="291">
      <c r="A291" s="27"/>
      <c r="B291" s="35"/>
      <c r="C291" s="27"/>
      <c r="D291" s="36"/>
      <c r="E291" s="34"/>
      <c r="F291" s="38"/>
      <c r="G291" s="34"/>
      <c r="H291" s="34"/>
      <c r="I291" s="27"/>
      <c r="J291" s="27"/>
      <c r="K291" s="27"/>
      <c r="L291" s="27"/>
      <c r="M291" s="27"/>
      <c r="N291" s="27"/>
      <c r="O291" s="27"/>
      <c r="P291" s="27"/>
    </row>
    <row r="292">
      <c r="A292" s="27"/>
      <c r="B292" s="35"/>
      <c r="C292" s="27"/>
      <c r="D292" s="36"/>
      <c r="E292" s="34"/>
      <c r="F292" s="38"/>
      <c r="G292" s="34"/>
      <c r="H292" s="34"/>
      <c r="I292" s="27"/>
      <c r="J292" s="27"/>
      <c r="K292" s="27"/>
      <c r="L292" s="27"/>
      <c r="M292" s="27"/>
      <c r="N292" s="27"/>
      <c r="O292" s="27"/>
      <c r="P292" s="27"/>
    </row>
    <row r="293">
      <c r="A293" s="27"/>
      <c r="B293" s="35"/>
      <c r="C293" s="27"/>
      <c r="D293" s="36"/>
      <c r="E293" s="34"/>
      <c r="F293" s="38"/>
      <c r="G293" s="34"/>
      <c r="H293" s="34"/>
      <c r="I293" s="27"/>
      <c r="J293" s="27"/>
      <c r="K293" s="27"/>
      <c r="L293" s="27"/>
      <c r="M293" s="27"/>
      <c r="N293" s="27"/>
      <c r="O293" s="27"/>
      <c r="P293" s="27"/>
    </row>
    <row r="294">
      <c r="A294" s="27"/>
      <c r="B294" s="35"/>
      <c r="C294" s="27"/>
      <c r="D294" s="36"/>
      <c r="E294" s="34"/>
      <c r="F294" s="38"/>
      <c r="G294" s="34"/>
      <c r="H294" s="34"/>
      <c r="I294" s="27"/>
      <c r="J294" s="27"/>
      <c r="K294" s="27"/>
      <c r="L294" s="27"/>
      <c r="M294" s="27"/>
      <c r="N294" s="27"/>
      <c r="O294" s="27"/>
      <c r="P294" s="27"/>
    </row>
    <row r="295">
      <c r="A295" s="27"/>
      <c r="B295" s="35"/>
      <c r="C295" s="27"/>
      <c r="D295" s="36"/>
      <c r="E295" s="34"/>
      <c r="F295" s="38"/>
      <c r="G295" s="34"/>
      <c r="H295" s="34"/>
      <c r="I295" s="27"/>
      <c r="J295" s="27"/>
      <c r="K295" s="27"/>
      <c r="L295" s="27"/>
      <c r="M295" s="27"/>
      <c r="N295" s="27"/>
      <c r="O295" s="27"/>
      <c r="P295" s="27"/>
    </row>
    <row r="296">
      <c r="A296" s="27"/>
      <c r="B296" s="35"/>
      <c r="C296" s="27"/>
      <c r="D296" s="36"/>
      <c r="E296" s="34"/>
      <c r="F296" s="38"/>
      <c r="G296" s="34"/>
      <c r="H296" s="34"/>
      <c r="I296" s="27"/>
      <c r="J296" s="27"/>
      <c r="K296" s="27"/>
      <c r="L296" s="27"/>
      <c r="M296" s="27"/>
      <c r="N296" s="27"/>
      <c r="O296" s="27"/>
      <c r="P296" s="27"/>
    </row>
    <row r="297">
      <c r="A297" s="27"/>
      <c r="B297" s="35"/>
      <c r="C297" s="27"/>
      <c r="D297" s="36"/>
      <c r="E297" s="34"/>
      <c r="F297" s="38"/>
      <c r="G297" s="34"/>
      <c r="H297" s="34"/>
      <c r="I297" s="27"/>
      <c r="J297" s="27"/>
      <c r="K297" s="27"/>
      <c r="L297" s="27"/>
      <c r="M297" s="27"/>
      <c r="N297" s="27"/>
      <c r="O297" s="27"/>
      <c r="P297" s="27"/>
    </row>
    <row r="298">
      <c r="A298" s="27"/>
      <c r="B298" s="35"/>
      <c r="C298" s="27"/>
      <c r="D298" s="36"/>
      <c r="E298" s="34"/>
      <c r="F298" s="38"/>
      <c r="G298" s="34"/>
      <c r="H298" s="34"/>
      <c r="I298" s="27"/>
      <c r="J298" s="27"/>
      <c r="K298" s="27"/>
      <c r="L298" s="27"/>
      <c r="M298" s="27"/>
      <c r="N298" s="27"/>
      <c r="O298" s="27"/>
      <c r="P298" s="27"/>
    </row>
    <row r="299">
      <c r="A299" s="27"/>
      <c r="B299" s="35"/>
      <c r="C299" s="27"/>
      <c r="D299" s="36"/>
      <c r="E299" s="34"/>
      <c r="F299" s="38"/>
      <c r="G299" s="34"/>
      <c r="H299" s="34"/>
      <c r="I299" s="27"/>
      <c r="J299" s="27"/>
      <c r="K299" s="27"/>
      <c r="L299" s="27"/>
      <c r="M299" s="27"/>
      <c r="N299" s="27"/>
      <c r="O299" s="27"/>
      <c r="P299" s="27"/>
    </row>
    <row r="300">
      <c r="A300" s="27"/>
      <c r="B300" s="35"/>
      <c r="C300" s="27"/>
      <c r="D300" s="36"/>
      <c r="E300" s="34"/>
      <c r="F300" s="38"/>
      <c r="G300" s="34"/>
      <c r="H300" s="34"/>
      <c r="I300" s="27"/>
      <c r="J300" s="27"/>
      <c r="K300" s="27"/>
      <c r="L300" s="27"/>
      <c r="M300" s="27"/>
      <c r="N300" s="27"/>
      <c r="O300" s="27"/>
      <c r="P300" s="27"/>
    </row>
    <row r="301">
      <c r="A301" s="27"/>
      <c r="B301" s="35"/>
      <c r="C301" s="27"/>
      <c r="D301" s="36"/>
      <c r="E301" s="34"/>
      <c r="F301" s="38"/>
      <c r="G301" s="34"/>
      <c r="H301" s="34"/>
      <c r="I301" s="27"/>
      <c r="J301" s="27"/>
      <c r="K301" s="27"/>
      <c r="L301" s="27"/>
      <c r="M301" s="27"/>
      <c r="N301" s="27"/>
      <c r="O301" s="27"/>
      <c r="P301" s="27"/>
    </row>
    <row r="302">
      <c r="A302" s="27"/>
      <c r="B302" s="35"/>
      <c r="C302" s="27"/>
      <c r="D302" s="36"/>
      <c r="E302" s="34"/>
      <c r="F302" s="38"/>
      <c r="G302" s="34"/>
      <c r="H302" s="34"/>
      <c r="I302" s="27"/>
      <c r="J302" s="27"/>
      <c r="K302" s="27"/>
      <c r="L302" s="27"/>
      <c r="M302" s="27"/>
      <c r="N302" s="27"/>
      <c r="O302" s="27"/>
      <c r="P302" s="27"/>
    </row>
    <row r="303">
      <c r="A303" s="27"/>
      <c r="B303" s="35"/>
      <c r="C303" s="27"/>
      <c r="D303" s="36"/>
      <c r="E303" s="34"/>
      <c r="F303" s="38"/>
      <c r="G303" s="34"/>
      <c r="H303" s="34"/>
      <c r="I303" s="27"/>
      <c r="J303" s="27"/>
      <c r="K303" s="27"/>
      <c r="L303" s="27"/>
      <c r="M303" s="27"/>
      <c r="N303" s="27"/>
      <c r="O303" s="27"/>
      <c r="P303" s="27"/>
    </row>
    <row r="304">
      <c r="A304" s="27"/>
      <c r="B304" s="35"/>
      <c r="C304" s="27"/>
      <c r="D304" s="36"/>
      <c r="E304" s="34"/>
      <c r="F304" s="38"/>
      <c r="G304" s="34"/>
      <c r="H304" s="34"/>
      <c r="I304" s="27"/>
      <c r="J304" s="27"/>
      <c r="K304" s="27"/>
      <c r="L304" s="27"/>
      <c r="M304" s="27"/>
      <c r="N304" s="27"/>
      <c r="O304" s="27"/>
      <c r="P304" s="27"/>
    </row>
    <row r="305">
      <c r="A305" s="27"/>
      <c r="B305" s="35"/>
      <c r="C305" s="27"/>
      <c r="D305" s="36"/>
      <c r="E305" s="34"/>
      <c r="F305" s="38"/>
      <c r="G305" s="34"/>
      <c r="H305" s="34"/>
      <c r="I305" s="27"/>
      <c r="J305" s="27"/>
      <c r="K305" s="27"/>
      <c r="L305" s="27"/>
      <c r="M305" s="27"/>
      <c r="N305" s="27"/>
      <c r="O305" s="27"/>
      <c r="P305" s="27"/>
    </row>
    <row r="306">
      <c r="A306" s="27"/>
      <c r="B306" s="35"/>
      <c r="C306" s="27"/>
      <c r="D306" s="36"/>
      <c r="E306" s="34"/>
      <c r="F306" s="38"/>
      <c r="G306" s="34"/>
      <c r="H306" s="34"/>
      <c r="I306" s="27"/>
      <c r="J306" s="27"/>
      <c r="K306" s="27"/>
      <c r="L306" s="27"/>
      <c r="M306" s="27"/>
      <c r="N306" s="27"/>
      <c r="O306" s="27"/>
      <c r="P306" s="27"/>
    </row>
    <row r="307">
      <c r="A307" s="27"/>
      <c r="B307" s="35"/>
      <c r="C307" s="27"/>
      <c r="D307" s="36"/>
      <c r="E307" s="34"/>
      <c r="F307" s="38"/>
      <c r="G307" s="34"/>
      <c r="H307" s="34"/>
      <c r="I307" s="27"/>
      <c r="J307" s="27"/>
      <c r="K307" s="27"/>
      <c r="L307" s="27"/>
      <c r="M307" s="27"/>
      <c r="N307" s="27"/>
      <c r="O307" s="27"/>
      <c r="P307" s="27"/>
    </row>
    <row r="308">
      <c r="A308" s="27"/>
      <c r="B308" s="35"/>
      <c r="C308" s="27"/>
      <c r="D308" s="36"/>
      <c r="E308" s="34"/>
      <c r="F308" s="38"/>
      <c r="G308" s="34"/>
      <c r="H308" s="34"/>
      <c r="I308" s="27"/>
      <c r="J308" s="27"/>
      <c r="K308" s="27"/>
      <c r="L308" s="27"/>
      <c r="M308" s="27"/>
      <c r="N308" s="27"/>
      <c r="O308" s="27"/>
      <c r="P308" s="27"/>
    </row>
    <row r="309">
      <c r="A309" s="27"/>
      <c r="B309" s="35"/>
      <c r="C309" s="27"/>
      <c r="D309" s="36"/>
      <c r="E309" s="34"/>
      <c r="F309" s="38"/>
      <c r="G309" s="34"/>
      <c r="H309" s="34"/>
      <c r="I309" s="27"/>
      <c r="J309" s="27"/>
      <c r="K309" s="27"/>
      <c r="L309" s="27"/>
      <c r="M309" s="27"/>
      <c r="N309" s="27"/>
      <c r="O309" s="27"/>
      <c r="P309" s="27"/>
    </row>
    <row r="310">
      <c r="A310" s="27"/>
      <c r="B310" s="35"/>
      <c r="C310" s="27"/>
      <c r="D310" s="36"/>
      <c r="E310" s="34"/>
      <c r="F310" s="38"/>
      <c r="G310" s="34"/>
      <c r="H310" s="34"/>
      <c r="I310" s="27"/>
      <c r="J310" s="27"/>
      <c r="K310" s="27"/>
      <c r="L310" s="27"/>
      <c r="M310" s="27"/>
      <c r="N310" s="27"/>
      <c r="O310" s="27"/>
      <c r="P310" s="27"/>
    </row>
    <row r="311">
      <c r="A311" s="27"/>
      <c r="B311" s="35"/>
      <c r="C311" s="27"/>
      <c r="D311" s="36"/>
      <c r="E311" s="34"/>
      <c r="F311" s="38"/>
      <c r="G311" s="34"/>
      <c r="H311" s="34"/>
      <c r="I311" s="27"/>
      <c r="J311" s="27"/>
      <c r="K311" s="27"/>
      <c r="L311" s="27"/>
      <c r="M311" s="27"/>
      <c r="N311" s="27"/>
      <c r="O311" s="27"/>
      <c r="P311" s="27"/>
    </row>
    <row r="312">
      <c r="A312" s="27"/>
      <c r="B312" s="35"/>
      <c r="C312" s="27"/>
      <c r="D312" s="36"/>
      <c r="E312" s="34"/>
      <c r="F312" s="38"/>
      <c r="G312" s="34"/>
      <c r="H312" s="34"/>
      <c r="I312" s="27"/>
      <c r="J312" s="27"/>
      <c r="K312" s="27"/>
      <c r="L312" s="27"/>
      <c r="M312" s="27"/>
      <c r="N312" s="27"/>
      <c r="O312" s="27"/>
      <c r="P312" s="27"/>
    </row>
    <row r="313">
      <c r="A313" s="27"/>
      <c r="B313" s="35"/>
      <c r="C313" s="27"/>
      <c r="D313" s="36"/>
      <c r="E313" s="34"/>
      <c r="F313" s="38"/>
      <c r="G313" s="34"/>
      <c r="H313" s="34"/>
      <c r="I313" s="27"/>
      <c r="J313" s="27"/>
      <c r="K313" s="27"/>
      <c r="L313" s="27"/>
      <c r="M313" s="27"/>
      <c r="N313" s="27"/>
      <c r="O313" s="27"/>
      <c r="P313" s="27"/>
    </row>
    <row r="314">
      <c r="A314" s="27"/>
      <c r="B314" s="35"/>
      <c r="C314" s="27"/>
      <c r="D314" s="36"/>
      <c r="E314" s="34"/>
      <c r="F314" s="38"/>
      <c r="G314" s="34"/>
      <c r="H314" s="34"/>
      <c r="I314" s="27"/>
      <c r="J314" s="27"/>
      <c r="K314" s="27"/>
      <c r="L314" s="27"/>
      <c r="M314" s="27"/>
      <c r="N314" s="27"/>
      <c r="O314" s="27"/>
      <c r="P314" s="27"/>
    </row>
    <row r="315">
      <c r="A315" s="27"/>
      <c r="B315" s="35"/>
      <c r="C315" s="27"/>
      <c r="D315" s="36"/>
      <c r="E315" s="34"/>
      <c r="F315" s="38"/>
      <c r="G315" s="34"/>
      <c r="H315" s="34"/>
      <c r="I315" s="27"/>
      <c r="J315" s="27"/>
      <c r="K315" s="27"/>
      <c r="L315" s="27"/>
      <c r="M315" s="27"/>
      <c r="N315" s="27"/>
      <c r="O315" s="27"/>
      <c r="P315" s="27"/>
    </row>
    <row r="316">
      <c r="A316" s="27"/>
      <c r="B316" s="35"/>
      <c r="C316" s="27"/>
      <c r="D316" s="36"/>
      <c r="E316" s="34"/>
      <c r="F316" s="38"/>
      <c r="G316" s="34"/>
      <c r="H316" s="34"/>
      <c r="I316" s="27"/>
      <c r="J316" s="27"/>
      <c r="K316" s="27"/>
      <c r="L316" s="27"/>
      <c r="M316" s="27"/>
      <c r="N316" s="27"/>
      <c r="O316" s="27"/>
      <c r="P316" s="27"/>
    </row>
    <row r="317">
      <c r="A317" s="27"/>
      <c r="B317" s="35"/>
      <c r="C317" s="27"/>
      <c r="D317" s="36"/>
      <c r="E317" s="34"/>
      <c r="F317" s="38"/>
      <c r="G317" s="34"/>
      <c r="H317" s="34"/>
      <c r="I317" s="27"/>
      <c r="J317" s="27"/>
      <c r="K317" s="27"/>
      <c r="L317" s="27"/>
      <c r="M317" s="27"/>
      <c r="N317" s="27"/>
      <c r="O317" s="27"/>
      <c r="P317" s="27"/>
    </row>
    <row r="318">
      <c r="A318" s="27"/>
      <c r="B318" s="35"/>
      <c r="C318" s="27"/>
      <c r="D318" s="36"/>
      <c r="E318" s="34"/>
      <c r="F318" s="38"/>
      <c r="G318" s="34"/>
      <c r="H318" s="34"/>
      <c r="I318" s="27"/>
      <c r="J318" s="27"/>
      <c r="K318" s="27"/>
      <c r="L318" s="27"/>
      <c r="M318" s="27"/>
      <c r="N318" s="27"/>
      <c r="O318" s="27"/>
      <c r="P318" s="27"/>
    </row>
    <row r="319">
      <c r="A319" s="27"/>
      <c r="B319" s="35"/>
      <c r="C319" s="27"/>
      <c r="D319" s="36"/>
      <c r="E319" s="34"/>
      <c r="F319" s="38"/>
      <c r="G319" s="34"/>
      <c r="H319" s="34"/>
      <c r="I319" s="27"/>
      <c r="J319" s="27"/>
      <c r="K319" s="27"/>
      <c r="L319" s="27"/>
      <c r="M319" s="27"/>
      <c r="N319" s="27"/>
      <c r="O319" s="27"/>
      <c r="P319" s="27"/>
    </row>
    <row r="320">
      <c r="A320" s="27"/>
      <c r="B320" s="35"/>
      <c r="C320" s="27"/>
      <c r="D320" s="36"/>
      <c r="E320" s="34"/>
      <c r="F320" s="38"/>
      <c r="G320" s="34"/>
      <c r="H320" s="34"/>
      <c r="I320" s="27"/>
      <c r="J320" s="27"/>
      <c r="K320" s="27"/>
      <c r="L320" s="27"/>
      <c r="M320" s="27"/>
      <c r="N320" s="27"/>
      <c r="O320" s="27"/>
      <c r="P320" s="27"/>
    </row>
    <row r="321">
      <c r="A321" s="27"/>
      <c r="B321" s="35"/>
      <c r="C321" s="27"/>
      <c r="D321" s="36"/>
      <c r="E321" s="34"/>
      <c r="F321" s="38"/>
      <c r="G321" s="34"/>
      <c r="H321" s="34"/>
      <c r="I321" s="27"/>
      <c r="J321" s="27"/>
      <c r="K321" s="27"/>
      <c r="L321" s="27"/>
      <c r="M321" s="27"/>
      <c r="N321" s="27"/>
      <c r="O321" s="27"/>
      <c r="P321" s="27"/>
    </row>
    <row r="322">
      <c r="A322" s="27"/>
      <c r="B322" s="35"/>
      <c r="C322" s="27"/>
      <c r="D322" s="36"/>
      <c r="E322" s="34"/>
      <c r="F322" s="38"/>
      <c r="G322" s="34"/>
      <c r="H322" s="34"/>
      <c r="I322" s="27"/>
      <c r="J322" s="27"/>
      <c r="K322" s="27"/>
      <c r="L322" s="27"/>
      <c r="M322" s="27"/>
      <c r="N322" s="27"/>
      <c r="O322" s="27"/>
      <c r="P322" s="27"/>
    </row>
    <row r="323">
      <c r="A323" s="27"/>
      <c r="B323" s="35"/>
      <c r="C323" s="27"/>
      <c r="D323" s="36"/>
      <c r="E323" s="34"/>
      <c r="F323" s="38"/>
      <c r="G323" s="34"/>
      <c r="H323" s="34"/>
      <c r="I323" s="27"/>
      <c r="J323" s="27"/>
      <c r="K323" s="27"/>
      <c r="L323" s="27"/>
      <c r="M323" s="27"/>
      <c r="N323" s="27"/>
      <c r="O323" s="27"/>
      <c r="P323" s="27"/>
    </row>
    <row r="324">
      <c r="A324" s="27"/>
      <c r="B324" s="35"/>
      <c r="C324" s="27"/>
      <c r="D324" s="36"/>
      <c r="E324" s="34"/>
      <c r="F324" s="38"/>
      <c r="G324" s="34"/>
      <c r="H324" s="34"/>
      <c r="I324" s="27"/>
      <c r="J324" s="27"/>
      <c r="K324" s="27"/>
      <c r="L324" s="27"/>
      <c r="M324" s="27"/>
      <c r="N324" s="27"/>
      <c r="O324" s="27"/>
      <c r="P324" s="27"/>
    </row>
    <row r="325">
      <c r="A325" s="27"/>
      <c r="B325" s="35"/>
      <c r="C325" s="27"/>
      <c r="D325" s="36"/>
      <c r="E325" s="34"/>
      <c r="F325" s="38"/>
      <c r="G325" s="34"/>
      <c r="H325" s="34"/>
      <c r="I325" s="27"/>
      <c r="J325" s="27"/>
      <c r="K325" s="27"/>
      <c r="L325" s="27"/>
      <c r="M325" s="27"/>
      <c r="N325" s="27"/>
      <c r="O325" s="27"/>
      <c r="P325" s="27"/>
    </row>
    <row r="326">
      <c r="A326" s="27"/>
      <c r="B326" s="35"/>
      <c r="C326" s="27"/>
      <c r="D326" s="36"/>
      <c r="E326" s="34"/>
      <c r="F326" s="38"/>
      <c r="G326" s="34"/>
      <c r="H326" s="34"/>
      <c r="I326" s="27"/>
      <c r="J326" s="27"/>
      <c r="K326" s="27"/>
      <c r="L326" s="27"/>
      <c r="M326" s="27"/>
      <c r="N326" s="27"/>
      <c r="O326" s="27"/>
      <c r="P326" s="27"/>
    </row>
    <row r="327">
      <c r="A327" s="27"/>
      <c r="B327" s="35"/>
      <c r="C327" s="27"/>
      <c r="D327" s="36"/>
      <c r="E327" s="34"/>
      <c r="F327" s="38"/>
      <c r="G327" s="34"/>
      <c r="H327" s="34"/>
      <c r="I327" s="27"/>
      <c r="J327" s="27"/>
      <c r="K327" s="27"/>
      <c r="L327" s="27"/>
      <c r="M327" s="27"/>
      <c r="N327" s="27"/>
      <c r="O327" s="27"/>
      <c r="P327" s="27"/>
    </row>
    <row r="328">
      <c r="A328" s="27"/>
      <c r="B328" s="35"/>
      <c r="C328" s="27"/>
      <c r="D328" s="36"/>
      <c r="E328" s="34"/>
      <c r="F328" s="38"/>
      <c r="G328" s="34"/>
      <c r="H328" s="34"/>
      <c r="I328" s="27"/>
      <c r="J328" s="27"/>
      <c r="K328" s="27"/>
      <c r="L328" s="27"/>
      <c r="M328" s="27"/>
      <c r="N328" s="27"/>
      <c r="O328" s="27"/>
      <c r="P328" s="27"/>
    </row>
    <row r="329">
      <c r="A329" s="27"/>
      <c r="B329" s="35"/>
      <c r="C329" s="27"/>
      <c r="D329" s="36"/>
      <c r="E329" s="34"/>
      <c r="F329" s="38"/>
      <c r="G329" s="34"/>
      <c r="H329" s="34"/>
      <c r="I329" s="27"/>
      <c r="J329" s="27"/>
      <c r="K329" s="27"/>
      <c r="L329" s="27"/>
      <c r="M329" s="27"/>
      <c r="N329" s="27"/>
      <c r="O329" s="27"/>
      <c r="P329" s="27"/>
    </row>
    <row r="330">
      <c r="A330" s="27"/>
      <c r="B330" s="35"/>
      <c r="C330" s="27"/>
      <c r="D330" s="36"/>
      <c r="E330" s="34"/>
      <c r="F330" s="38"/>
      <c r="G330" s="34"/>
      <c r="H330" s="34"/>
      <c r="I330" s="27"/>
      <c r="J330" s="27"/>
      <c r="K330" s="27"/>
      <c r="L330" s="27"/>
      <c r="M330" s="27"/>
      <c r="N330" s="27"/>
      <c r="O330" s="27"/>
      <c r="P330" s="27"/>
    </row>
    <row r="331">
      <c r="A331" s="27"/>
      <c r="B331" s="35"/>
      <c r="C331" s="27"/>
      <c r="D331" s="36"/>
      <c r="E331" s="34"/>
      <c r="F331" s="38"/>
      <c r="G331" s="34"/>
      <c r="H331" s="34"/>
      <c r="I331" s="27"/>
      <c r="J331" s="27"/>
      <c r="K331" s="27"/>
      <c r="L331" s="27"/>
      <c r="M331" s="27"/>
      <c r="N331" s="27"/>
      <c r="O331" s="27"/>
      <c r="P331" s="27"/>
    </row>
    <row r="332">
      <c r="A332" s="27"/>
      <c r="B332" s="35"/>
      <c r="C332" s="27"/>
      <c r="D332" s="36"/>
      <c r="E332" s="34"/>
      <c r="F332" s="38"/>
      <c r="G332" s="34"/>
      <c r="H332" s="34"/>
      <c r="I332" s="27"/>
      <c r="J332" s="27"/>
      <c r="K332" s="27"/>
      <c r="L332" s="27"/>
      <c r="M332" s="27"/>
      <c r="N332" s="27"/>
      <c r="O332" s="27"/>
      <c r="P332" s="27"/>
    </row>
    <row r="333">
      <c r="A333" s="27"/>
      <c r="B333" s="35"/>
      <c r="C333" s="27"/>
      <c r="D333" s="36"/>
      <c r="E333" s="34"/>
      <c r="F333" s="38"/>
      <c r="G333" s="34"/>
      <c r="H333" s="34"/>
      <c r="I333" s="27"/>
      <c r="J333" s="27"/>
      <c r="K333" s="27"/>
      <c r="L333" s="27"/>
      <c r="M333" s="27"/>
      <c r="N333" s="27"/>
      <c r="O333" s="27"/>
      <c r="P333" s="27"/>
    </row>
    <row r="334">
      <c r="A334" s="27"/>
      <c r="B334" s="35"/>
      <c r="C334" s="27"/>
      <c r="D334" s="36"/>
      <c r="E334" s="34"/>
      <c r="F334" s="38"/>
      <c r="G334" s="34"/>
      <c r="H334" s="34"/>
      <c r="I334" s="27"/>
      <c r="J334" s="27"/>
      <c r="K334" s="27"/>
      <c r="L334" s="27"/>
      <c r="M334" s="27"/>
      <c r="N334" s="27"/>
      <c r="O334" s="27"/>
      <c r="P334" s="27"/>
    </row>
    <row r="335">
      <c r="A335" s="27"/>
      <c r="B335" s="35"/>
      <c r="C335" s="27"/>
      <c r="D335" s="36"/>
      <c r="E335" s="34"/>
      <c r="F335" s="38"/>
      <c r="G335" s="34"/>
      <c r="H335" s="34"/>
      <c r="I335" s="27"/>
      <c r="J335" s="27"/>
      <c r="K335" s="27"/>
      <c r="L335" s="27"/>
      <c r="M335" s="27"/>
      <c r="N335" s="27"/>
      <c r="O335" s="27"/>
      <c r="P335" s="27"/>
    </row>
    <row r="336">
      <c r="A336" s="27"/>
      <c r="B336" s="35"/>
      <c r="C336" s="27"/>
      <c r="D336" s="36"/>
      <c r="E336" s="34"/>
      <c r="F336" s="38"/>
      <c r="G336" s="34"/>
      <c r="H336" s="34"/>
      <c r="I336" s="27"/>
      <c r="J336" s="27"/>
      <c r="K336" s="27"/>
      <c r="L336" s="27"/>
      <c r="M336" s="27"/>
      <c r="N336" s="27"/>
      <c r="O336" s="27"/>
      <c r="P336" s="27"/>
    </row>
    <row r="337">
      <c r="A337" s="27"/>
      <c r="B337" s="35"/>
      <c r="C337" s="27"/>
      <c r="D337" s="36"/>
      <c r="E337" s="34"/>
      <c r="F337" s="38"/>
      <c r="G337" s="34"/>
      <c r="H337" s="34"/>
      <c r="I337" s="27"/>
      <c r="J337" s="27"/>
      <c r="K337" s="27"/>
      <c r="L337" s="27"/>
      <c r="M337" s="27"/>
      <c r="N337" s="27"/>
      <c r="O337" s="27"/>
      <c r="P337" s="27"/>
    </row>
    <row r="338">
      <c r="A338" s="27"/>
      <c r="B338" s="35"/>
      <c r="C338" s="27"/>
      <c r="D338" s="36"/>
      <c r="E338" s="34"/>
      <c r="F338" s="38"/>
      <c r="G338" s="34"/>
      <c r="H338" s="34"/>
      <c r="I338" s="27"/>
      <c r="J338" s="27"/>
      <c r="K338" s="27"/>
      <c r="L338" s="27"/>
      <c r="M338" s="27"/>
      <c r="N338" s="27"/>
      <c r="O338" s="27"/>
      <c r="P338" s="27"/>
    </row>
    <row r="339">
      <c r="A339" s="27"/>
      <c r="B339" s="35"/>
      <c r="C339" s="27"/>
      <c r="D339" s="36"/>
      <c r="E339" s="34"/>
      <c r="F339" s="38"/>
      <c r="G339" s="34"/>
      <c r="H339" s="34"/>
      <c r="I339" s="27"/>
      <c r="J339" s="27"/>
      <c r="K339" s="27"/>
      <c r="L339" s="27"/>
      <c r="M339" s="27"/>
      <c r="N339" s="27"/>
      <c r="O339" s="27"/>
      <c r="P339" s="27"/>
    </row>
    <row r="340">
      <c r="A340" s="27"/>
      <c r="B340" s="35"/>
      <c r="C340" s="27"/>
      <c r="D340" s="36"/>
      <c r="E340" s="34"/>
      <c r="F340" s="38"/>
      <c r="G340" s="34"/>
      <c r="H340" s="34"/>
      <c r="I340" s="27"/>
      <c r="J340" s="27"/>
      <c r="K340" s="27"/>
      <c r="L340" s="27"/>
      <c r="M340" s="27"/>
      <c r="N340" s="27"/>
      <c r="O340" s="27"/>
      <c r="P340" s="27"/>
    </row>
    <row r="341">
      <c r="A341" s="27"/>
      <c r="B341" s="35"/>
      <c r="C341" s="27"/>
      <c r="D341" s="36"/>
      <c r="E341" s="34"/>
      <c r="F341" s="38"/>
      <c r="G341" s="34"/>
      <c r="H341" s="34"/>
      <c r="I341" s="27"/>
      <c r="J341" s="27"/>
      <c r="K341" s="27"/>
      <c r="L341" s="27"/>
      <c r="M341" s="27"/>
      <c r="N341" s="27"/>
      <c r="O341" s="27"/>
      <c r="P341" s="27"/>
    </row>
    <row r="342">
      <c r="A342" s="27"/>
      <c r="B342" s="35"/>
      <c r="C342" s="27"/>
      <c r="D342" s="36"/>
      <c r="E342" s="34"/>
      <c r="F342" s="38"/>
      <c r="G342" s="34"/>
      <c r="H342" s="34"/>
      <c r="I342" s="27"/>
      <c r="J342" s="27"/>
      <c r="K342" s="27"/>
      <c r="L342" s="27"/>
      <c r="M342" s="27"/>
      <c r="N342" s="27"/>
      <c r="O342" s="27"/>
      <c r="P342" s="27"/>
    </row>
    <row r="343">
      <c r="A343" s="27"/>
      <c r="B343" s="35"/>
      <c r="C343" s="27"/>
      <c r="D343" s="36"/>
      <c r="E343" s="34"/>
      <c r="F343" s="38"/>
      <c r="G343" s="34"/>
      <c r="H343" s="34"/>
      <c r="I343" s="27"/>
      <c r="J343" s="27"/>
      <c r="K343" s="27"/>
      <c r="L343" s="27"/>
      <c r="M343" s="27"/>
      <c r="N343" s="27"/>
      <c r="O343" s="27"/>
      <c r="P343" s="27"/>
    </row>
    <row r="344">
      <c r="A344" s="27"/>
      <c r="B344" s="35"/>
      <c r="C344" s="27"/>
      <c r="D344" s="36"/>
      <c r="E344" s="34"/>
      <c r="F344" s="38"/>
      <c r="G344" s="34"/>
      <c r="H344" s="34"/>
      <c r="I344" s="27"/>
      <c r="J344" s="27"/>
      <c r="K344" s="27"/>
      <c r="L344" s="27"/>
      <c r="M344" s="27"/>
      <c r="N344" s="27"/>
      <c r="O344" s="27"/>
      <c r="P344" s="27"/>
    </row>
    <row r="345">
      <c r="A345" s="27"/>
      <c r="B345" s="35"/>
      <c r="C345" s="27"/>
      <c r="D345" s="36"/>
      <c r="E345" s="34"/>
      <c r="F345" s="38"/>
      <c r="G345" s="34"/>
      <c r="H345" s="34"/>
      <c r="I345" s="27"/>
      <c r="J345" s="27"/>
      <c r="K345" s="27"/>
      <c r="L345" s="27"/>
      <c r="M345" s="27"/>
      <c r="N345" s="27"/>
      <c r="O345" s="27"/>
      <c r="P345" s="27"/>
    </row>
    <row r="346">
      <c r="A346" s="27"/>
      <c r="B346" s="35"/>
      <c r="C346" s="27"/>
      <c r="D346" s="36"/>
      <c r="E346" s="34"/>
      <c r="F346" s="38"/>
      <c r="G346" s="34"/>
      <c r="H346" s="34"/>
      <c r="I346" s="27"/>
      <c r="J346" s="27"/>
      <c r="K346" s="27"/>
      <c r="L346" s="27"/>
      <c r="M346" s="27"/>
      <c r="N346" s="27"/>
      <c r="O346" s="27"/>
      <c r="P346" s="27"/>
    </row>
    <row r="347">
      <c r="A347" s="27"/>
      <c r="B347" s="35"/>
      <c r="C347" s="27"/>
      <c r="D347" s="36"/>
      <c r="E347" s="34"/>
      <c r="F347" s="38"/>
      <c r="G347" s="34"/>
      <c r="H347" s="34"/>
      <c r="I347" s="27"/>
      <c r="J347" s="27"/>
      <c r="K347" s="27"/>
      <c r="L347" s="27"/>
      <c r="M347" s="27"/>
      <c r="N347" s="27"/>
      <c r="O347" s="27"/>
      <c r="P347" s="27"/>
    </row>
    <row r="348">
      <c r="A348" s="27"/>
      <c r="B348" s="35"/>
      <c r="C348" s="27"/>
      <c r="D348" s="36"/>
      <c r="E348" s="34"/>
      <c r="F348" s="38"/>
      <c r="G348" s="34"/>
      <c r="H348" s="34"/>
      <c r="I348" s="27"/>
      <c r="J348" s="27"/>
      <c r="K348" s="27"/>
      <c r="L348" s="27"/>
      <c r="M348" s="27"/>
      <c r="N348" s="27"/>
      <c r="O348" s="27"/>
      <c r="P348" s="27"/>
    </row>
    <row r="349">
      <c r="A349" s="27"/>
      <c r="B349" s="35"/>
      <c r="C349" s="27"/>
      <c r="D349" s="36"/>
      <c r="E349" s="34"/>
      <c r="F349" s="38"/>
      <c r="G349" s="34"/>
      <c r="H349" s="34"/>
      <c r="I349" s="27"/>
      <c r="J349" s="27"/>
      <c r="K349" s="27"/>
      <c r="L349" s="27"/>
      <c r="M349" s="27"/>
      <c r="N349" s="27"/>
      <c r="O349" s="27"/>
      <c r="P349" s="27"/>
    </row>
    <row r="350">
      <c r="A350" s="27"/>
      <c r="B350" s="35"/>
      <c r="C350" s="27"/>
      <c r="D350" s="36"/>
      <c r="E350" s="34"/>
      <c r="F350" s="38"/>
      <c r="G350" s="34"/>
      <c r="H350" s="34"/>
      <c r="I350" s="27"/>
      <c r="J350" s="27"/>
      <c r="K350" s="27"/>
      <c r="L350" s="27"/>
      <c r="M350" s="27"/>
      <c r="N350" s="27"/>
      <c r="O350" s="27"/>
      <c r="P350" s="27"/>
    </row>
    <row r="351">
      <c r="A351" s="27"/>
      <c r="B351" s="35"/>
      <c r="C351" s="27"/>
      <c r="D351" s="36"/>
      <c r="E351" s="34"/>
      <c r="F351" s="38"/>
      <c r="G351" s="34"/>
      <c r="H351" s="34"/>
      <c r="I351" s="27"/>
      <c r="J351" s="27"/>
      <c r="K351" s="27"/>
      <c r="L351" s="27"/>
      <c r="M351" s="27"/>
      <c r="N351" s="27"/>
      <c r="O351" s="27"/>
      <c r="P351" s="27"/>
    </row>
    <row r="352">
      <c r="A352" s="27"/>
      <c r="B352" s="35"/>
      <c r="C352" s="27"/>
      <c r="D352" s="36"/>
      <c r="E352" s="34"/>
      <c r="F352" s="38"/>
      <c r="G352" s="34"/>
      <c r="H352" s="34"/>
      <c r="I352" s="27"/>
      <c r="J352" s="27"/>
      <c r="K352" s="27"/>
      <c r="L352" s="27"/>
      <c r="M352" s="27"/>
      <c r="N352" s="27"/>
      <c r="O352" s="27"/>
      <c r="P352" s="27"/>
    </row>
    <row r="353">
      <c r="A353" s="27"/>
      <c r="B353" s="35"/>
      <c r="C353" s="27"/>
      <c r="D353" s="36"/>
      <c r="E353" s="34"/>
      <c r="F353" s="38"/>
      <c r="G353" s="34"/>
      <c r="H353" s="34"/>
      <c r="I353" s="27"/>
      <c r="J353" s="27"/>
      <c r="K353" s="27"/>
      <c r="L353" s="27"/>
      <c r="M353" s="27"/>
      <c r="N353" s="27"/>
      <c r="O353" s="27"/>
      <c r="P353" s="27"/>
    </row>
    <row r="354">
      <c r="A354" s="27"/>
      <c r="B354" s="35"/>
      <c r="C354" s="27"/>
      <c r="D354" s="36"/>
      <c r="E354" s="34"/>
      <c r="F354" s="38"/>
      <c r="G354" s="34"/>
      <c r="H354" s="34"/>
      <c r="I354" s="27"/>
      <c r="J354" s="27"/>
      <c r="K354" s="27"/>
      <c r="L354" s="27"/>
      <c r="M354" s="27"/>
      <c r="N354" s="27"/>
      <c r="O354" s="27"/>
      <c r="P354" s="27"/>
    </row>
    <row r="355">
      <c r="A355" s="27"/>
      <c r="B355" s="35"/>
      <c r="C355" s="27"/>
      <c r="D355" s="36"/>
      <c r="E355" s="34"/>
      <c r="F355" s="38"/>
      <c r="G355" s="34"/>
      <c r="H355" s="34"/>
      <c r="I355" s="27"/>
      <c r="J355" s="27"/>
      <c r="K355" s="27"/>
      <c r="L355" s="27"/>
      <c r="M355" s="27"/>
      <c r="N355" s="27"/>
      <c r="O355" s="27"/>
      <c r="P355" s="27"/>
    </row>
    <row r="356">
      <c r="A356" s="27"/>
      <c r="B356" s="35"/>
      <c r="C356" s="27"/>
      <c r="D356" s="36"/>
      <c r="E356" s="34"/>
      <c r="F356" s="38"/>
      <c r="G356" s="34"/>
      <c r="H356" s="34"/>
      <c r="I356" s="27"/>
      <c r="J356" s="27"/>
      <c r="K356" s="27"/>
      <c r="L356" s="27"/>
      <c r="M356" s="27"/>
      <c r="N356" s="27"/>
      <c r="O356" s="27"/>
      <c r="P356" s="27"/>
    </row>
    <row r="357">
      <c r="A357" s="27"/>
      <c r="B357" s="35"/>
      <c r="C357" s="27"/>
      <c r="D357" s="36"/>
      <c r="E357" s="34"/>
      <c r="F357" s="38"/>
      <c r="G357" s="34"/>
      <c r="H357" s="34"/>
      <c r="I357" s="27"/>
      <c r="J357" s="27"/>
      <c r="K357" s="27"/>
      <c r="L357" s="27"/>
      <c r="M357" s="27"/>
      <c r="N357" s="27"/>
      <c r="O357" s="27"/>
      <c r="P357" s="27"/>
    </row>
    <row r="358">
      <c r="A358" s="27"/>
      <c r="B358" s="35"/>
      <c r="C358" s="27"/>
      <c r="D358" s="36"/>
      <c r="E358" s="34"/>
      <c r="F358" s="38"/>
      <c r="G358" s="34"/>
      <c r="H358" s="34"/>
      <c r="I358" s="27"/>
      <c r="J358" s="27"/>
      <c r="K358" s="27"/>
      <c r="L358" s="27"/>
      <c r="M358" s="27"/>
      <c r="N358" s="27"/>
      <c r="O358" s="27"/>
      <c r="P358" s="27"/>
    </row>
    <row r="359">
      <c r="A359" s="27"/>
      <c r="B359" s="35"/>
      <c r="C359" s="27"/>
      <c r="D359" s="36"/>
      <c r="E359" s="34"/>
      <c r="F359" s="38"/>
      <c r="G359" s="34"/>
      <c r="H359" s="34"/>
      <c r="I359" s="27"/>
      <c r="J359" s="27"/>
      <c r="K359" s="27"/>
      <c r="L359" s="27"/>
      <c r="M359" s="27"/>
      <c r="N359" s="27"/>
      <c r="O359" s="27"/>
      <c r="P359" s="27"/>
    </row>
    <row r="360">
      <c r="A360" s="27"/>
      <c r="B360" s="35"/>
      <c r="C360" s="27"/>
      <c r="D360" s="36"/>
      <c r="E360" s="34"/>
      <c r="F360" s="38"/>
      <c r="G360" s="34"/>
      <c r="H360" s="34"/>
      <c r="I360" s="27"/>
      <c r="J360" s="27"/>
      <c r="K360" s="27"/>
      <c r="L360" s="27"/>
      <c r="M360" s="27"/>
      <c r="N360" s="27"/>
      <c r="O360" s="27"/>
      <c r="P360" s="27"/>
    </row>
    <row r="361">
      <c r="A361" s="27"/>
      <c r="B361" s="35"/>
      <c r="C361" s="27"/>
      <c r="D361" s="36"/>
      <c r="E361" s="34"/>
      <c r="F361" s="38"/>
      <c r="G361" s="34"/>
      <c r="H361" s="34"/>
      <c r="I361" s="27"/>
      <c r="J361" s="27"/>
      <c r="K361" s="27"/>
      <c r="L361" s="27"/>
      <c r="M361" s="27"/>
      <c r="N361" s="27"/>
      <c r="O361" s="27"/>
      <c r="P361" s="27"/>
    </row>
    <row r="362">
      <c r="A362" s="27"/>
      <c r="B362" s="35"/>
      <c r="C362" s="27"/>
      <c r="D362" s="36"/>
      <c r="E362" s="34"/>
      <c r="F362" s="38"/>
      <c r="G362" s="34"/>
      <c r="H362" s="34"/>
      <c r="I362" s="27"/>
      <c r="J362" s="27"/>
      <c r="K362" s="27"/>
      <c r="L362" s="27"/>
      <c r="M362" s="27"/>
      <c r="N362" s="27"/>
      <c r="O362" s="27"/>
      <c r="P362" s="27"/>
    </row>
    <row r="363">
      <c r="A363" s="27"/>
      <c r="B363" s="35"/>
      <c r="C363" s="27"/>
      <c r="D363" s="36"/>
      <c r="E363" s="34"/>
      <c r="F363" s="38"/>
      <c r="G363" s="34"/>
      <c r="H363" s="34"/>
      <c r="I363" s="27"/>
      <c r="J363" s="27"/>
      <c r="K363" s="27"/>
      <c r="L363" s="27"/>
      <c r="M363" s="27"/>
      <c r="N363" s="27"/>
      <c r="O363" s="27"/>
      <c r="P363" s="27"/>
    </row>
    <row r="364">
      <c r="A364" s="27"/>
      <c r="B364" s="35"/>
      <c r="C364" s="27"/>
      <c r="D364" s="36"/>
      <c r="E364" s="34"/>
      <c r="F364" s="38"/>
      <c r="G364" s="34"/>
      <c r="H364" s="34"/>
      <c r="I364" s="27"/>
      <c r="J364" s="27"/>
      <c r="K364" s="27"/>
      <c r="L364" s="27"/>
      <c r="M364" s="27"/>
      <c r="N364" s="27"/>
      <c r="O364" s="27"/>
      <c r="P364" s="27"/>
    </row>
    <row r="365">
      <c r="A365" s="27"/>
      <c r="B365" s="35"/>
      <c r="C365" s="27"/>
      <c r="D365" s="36"/>
      <c r="E365" s="34"/>
      <c r="F365" s="38"/>
      <c r="G365" s="34"/>
      <c r="H365" s="34"/>
      <c r="I365" s="27"/>
      <c r="J365" s="27"/>
      <c r="K365" s="27"/>
      <c r="L365" s="27"/>
      <c r="M365" s="27"/>
      <c r="N365" s="27"/>
      <c r="O365" s="27"/>
      <c r="P365" s="27"/>
    </row>
    <row r="366">
      <c r="A366" s="27"/>
      <c r="B366" s="35"/>
      <c r="C366" s="27"/>
      <c r="D366" s="36"/>
      <c r="E366" s="34"/>
      <c r="F366" s="38"/>
      <c r="G366" s="34"/>
      <c r="H366" s="34"/>
      <c r="I366" s="27"/>
      <c r="J366" s="27"/>
      <c r="K366" s="27"/>
      <c r="L366" s="27"/>
      <c r="M366" s="27"/>
      <c r="N366" s="27"/>
      <c r="O366" s="27"/>
      <c r="P366" s="27"/>
    </row>
    <row r="367">
      <c r="A367" s="27"/>
      <c r="B367" s="35"/>
      <c r="C367" s="27"/>
      <c r="D367" s="36"/>
      <c r="E367" s="34"/>
      <c r="F367" s="38"/>
      <c r="G367" s="34"/>
      <c r="H367" s="34"/>
      <c r="I367" s="27"/>
      <c r="J367" s="27"/>
      <c r="K367" s="27"/>
      <c r="L367" s="27"/>
      <c r="M367" s="27"/>
      <c r="N367" s="27"/>
      <c r="O367" s="27"/>
      <c r="P367" s="27"/>
    </row>
    <row r="368">
      <c r="A368" s="27"/>
      <c r="B368" s="35"/>
      <c r="C368" s="27"/>
      <c r="D368" s="36"/>
      <c r="E368" s="34"/>
      <c r="F368" s="38"/>
      <c r="G368" s="34"/>
      <c r="H368" s="34"/>
      <c r="I368" s="27"/>
      <c r="J368" s="27"/>
      <c r="K368" s="27"/>
      <c r="L368" s="27"/>
      <c r="M368" s="27"/>
      <c r="N368" s="27"/>
      <c r="O368" s="27"/>
      <c r="P368" s="27"/>
    </row>
    <row r="369">
      <c r="A369" s="27"/>
      <c r="B369" s="35"/>
      <c r="C369" s="27"/>
      <c r="D369" s="36"/>
      <c r="E369" s="34"/>
      <c r="F369" s="38"/>
      <c r="G369" s="34"/>
      <c r="H369" s="34"/>
      <c r="I369" s="27"/>
      <c r="J369" s="27"/>
      <c r="K369" s="27"/>
      <c r="L369" s="27"/>
      <c r="M369" s="27"/>
      <c r="N369" s="27"/>
      <c r="O369" s="27"/>
      <c r="P369" s="27"/>
    </row>
    <row r="370">
      <c r="A370" s="27"/>
      <c r="B370" s="35"/>
      <c r="C370" s="27"/>
      <c r="D370" s="36"/>
      <c r="E370" s="34"/>
      <c r="F370" s="38"/>
      <c r="G370" s="34"/>
      <c r="H370" s="34"/>
      <c r="I370" s="27"/>
      <c r="J370" s="27"/>
      <c r="K370" s="27"/>
      <c r="L370" s="27"/>
      <c r="M370" s="27"/>
      <c r="N370" s="27"/>
      <c r="O370" s="27"/>
      <c r="P370" s="27"/>
    </row>
    <row r="371">
      <c r="A371" s="27"/>
      <c r="B371" s="35"/>
      <c r="C371" s="27"/>
      <c r="D371" s="36"/>
      <c r="E371" s="34"/>
      <c r="F371" s="38"/>
      <c r="G371" s="34"/>
      <c r="H371" s="34"/>
      <c r="I371" s="27"/>
      <c r="J371" s="27"/>
      <c r="K371" s="27"/>
      <c r="L371" s="27"/>
      <c r="M371" s="27"/>
      <c r="N371" s="27"/>
      <c r="O371" s="27"/>
      <c r="P371" s="27"/>
    </row>
    <row r="372">
      <c r="A372" s="27"/>
      <c r="B372" s="35"/>
      <c r="C372" s="27"/>
      <c r="D372" s="36"/>
      <c r="E372" s="34"/>
      <c r="F372" s="38"/>
      <c r="G372" s="34"/>
      <c r="H372" s="34"/>
      <c r="I372" s="27"/>
      <c r="J372" s="27"/>
      <c r="K372" s="27"/>
      <c r="L372" s="27"/>
      <c r="M372" s="27"/>
      <c r="N372" s="27"/>
      <c r="O372" s="27"/>
      <c r="P372" s="27"/>
    </row>
    <row r="373">
      <c r="A373" s="27"/>
      <c r="B373" s="35"/>
      <c r="C373" s="27"/>
      <c r="D373" s="36"/>
      <c r="E373" s="34"/>
      <c r="F373" s="38"/>
      <c r="G373" s="34"/>
      <c r="H373" s="34"/>
      <c r="I373" s="27"/>
      <c r="J373" s="27"/>
      <c r="K373" s="27"/>
      <c r="L373" s="27"/>
      <c r="M373" s="27"/>
      <c r="N373" s="27"/>
      <c r="O373" s="27"/>
      <c r="P373" s="27"/>
    </row>
    <row r="374">
      <c r="A374" s="27"/>
      <c r="B374" s="35"/>
      <c r="C374" s="27"/>
      <c r="D374" s="36"/>
      <c r="E374" s="34"/>
      <c r="F374" s="38"/>
      <c r="G374" s="34"/>
      <c r="H374" s="34"/>
      <c r="I374" s="27"/>
      <c r="J374" s="27"/>
      <c r="K374" s="27"/>
      <c r="L374" s="27"/>
      <c r="M374" s="27"/>
      <c r="N374" s="27"/>
      <c r="O374" s="27"/>
      <c r="P374" s="27"/>
    </row>
    <row r="375">
      <c r="A375" s="27"/>
      <c r="B375" s="35"/>
      <c r="C375" s="27"/>
      <c r="D375" s="36"/>
      <c r="E375" s="34"/>
      <c r="F375" s="38"/>
      <c r="G375" s="34"/>
      <c r="H375" s="34"/>
      <c r="I375" s="27"/>
      <c r="J375" s="27"/>
      <c r="K375" s="27"/>
      <c r="L375" s="27"/>
      <c r="M375" s="27"/>
      <c r="N375" s="27"/>
      <c r="O375" s="27"/>
      <c r="P375" s="27"/>
    </row>
    <row r="376">
      <c r="A376" s="27"/>
      <c r="B376" s="35"/>
      <c r="C376" s="27"/>
      <c r="D376" s="36"/>
      <c r="E376" s="34"/>
      <c r="F376" s="38"/>
      <c r="G376" s="34"/>
      <c r="H376" s="34"/>
      <c r="I376" s="27"/>
      <c r="J376" s="27"/>
      <c r="K376" s="27"/>
      <c r="L376" s="27"/>
      <c r="M376" s="27"/>
      <c r="N376" s="27"/>
      <c r="O376" s="27"/>
      <c r="P376" s="27"/>
    </row>
    <row r="377">
      <c r="A377" s="27"/>
      <c r="B377" s="35"/>
      <c r="C377" s="27"/>
      <c r="D377" s="36"/>
      <c r="E377" s="34"/>
      <c r="F377" s="38"/>
      <c r="G377" s="34"/>
      <c r="H377" s="34"/>
      <c r="I377" s="27"/>
      <c r="J377" s="27"/>
      <c r="K377" s="27"/>
      <c r="L377" s="27"/>
      <c r="M377" s="27"/>
      <c r="N377" s="27"/>
      <c r="O377" s="27"/>
      <c r="P377" s="27"/>
    </row>
    <row r="378">
      <c r="A378" s="27"/>
      <c r="B378" s="35"/>
      <c r="C378" s="27"/>
      <c r="D378" s="36"/>
      <c r="E378" s="34"/>
      <c r="F378" s="38"/>
      <c r="G378" s="34"/>
      <c r="H378" s="34"/>
      <c r="I378" s="27"/>
      <c r="J378" s="27"/>
      <c r="K378" s="27"/>
      <c r="L378" s="27"/>
      <c r="M378" s="27"/>
      <c r="N378" s="27"/>
      <c r="O378" s="27"/>
      <c r="P378" s="27"/>
    </row>
    <row r="379">
      <c r="A379" s="27"/>
      <c r="B379" s="35"/>
      <c r="C379" s="27"/>
      <c r="D379" s="36"/>
      <c r="E379" s="34"/>
      <c r="F379" s="38"/>
      <c r="G379" s="34"/>
      <c r="H379" s="34"/>
      <c r="I379" s="27"/>
      <c r="J379" s="27"/>
      <c r="K379" s="27"/>
      <c r="L379" s="27"/>
      <c r="M379" s="27"/>
      <c r="N379" s="27"/>
      <c r="O379" s="27"/>
      <c r="P379" s="27"/>
    </row>
    <row r="380">
      <c r="A380" s="27"/>
      <c r="B380" s="35"/>
      <c r="C380" s="27"/>
      <c r="D380" s="36"/>
      <c r="E380" s="34"/>
      <c r="F380" s="38"/>
      <c r="G380" s="34"/>
      <c r="H380" s="34"/>
      <c r="I380" s="27"/>
      <c r="J380" s="27"/>
      <c r="K380" s="27"/>
      <c r="L380" s="27"/>
      <c r="M380" s="27"/>
      <c r="N380" s="27"/>
      <c r="O380" s="27"/>
      <c r="P380" s="27"/>
    </row>
    <row r="381">
      <c r="A381" s="27"/>
      <c r="B381" s="35"/>
      <c r="C381" s="27"/>
      <c r="D381" s="36"/>
      <c r="E381" s="34"/>
      <c r="F381" s="38"/>
      <c r="G381" s="34"/>
      <c r="H381" s="34"/>
      <c r="I381" s="27"/>
      <c r="J381" s="27"/>
      <c r="K381" s="27"/>
      <c r="L381" s="27"/>
      <c r="M381" s="27"/>
      <c r="N381" s="27"/>
      <c r="O381" s="27"/>
      <c r="P381" s="27"/>
    </row>
    <row r="382">
      <c r="A382" s="27"/>
      <c r="B382" s="35"/>
      <c r="C382" s="27"/>
      <c r="D382" s="36"/>
      <c r="E382" s="34"/>
      <c r="F382" s="38"/>
      <c r="G382" s="34"/>
      <c r="H382" s="34"/>
      <c r="I382" s="27"/>
      <c r="J382" s="27"/>
      <c r="K382" s="27"/>
      <c r="L382" s="27"/>
      <c r="M382" s="27"/>
      <c r="N382" s="27"/>
      <c r="O382" s="27"/>
      <c r="P382" s="27"/>
    </row>
    <row r="383">
      <c r="A383" s="27"/>
      <c r="B383" s="35"/>
      <c r="C383" s="27"/>
      <c r="D383" s="36"/>
      <c r="E383" s="34"/>
      <c r="F383" s="38"/>
      <c r="G383" s="34"/>
      <c r="H383" s="34"/>
      <c r="I383" s="27"/>
      <c r="J383" s="27"/>
      <c r="K383" s="27"/>
      <c r="L383" s="27"/>
      <c r="M383" s="27"/>
      <c r="N383" s="27"/>
      <c r="O383" s="27"/>
      <c r="P383" s="27"/>
    </row>
    <row r="384">
      <c r="A384" s="27"/>
      <c r="B384" s="35"/>
      <c r="C384" s="27"/>
      <c r="D384" s="36"/>
      <c r="E384" s="34"/>
      <c r="F384" s="38"/>
      <c r="G384" s="34"/>
      <c r="H384" s="34"/>
      <c r="I384" s="27"/>
      <c r="J384" s="27"/>
      <c r="K384" s="27"/>
      <c r="L384" s="27"/>
      <c r="M384" s="27"/>
      <c r="N384" s="27"/>
      <c r="O384" s="27"/>
      <c r="P384" s="27"/>
    </row>
    <row r="385">
      <c r="A385" s="27"/>
      <c r="B385" s="35"/>
      <c r="C385" s="27"/>
      <c r="D385" s="36"/>
      <c r="E385" s="34"/>
      <c r="F385" s="38"/>
      <c r="G385" s="34"/>
      <c r="H385" s="34"/>
      <c r="I385" s="27"/>
      <c r="J385" s="27"/>
      <c r="K385" s="27"/>
      <c r="L385" s="27"/>
      <c r="M385" s="27"/>
      <c r="N385" s="27"/>
      <c r="O385" s="27"/>
      <c r="P385" s="27"/>
    </row>
    <row r="386">
      <c r="A386" s="27"/>
      <c r="B386" s="35"/>
      <c r="C386" s="27"/>
      <c r="D386" s="36"/>
      <c r="E386" s="34"/>
      <c r="F386" s="38"/>
      <c r="G386" s="34"/>
      <c r="H386" s="34"/>
      <c r="I386" s="27"/>
      <c r="J386" s="27"/>
      <c r="K386" s="27"/>
      <c r="L386" s="27"/>
      <c r="M386" s="27"/>
      <c r="N386" s="27"/>
      <c r="O386" s="27"/>
      <c r="P386" s="27"/>
    </row>
    <row r="387">
      <c r="A387" s="27"/>
      <c r="B387" s="35"/>
      <c r="C387" s="27"/>
      <c r="D387" s="36"/>
      <c r="E387" s="34"/>
      <c r="F387" s="38"/>
      <c r="G387" s="34"/>
      <c r="H387" s="34"/>
      <c r="I387" s="27"/>
      <c r="J387" s="27"/>
      <c r="K387" s="27"/>
      <c r="L387" s="27"/>
      <c r="M387" s="27"/>
      <c r="N387" s="27"/>
      <c r="O387" s="27"/>
      <c r="P387" s="27"/>
    </row>
    <row r="388">
      <c r="A388" s="27"/>
      <c r="B388" s="35"/>
      <c r="C388" s="27"/>
      <c r="D388" s="36"/>
      <c r="E388" s="34"/>
      <c r="F388" s="38"/>
      <c r="G388" s="34"/>
      <c r="H388" s="34"/>
      <c r="I388" s="27"/>
      <c r="J388" s="27"/>
      <c r="K388" s="27"/>
      <c r="L388" s="27"/>
      <c r="M388" s="27"/>
      <c r="N388" s="27"/>
      <c r="O388" s="27"/>
      <c r="P388" s="27"/>
    </row>
    <row r="389">
      <c r="A389" s="27"/>
      <c r="B389" s="35"/>
      <c r="C389" s="27"/>
      <c r="D389" s="36"/>
      <c r="E389" s="34"/>
      <c r="F389" s="38"/>
      <c r="G389" s="34"/>
      <c r="H389" s="34"/>
      <c r="I389" s="27"/>
      <c r="J389" s="27"/>
      <c r="K389" s="27"/>
      <c r="L389" s="27"/>
      <c r="M389" s="27"/>
      <c r="N389" s="27"/>
      <c r="O389" s="27"/>
      <c r="P389" s="27"/>
    </row>
    <row r="390">
      <c r="A390" s="27"/>
      <c r="B390" s="35"/>
      <c r="C390" s="27"/>
      <c r="D390" s="36"/>
      <c r="E390" s="34"/>
      <c r="F390" s="38"/>
      <c r="G390" s="34"/>
      <c r="H390" s="34"/>
      <c r="I390" s="27"/>
      <c r="J390" s="27"/>
      <c r="K390" s="27"/>
      <c r="L390" s="27"/>
      <c r="M390" s="27"/>
      <c r="N390" s="27"/>
      <c r="O390" s="27"/>
      <c r="P390" s="27"/>
    </row>
    <row r="391">
      <c r="A391" s="27"/>
      <c r="B391" s="35"/>
      <c r="C391" s="27"/>
      <c r="D391" s="36"/>
      <c r="E391" s="34"/>
      <c r="F391" s="38"/>
      <c r="G391" s="34"/>
      <c r="H391" s="34"/>
      <c r="I391" s="27"/>
      <c r="J391" s="27"/>
      <c r="K391" s="27"/>
      <c r="L391" s="27"/>
      <c r="M391" s="27"/>
      <c r="N391" s="27"/>
      <c r="O391" s="27"/>
      <c r="P391" s="27"/>
    </row>
    <row r="392">
      <c r="A392" s="27"/>
      <c r="B392" s="35"/>
      <c r="C392" s="27"/>
      <c r="D392" s="36"/>
      <c r="E392" s="34"/>
      <c r="F392" s="38"/>
      <c r="G392" s="34"/>
      <c r="H392" s="34"/>
      <c r="I392" s="27"/>
      <c r="J392" s="27"/>
      <c r="K392" s="27"/>
      <c r="L392" s="27"/>
      <c r="M392" s="27"/>
      <c r="N392" s="27"/>
      <c r="O392" s="27"/>
      <c r="P392" s="27"/>
    </row>
    <row r="393">
      <c r="A393" s="27"/>
      <c r="B393" s="35"/>
      <c r="C393" s="27"/>
      <c r="D393" s="36"/>
      <c r="E393" s="34"/>
      <c r="F393" s="38"/>
      <c r="G393" s="34"/>
      <c r="H393" s="34"/>
      <c r="I393" s="27"/>
      <c r="J393" s="27"/>
      <c r="K393" s="27"/>
      <c r="L393" s="27"/>
      <c r="M393" s="27"/>
      <c r="N393" s="27"/>
      <c r="O393" s="27"/>
      <c r="P393" s="27"/>
    </row>
    <row r="394">
      <c r="A394" s="27"/>
      <c r="B394" s="35"/>
      <c r="C394" s="27"/>
      <c r="D394" s="36"/>
      <c r="E394" s="34"/>
      <c r="F394" s="38"/>
      <c r="G394" s="34"/>
      <c r="H394" s="34"/>
      <c r="I394" s="27"/>
      <c r="J394" s="27"/>
      <c r="K394" s="27"/>
      <c r="L394" s="27"/>
      <c r="M394" s="27"/>
      <c r="N394" s="27"/>
      <c r="O394" s="27"/>
      <c r="P394" s="27"/>
    </row>
    <row r="395">
      <c r="A395" s="27"/>
      <c r="B395" s="35"/>
      <c r="C395" s="27"/>
      <c r="D395" s="36"/>
      <c r="E395" s="34"/>
      <c r="F395" s="38"/>
      <c r="G395" s="34"/>
      <c r="H395" s="34"/>
      <c r="I395" s="27"/>
      <c r="J395" s="27"/>
      <c r="K395" s="27"/>
      <c r="L395" s="27"/>
      <c r="M395" s="27"/>
      <c r="N395" s="27"/>
      <c r="O395" s="27"/>
      <c r="P395" s="27"/>
    </row>
    <row r="396">
      <c r="A396" s="27"/>
      <c r="B396" s="35"/>
      <c r="C396" s="27"/>
      <c r="D396" s="36"/>
      <c r="E396" s="34"/>
      <c r="F396" s="38"/>
      <c r="G396" s="34"/>
      <c r="H396" s="34"/>
      <c r="I396" s="27"/>
      <c r="J396" s="27"/>
      <c r="K396" s="27"/>
      <c r="L396" s="27"/>
      <c r="M396" s="27"/>
      <c r="N396" s="27"/>
      <c r="O396" s="27"/>
      <c r="P396" s="27"/>
    </row>
    <row r="397">
      <c r="A397" s="27"/>
      <c r="B397" s="35"/>
      <c r="C397" s="27"/>
      <c r="D397" s="36"/>
      <c r="E397" s="34"/>
      <c r="F397" s="38"/>
      <c r="G397" s="34"/>
      <c r="H397" s="34"/>
      <c r="I397" s="27"/>
      <c r="J397" s="27"/>
      <c r="K397" s="27"/>
      <c r="L397" s="27"/>
      <c r="M397" s="27"/>
      <c r="N397" s="27"/>
      <c r="O397" s="27"/>
      <c r="P397" s="27"/>
    </row>
    <row r="398">
      <c r="A398" s="27"/>
      <c r="B398" s="35"/>
      <c r="C398" s="27"/>
      <c r="D398" s="36"/>
      <c r="E398" s="34"/>
      <c r="F398" s="38"/>
      <c r="G398" s="34"/>
      <c r="H398" s="34"/>
      <c r="I398" s="27"/>
      <c r="J398" s="27"/>
      <c r="K398" s="27"/>
      <c r="L398" s="27"/>
      <c r="M398" s="27"/>
      <c r="N398" s="27"/>
      <c r="O398" s="27"/>
      <c r="P398" s="27"/>
    </row>
    <row r="399">
      <c r="A399" s="27"/>
      <c r="B399" s="35"/>
      <c r="C399" s="27"/>
      <c r="D399" s="36"/>
      <c r="E399" s="34"/>
      <c r="F399" s="38"/>
      <c r="G399" s="34"/>
      <c r="H399" s="34"/>
      <c r="I399" s="27"/>
      <c r="J399" s="27"/>
      <c r="K399" s="27"/>
      <c r="L399" s="27"/>
      <c r="M399" s="27"/>
      <c r="N399" s="27"/>
      <c r="O399" s="27"/>
      <c r="P399" s="27"/>
    </row>
    <row r="400">
      <c r="A400" s="27"/>
      <c r="B400" s="35"/>
      <c r="C400" s="27"/>
      <c r="D400" s="36"/>
      <c r="E400" s="34"/>
      <c r="F400" s="38"/>
      <c r="G400" s="34"/>
      <c r="H400" s="34"/>
      <c r="I400" s="27"/>
      <c r="J400" s="27"/>
      <c r="K400" s="27"/>
      <c r="L400" s="27"/>
      <c r="M400" s="27"/>
      <c r="N400" s="27"/>
      <c r="O400" s="27"/>
      <c r="P400" s="27"/>
    </row>
    <row r="401">
      <c r="A401" s="27"/>
      <c r="B401" s="35"/>
      <c r="C401" s="27"/>
      <c r="D401" s="36"/>
      <c r="E401" s="34"/>
      <c r="F401" s="38"/>
      <c r="G401" s="34"/>
      <c r="H401" s="34"/>
      <c r="I401" s="27"/>
      <c r="J401" s="27"/>
      <c r="K401" s="27"/>
      <c r="L401" s="27"/>
      <c r="M401" s="27"/>
      <c r="N401" s="27"/>
      <c r="O401" s="27"/>
      <c r="P401" s="27"/>
    </row>
    <row r="402">
      <c r="A402" s="27"/>
      <c r="B402" s="35"/>
      <c r="C402" s="27"/>
      <c r="D402" s="36"/>
      <c r="E402" s="34"/>
      <c r="F402" s="38"/>
      <c r="G402" s="34"/>
      <c r="H402" s="34"/>
      <c r="I402" s="27"/>
      <c r="J402" s="27"/>
      <c r="K402" s="27"/>
      <c r="L402" s="27"/>
      <c r="M402" s="27"/>
      <c r="N402" s="27"/>
      <c r="O402" s="27"/>
      <c r="P402" s="27"/>
    </row>
    <row r="403">
      <c r="A403" s="27"/>
      <c r="B403" s="35"/>
      <c r="C403" s="27"/>
      <c r="D403" s="36"/>
      <c r="E403" s="34"/>
      <c r="F403" s="38"/>
      <c r="G403" s="34"/>
      <c r="H403" s="34"/>
      <c r="I403" s="27"/>
      <c r="J403" s="27"/>
      <c r="K403" s="27"/>
      <c r="L403" s="27"/>
      <c r="M403" s="27"/>
      <c r="N403" s="27"/>
      <c r="O403" s="27"/>
      <c r="P403" s="27"/>
    </row>
    <row r="404">
      <c r="A404" s="27"/>
      <c r="B404" s="35"/>
      <c r="C404" s="27"/>
      <c r="D404" s="36"/>
      <c r="E404" s="34"/>
      <c r="F404" s="38"/>
      <c r="G404" s="34"/>
      <c r="H404" s="34"/>
      <c r="I404" s="27"/>
      <c r="J404" s="27"/>
      <c r="K404" s="27"/>
      <c r="L404" s="27"/>
      <c r="M404" s="27"/>
      <c r="N404" s="27"/>
      <c r="O404" s="27"/>
      <c r="P404" s="27"/>
    </row>
    <row r="405">
      <c r="A405" s="27"/>
      <c r="B405" s="35"/>
      <c r="C405" s="27"/>
      <c r="D405" s="36"/>
      <c r="E405" s="34"/>
      <c r="F405" s="38"/>
      <c r="G405" s="34"/>
      <c r="H405" s="34"/>
      <c r="I405" s="27"/>
      <c r="J405" s="27"/>
      <c r="K405" s="27"/>
      <c r="L405" s="27"/>
      <c r="M405" s="27"/>
      <c r="N405" s="27"/>
      <c r="O405" s="27"/>
      <c r="P405" s="27"/>
    </row>
    <row r="406">
      <c r="A406" s="27"/>
      <c r="B406" s="35"/>
      <c r="C406" s="27"/>
      <c r="D406" s="36"/>
      <c r="E406" s="34"/>
      <c r="F406" s="38"/>
      <c r="G406" s="34"/>
      <c r="H406" s="34"/>
      <c r="I406" s="27"/>
      <c r="J406" s="27"/>
      <c r="K406" s="27"/>
      <c r="L406" s="27"/>
      <c r="M406" s="27"/>
      <c r="N406" s="27"/>
      <c r="O406" s="27"/>
      <c r="P406" s="27"/>
    </row>
    <row r="407">
      <c r="A407" s="27"/>
      <c r="B407" s="35"/>
      <c r="C407" s="27"/>
      <c r="D407" s="36"/>
      <c r="E407" s="34"/>
      <c r="F407" s="38"/>
      <c r="G407" s="34"/>
      <c r="H407" s="34"/>
      <c r="I407" s="27"/>
      <c r="J407" s="27"/>
      <c r="K407" s="27"/>
      <c r="L407" s="27"/>
      <c r="M407" s="27"/>
      <c r="N407" s="27"/>
      <c r="O407" s="27"/>
      <c r="P407" s="27"/>
    </row>
    <row r="408">
      <c r="A408" s="27"/>
      <c r="B408" s="35"/>
      <c r="C408" s="27"/>
      <c r="D408" s="36"/>
      <c r="E408" s="34"/>
      <c r="F408" s="38"/>
      <c r="G408" s="34"/>
      <c r="H408" s="34"/>
      <c r="I408" s="27"/>
      <c r="J408" s="27"/>
      <c r="K408" s="27"/>
      <c r="L408" s="27"/>
      <c r="M408" s="27"/>
      <c r="N408" s="27"/>
      <c r="O408" s="27"/>
      <c r="P408" s="27"/>
    </row>
    <row r="409">
      <c r="A409" s="27"/>
      <c r="B409" s="35"/>
      <c r="C409" s="27"/>
      <c r="D409" s="36"/>
      <c r="E409" s="34"/>
      <c r="F409" s="38"/>
      <c r="G409" s="34"/>
      <c r="H409" s="34"/>
      <c r="I409" s="27"/>
      <c r="J409" s="27"/>
      <c r="K409" s="27"/>
      <c r="L409" s="27"/>
      <c r="M409" s="27"/>
      <c r="N409" s="27"/>
      <c r="O409" s="27"/>
      <c r="P409" s="27"/>
    </row>
    <row r="410">
      <c r="A410" s="27"/>
      <c r="B410" s="35"/>
      <c r="C410" s="27"/>
      <c r="D410" s="36"/>
      <c r="E410" s="34"/>
      <c r="F410" s="38"/>
      <c r="G410" s="34"/>
      <c r="H410" s="34"/>
      <c r="I410" s="27"/>
      <c r="J410" s="27"/>
      <c r="K410" s="27"/>
      <c r="L410" s="27"/>
      <c r="M410" s="27"/>
      <c r="N410" s="27"/>
      <c r="O410" s="27"/>
      <c r="P410" s="27"/>
    </row>
    <row r="411">
      <c r="A411" s="27"/>
      <c r="B411" s="35"/>
      <c r="C411" s="27"/>
      <c r="D411" s="36"/>
      <c r="E411" s="34"/>
      <c r="F411" s="38"/>
      <c r="G411" s="34"/>
      <c r="H411" s="34"/>
      <c r="I411" s="27"/>
      <c r="J411" s="27"/>
      <c r="K411" s="27"/>
      <c r="L411" s="27"/>
      <c r="M411" s="27"/>
      <c r="N411" s="27"/>
      <c r="O411" s="27"/>
      <c r="P411" s="27"/>
    </row>
    <row r="412">
      <c r="A412" s="27"/>
      <c r="B412" s="35"/>
      <c r="C412" s="27"/>
      <c r="D412" s="36"/>
      <c r="E412" s="34"/>
      <c r="F412" s="38"/>
      <c r="G412" s="34"/>
      <c r="H412" s="34"/>
      <c r="I412" s="27"/>
      <c r="J412" s="27"/>
      <c r="K412" s="27"/>
      <c r="L412" s="27"/>
      <c r="M412" s="27"/>
      <c r="N412" s="27"/>
      <c r="O412" s="27"/>
      <c r="P412" s="27"/>
    </row>
    <row r="413">
      <c r="A413" s="27"/>
      <c r="B413" s="35"/>
      <c r="C413" s="27"/>
      <c r="D413" s="36"/>
      <c r="E413" s="34"/>
      <c r="F413" s="38"/>
      <c r="G413" s="34"/>
      <c r="H413" s="34"/>
      <c r="I413" s="27"/>
      <c r="J413" s="27"/>
      <c r="K413" s="27"/>
      <c r="L413" s="27"/>
      <c r="M413" s="27"/>
      <c r="N413" s="27"/>
      <c r="O413" s="27"/>
      <c r="P413" s="27"/>
    </row>
    <row r="414">
      <c r="A414" s="27"/>
      <c r="B414" s="35"/>
      <c r="C414" s="27"/>
      <c r="D414" s="36"/>
      <c r="E414" s="34"/>
      <c r="F414" s="38"/>
      <c r="G414" s="34"/>
      <c r="H414" s="34"/>
      <c r="I414" s="27"/>
      <c r="J414" s="27"/>
      <c r="K414" s="27"/>
      <c r="L414" s="27"/>
      <c r="M414" s="27"/>
      <c r="N414" s="27"/>
      <c r="O414" s="27"/>
      <c r="P414" s="27"/>
    </row>
    <row r="415">
      <c r="A415" s="27"/>
      <c r="B415" s="35"/>
      <c r="C415" s="27"/>
      <c r="D415" s="36"/>
      <c r="E415" s="34"/>
      <c r="F415" s="38"/>
      <c r="G415" s="34"/>
      <c r="H415" s="34"/>
      <c r="I415" s="27"/>
      <c r="J415" s="27"/>
      <c r="K415" s="27"/>
      <c r="L415" s="27"/>
      <c r="M415" s="27"/>
      <c r="N415" s="27"/>
      <c r="O415" s="27"/>
      <c r="P415" s="27"/>
    </row>
    <row r="416">
      <c r="A416" s="27"/>
      <c r="B416" s="35"/>
      <c r="C416" s="27"/>
      <c r="D416" s="36"/>
      <c r="E416" s="34"/>
      <c r="F416" s="38"/>
      <c r="G416" s="34"/>
      <c r="H416" s="34"/>
      <c r="I416" s="27"/>
      <c r="J416" s="27"/>
      <c r="K416" s="27"/>
      <c r="L416" s="27"/>
      <c r="M416" s="27"/>
      <c r="N416" s="27"/>
      <c r="O416" s="27"/>
      <c r="P416" s="27"/>
    </row>
    <row r="417">
      <c r="A417" s="27"/>
      <c r="B417" s="35"/>
      <c r="C417" s="27"/>
      <c r="D417" s="36"/>
      <c r="E417" s="34"/>
      <c r="F417" s="38"/>
      <c r="G417" s="34"/>
      <c r="H417" s="34"/>
      <c r="I417" s="27"/>
      <c r="J417" s="27"/>
      <c r="K417" s="27"/>
      <c r="L417" s="27"/>
      <c r="M417" s="27"/>
      <c r="N417" s="27"/>
      <c r="O417" s="27"/>
      <c r="P417" s="27"/>
    </row>
    <row r="418">
      <c r="A418" s="27"/>
      <c r="B418" s="35"/>
      <c r="C418" s="27"/>
      <c r="D418" s="36"/>
      <c r="E418" s="34"/>
      <c r="F418" s="38"/>
      <c r="G418" s="34"/>
      <c r="H418" s="34"/>
      <c r="I418" s="27"/>
      <c r="J418" s="27"/>
      <c r="K418" s="27"/>
      <c r="L418" s="27"/>
      <c r="M418" s="27"/>
      <c r="N418" s="27"/>
      <c r="O418" s="27"/>
      <c r="P418" s="27"/>
    </row>
    <row r="419">
      <c r="A419" s="27"/>
      <c r="B419" s="35"/>
      <c r="C419" s="27"/>
      <c r="D419" s="36"/>
      <c r="E419" s="34"/>
      <c r="F419" s="38"/>
      <c r="G419" s="34"/>
      <c r="H419" s="34"/>
      <c r="I419" s="27"/>
      <c r="J419" s="27"/>
      <c r="K419" s="27"/>
      <c r="L419" s="27"/>
      <c r="M419" s="27"/>
      <c r="N419" s="27"/>
      <c r="O419" s="27"/>
      <c r="P419" s="27"/>
    </row>
    <row r="420">
      <c r="A420" s="27"/>
      <c r="B420" s="35"/>
      <c r="C420" s="27"/>
      <c r="D420" s="36"/>
      <c r="E420" s="34"/>
      <c r="F420" s="38"/>
      <c r="G420" s="34"/>
      <c r="H420" s="34"/>
      <c r="I420" s="27"/>
      <c r="J420" s="27"/>
      <c r="K420" s="27"/>
      <c r="L420" s="27"/>
      <c r="M420" s="27"/>
      <c r="N420" s="27"/>
      <c r="O420" s="27"/>
      <c r="P420" s="27"/>
    </row>
    <row r="421">
      <c r="A421" s="27"/>
      <c r="B421" s="35"/>
      <c r="C421" s="27"/>
      <c r="D421" s="36"/>
      <c r="E421" s="34"/>
      <c r="F421" s="38"/>
      <c r="G421" s="34"/>
      <c r="H421" s="34"/>
      <c r="I421" s="27"/>
      <c r="J421" s="27"/>
      <c r="K421" s="27"/>
      <c r="L421" s="27"/>
      <c r="M421" s="27"/>
      <c r="N421" s="27"/>
      <c r="O421" s="27"/>
      <c r="P421" s="27"/>
    </row>
    <row r="422">
      <c r="A422" s="27"/>
      <c r="B422" s="35"/>
      <c r="C422" s="27"/>
      <c r="D422" s="36"/>
      <c r="E422" s="34"/>
      <c r="F422" s="38"/>
      <c r="G422" s="34"/>
      <c r="H422" s="34"/>
      <c r="I422" s="27"/>
      <c r="J422" s="27"/>
      <c r="K422" s="27"/>
      <c r="L422" s="27"/>
      <c r="M422" s="27"/>
      <c r="N422" s="27"/>
      <c r="O422" s="27"/>
      <c r="P422" s="27"/>
    </row>
    <row r="423">
      <c r="A423" s="27"/>
      <c r="B423" s="35"/>
      <c r="C423" s="27"/>
      <c r="D423" s="36"/>
      <c r="E423" s="34"/>
      <c r="F423" s="38"/>
      <c r="G423" s="34"/>
      <c r="H423" s="34"/>
      <c r="I423" s="27"/>
      <c r="J423" s="27"/>
      <c r="K423" s="27"/>
      <c r="L423" s="27"/>
      <c r="M423" s="27"/>
      <c r="N423" s="27"/>
      <c r="O423" s="27"/>
      <c r="P423" s="27"/>
    </row>
    <row r="424">
      <c r="A424" s="27"/>
      <c r="B424" s="35"/>
      <c r="C424" s="27"/>
      <c r="D424" s="36"/>
      <c r="E424" s="34"/>
      <c r="F424" s="38"/>
      <c r="G424" s="34"/>
      <c r="H424" s="34"/>
      <c r="I424" s="27"/>
      <c r="J424" s="27"/>
      <c r="K424" s="27"/>
      <c r="L424" s="27"/>
      <c r="M424" s="27"/>
      <c r="N424" s="27"/>
      <c r="O424" s="27"/>
      <c r="P424" s="27"/>
    </row>
    <row r="425">
      <c r="A425" s="27"/>
      <c r="B425" s="35"/>
      <c r="C425" s="27"/>
      <c r="D425" s="36"/>
      <c r="E425" s="34"/>
      <c r="F425" s="38"/>
      <c r="G425" s="34"/>
      <c r="H425" s="34"/>
      <c r="I425" s="27"/>
      <c r="J425" s="27"/>
      <c r="K425" s="27"/>
      <c r="L425" s="27"/>
      <c r="M425" s="27"/>
      <c r="N425" s="27"/>
      <c r="O425" s="27"/>
      <c r="P425" s="27"/>
    </row>
    <row r="426">
      <c r="A426" s="27"/>
      <c r="B426" s="35"/>
      <c r="C426" s="27"/>
      <c r="D426" s="36"/>
      <c r="E426" s="34"/>
      <c r="F426" s="38"/>
      <c r="G426" s="34"/>
      <c r="H426" s="34"/>
      <c r="I426" s="27"/>
      <c r="J426" s="27"/>
      <c r="K426" s="27"/>
      <c r="L426" s="27"/>
      <c r="M426" s="27"/>
      <c r="N426" s="27"/>
      <c r="O426" s="27"/>
      <c r="P426" s="27"/>
    </row>
    <row r="427">
      <c r="A427" s="27"/>
      <c r="B427" s="35"/>
      <c r="C427" s="27"/>
      <c r="D427" s="36"/>
      <c r="E427" s="34"/>
      <c r="F427" s="38"/>
      <c r="G427" s="34"/>
      <c r="H427" s="34"/>
      <c r="I427" s="27"/>
      <c r="J427" s="27"/>
      <c r="K427" s="27"/>
      <c r="L427" s="27"/>
      <c r="M427" s="27"/>
      <c r="N427" s="27"/>
      <c r="O427" s="27"/>
      <c r="P427" s="27"/>
    </row>
    <row r="428">
      <c r="A428" s="27"/>
      <c r="B428" s="35"/>
      <c r="C428" s="27"/>
      <c r="D428" s="36"/>
      <c r="E428" s="34"/>
      <c r="F428" s="38"/>
      <c r="G428" s="34"/>
      <c r="H428" s="34"/>
      <c r="I428" s="27"/>
      <c r="J428" s="27"/>
      <c r="K428" s="27"/>
      <c r="L428" s="27"/>
      <c r="M428" s="27"/>
      <c r="N428" s="27"/>
      <c r="O428" s="27"/>
      <c r="P428" s="27"/>
    </row>
    <row r="429">
      <c r="A429" s="27"/>
      <c r="B429" s="35"/>
      <c r="C429" s="27"/>
      <c r="D429" s="36"/>
      <c r="E429" s="34"/>
      <c r="F429" s="38"/>
      <c r="G429" s="34"/>
      <c r="H429" s="34"/>
      <c r="I429" s="27"/>
      <c r="J429" s="27"/>
      <c r="K429" s="27"/>
      <c r="L429" s="27"/>
      <c r="M429" s="27"/>
      <c r="N429" s="27"/>
      <c r="O429" s="27"/>
      <c r="P429" s="27"/>
    </row>
    <row r="430">
      <c r="A430" s="27"/>
      <c r="B430" s="35"/>
      <c r="C430" s="27"/>
      <c r="D430" s="36"/>
      <c r="E430" s="34"/>
      <c r="F430" s="38"/>
      <c r="G430" s="34"/>
      <c r="H430" s="34"/>
      <c r="I430" s="27"/>
      <c r="J430" s="27"/>
      <c r="K430" s="27"/>
      <c r="L430" s="27"/>
      <c r="M430" s="27"/>
      <c r="N430" s="27"/>
      <c r="O430" s="27"/>
      <c r="P430" s="27"/>
    </row>
    <row r="431">
      <c r="A431" s="27"/>
      <c r="B431" s="35"/>
      <c r="C431" s="27"/>
      <c r="D431" s="36"/>
      <c r="E431" s="34"/>
      <c r="F431" s="38"/>
      <c r="G431" s="34"/>
      <c r="H431" s="34"/>
      <c r="I431" s="27"/>
      <c r="J431" s="27"/>
      <c r="K431" s="27"/>
      <c r="L431" s="27"/>
      <c r="M431" s="27"/>
      <c r="N431" s="27"/>
      <c r="O431" s="27"/>
      <c r="P431" s="27"/>
    </row>
    <row r="432">
      <c r="A432" s="27"/>
      <c r="B432" s="35"/>
      <c r="C432" s="27"/>
      <c r="D432" s="36"/>
      <c r="E432" s="34"/>
      <c r="F432" s="38"/>
      <c r="G432" s="34"/>
      <c r="H432" s="34"/>
      <c r="I432" s="27"/>
      <c r="J432" s="27"/>
      <c r="K432" s="27"/>
      <c r="L432" s="27"/>
      <c r="M432" s="27"/>
      <c r="N432" s="27"/>
      <c r="O432" s="27"/>
      <c r="P432" s="27"/>
    </row>
    <row r="433">
      <c r="A433" s="27"/>
      <c r="B433" s="35"/>
      <c r="C433" s="27"/>
      <c r="D433" s="36"/>
      <c r="E433" s="34"/>
      <c r="F433" s="38"/>
      <c r="G433" s="34"/>
      <c r="H433" s="34"/>
      <c r="I433" s="27"/>
      <c r="J433" s="27"/>
      <c r="K433" s="27"/>
      <c r="L433" s="27"/>
      <c r="M433" s="27"/>
      <c r="N433" s="27"/>
      <c r="O433" s="27"/>
      <c r="P433" s="27"/>
    </row>
    <row r="434">
      <c r="A434" s="27"/>
      <c r="B434" s="35"/>
      <c r="C434" s="27"/>
      <c r="D434" s="36"/>
      <c r="E434" s="34"/>
      <c r="F434" s="38"/>
      <c r="G434" s="34"/>
      <c r="H434" s="34"/>
      <c r="I434" s="27"/>
      <c r="J434" s="27"/>
      <c r="K434" s="27"/>
      <c r="L434" s="27"/>
      <c r="M434" s="27"/>
      <c r="N434" s="27"/>
      <c r="O434" s="27"/>
      <c r="P434" s="27"/>
    </row>
    <row r="435">
      <c r="A435" s="27"/>
      <c r="B435" s="35"/>
      <c r="C435" s="27"/>
      <c r="D435" s="36"/>
      <c r="E435" s="34"/>
      <c r="F435" s="38"/>
      <c r="G435" s="34"/>
      <c r="H435" s="34"/>
      <c r="I435" s="27"/>
      <c r="J435" s="27"/>
      <c r="K435" s="27"/>
      <c r="L435" s="27"/>
      <c r="M435" s="27"/>
      <c r="N435" s="27"/>
      <c r="O435" s="27"/>
      <c r="P435" s="27"/>
    </row>
    <row r="436">
      <c r="A436" s="27"/>
      <c r="B436" s="35"/>
      <c r="C436" s="27"/>
      <c r="D436" s="36"/>
      <c r="E436" s="34"/>
      <c r="F436" s="38"/>
      <c r="G436" s="34"/>
      <c r="H436" s="34"/>
      <c r="I436" s="27"/>
      <c r="J436" s="27"/>
      <c r="K436" s="27"/>
      <c r="L436" s="27"/>
      <c r="M436" s="27"/>
      <c r="N436" s="27"/>
      <c r="O436" s="27"/>
      <c r="P436" s="27"/>
    </row>
    <row r="437">
      <c r="A437" s="27"/>
      <c r="B437" s="35"/>
      <c r="C437" s="27"/>
      <c r="D437" s="36"/>
      <c r="E437" s="34"/>
      <c r="F437" s="38"/>
      <c r="G437" s="34"/>
      <c r="H437" s="34"/>
      <c r="I437" s="27"/>
      <c r="J437" s="27"/>
      <c r="K437" s="27"/>
      <c r="L437" s="27"/>
      <c r="M437" s="27"/>
      <c r="N437" s="27"/>
      <c r="O437" s="27"/>
      <c r="P437" s="27"/>
    </row>
    <row r="438">
      <c r="A438" s="27"/>
      <c r="B438" s="35"/>
      <c r="C438" s="27"/>
      <c r="D438" s="36"/>
      <c r="E438" s="34"/>
      <c r="F438" s="38"/>
      <c r="G438" s="34"/>
      <c r="H438" s="34"/>
      <c r="I438" s="27"/>
      <c r="J438" s="27"/>
      <c r="K438" s="27"/>
      <c r="L438" s="27"/>
      <c r="M438" s="27"/>
      <c r="N438" s="27"/>
      <c r="O438" s="27"/>
      <c r="P438" s="27"/>
    </row>
    <row r="439">
      <c r="A439" s="27"/>
      <c r="B439" s="35"/>
      <c r="C439" s="27"/>
      <c r="D439" s="36"/>
      <c r="E439" s="34"/>
      <c r="F439" s="38"/>
      <c r="G439" s="34"/>
      <c r="H439" s="34"/>
      <c r="I439" s="27"/>
      <c r="J439" s="27"/>
      <c r="K439" s="27"/>
      <c r="L439" s="27"/>
      <c r="M439" s="27"/>
      <c r="N439" s="27"/>
      <c r="O439" s="27"/>
      <c r="P439" s="27"/>
    </row>
    <row r="440">
      <c r="A440" s="27"/>
      <c r="B440" s="35"/>
      <c r="C440" s="27"/>
      <c r="D440" s="36"/>
      <c r="E440" s="34"/>
      <c r="F440" s="38"/>
      <c r="G440" s="34"/>
      <c r="H440" s="34"/>
      <c r="I440" s="27"/>
      <c r="J440" s="27"/>
      <c r="K440" s="27"/>
      <c r="L440" s="27"/>
      <c r="M440" s="27"/>
      <c r="N440" s="27"/>
      <c r="O440" s="27"/>
      <c r="P440" s="27"/>
    </row>
    <row r="441">
      <c r="A441" s="27"/>
      <c r="B441" s="35"/>
      <c r="C441" s="27"/>
      <c r="D441" s="36"/>
      <c r="E441" s="34"/>
      <c r="F441" s="38"/>
      <c r="G441" s="34"/>
      <c r="H441" s="34"/>
      <c r="I441" s="27"/>
      <c r="J441" s="27"/>
      <c r="K441" s="27"/>
      <c r="L441" s="27"/>
      <c r="M441" s="27"/>
      <c r="N441" s="27"/>
      <c r="O441" s="27"/>
      <c r="P441" s="27"/>
    </row>
    <row r="442">
      <c r="A442" s="27"/>
      <c r="B442" s="35"/>
      <c r="C442" s="27"/>
      <c r="D442" s="36"/>
      <c r="E442" s="34"/>
      <c r="F442" s="38"/>
      <c r="G442" s="34"/>
      <c r="H442" s="34"/>
      <c r="I442" s="27"/>
      <c r="J442" s="27"/>
      <c r="K442" s="27"/>
      <c r="L442" s="27"/>
      <c r="M442" s="27"/>
      <c r="N442" s="27"/>
      <c r="O442" s="27"/>
      <c r="P442" s="27"/>
    </row>
    <row r="443">
      <c r="A443" s="27"/>
      <c r="B443" s="35"/>
      <c r="C443" s="27"/>
      <c r="D443" s="36"/>
      <c r="E443" s="34"/>
      <c r="F443" s="38"/>
      <c r="G443" s="34"/>
      <c r="H443" s="34"/>
      <c r="I443" s="27"/>
      <c r="J443" s="27"/>
      <c r="K443" s="27"/>
      <c r="L443" s="27"/>
      <c r="M443" s="27"/>
      <c r="N443" s="27"/>
      <c r="O443" s="27"/>
      <c r="P443" s="27"/>
    </row>
    <row r="444">
      <c r="A444" s="27"/>
      <c r="B444" s="35"/>
      <c r="C444" s="27"/>
      <c r="D444" s="36"/>
      <c r="E444" s="34"/>
      <c r="F444" s="38"/>
      <c r="G444" s="34"/>
      <c r="H444" s="34"/>
      <c r="I444" s="27"/>
      <c r="J444" s="27"/>
      <c r="K444" s="27"/>
      <c r="L444" s="27"/>
      <c r="M444" s="27"/>
      <c r="N444" s="27"/>
      <c r="O444" s="27"/>
      <c r="P444" s="27"/>
    </row>
    <row r="445">
      <c r="A445" s="27"/>
      <c r="B445" s="35"/>
      <c r="C445" s="27"/>
      <c r="D445" s="36"/>
      <c r="E445" s="34"/>
      <c r="F445" s="38"/>
      <c r="G445" s="34"/>
      <c r="H445" s="34"/>
      <c r="I445" s="27"/>
      <c r="J445" s="27"/>
      <c r="K445" s="27"/>
      <c r="L445" s="27"/>
      <c r="M445" s="27"/>
      <c r="N445" s="27"/>
      <c r="O445" s="27"/>
      <c r="P445" s="27"/>
    </row>
    <row r="446">
      <c r="A446" s="27"/>
      <c r="B446" s="35"/>
      <c r="C446" s="27"/>
      <c r="D446" s="36"/>
      <c r="E446" s="34"/>
      <c r="F446" s="38"/>
      <c r="G446" s="34"/>
      <c r="H446" s="34"/>
      <c r="I446" s="27"/>
      <c r="J446" s="27"/>
      <c r="K446" s="27"/>
      <c r="L446" s="27"/>
      <c r="M446" s="27"/>
      <c r="N446" s="27"/>
      <c r="O446" s="27"/>
      <c r="P446" s="27"/>
    </row>
    <row r="447">
      <c r="A447" s="27"/>
      <c r="B447" s="35"/>
      <c r="C447" s="27"/>
      <c r="D447" s="36"/>
      <c r="E447" s="34"/>
      <c r="F447" s="38"/>
      <c r="G447" s="34"/>
      <c r="H447" s="34"/>
      <c r="I447" s="27"/>
      <c r="J447" s="27"/>
      <c r="K447" s="27"/>
      <c r="L447" s="27"/>
      <c r="M447" s="27"/>
      <c r="N447" s="27"/>
      <c r="O447" s="27"/>
      <c r="P447" s="27"/>
    </row>
    <row r="448">
      <c r="A448" s="27"/>
      <c r="B448" s="35"/>
      <c r="C448" s="27"/>
      <c r="D448" s="36"/>
      <c r="E448" s="34"/>
      <c r="F448" s="38"/>
      <c r="G448" s="34"/>
      <c r="H448" s="34"/>
      <c r="I448" s="27"/>
      <c r="J448" s="27"/>
      <c r="K448" s="27"/>
      <c r="L448" s="27"/>
      <c r="M448" s="27"/>
      <c r="N448" s="27"/>
      <c r="O448" s="27"/>
      <c r="P448" s="27"/>
    </row>
    <row r="449">
      <c r="A449" s="27"/>
      <c r="B449" s="35"/>
      <c r="C449" s="27"/>
      <c r="D449" s="36"/>
      <c r="E449" s="34"/>
      <c r="F449" s="38"/>
      <c r="G449" s="34"/>
      <c r="H449" s="34"/>
      <c r="I449" s="27"/>
      <c r="J449" s="27"/>
      <c r="K449" s="27"/>
      <c r="L449" s="27"/>
      <c r="M449" s="27"/>
      <c r="N449" s="27"/>
      <c r="O449" s="27"/>
      <c r="P449" s="27"/>
    </row>
    <row r="450">
      <c r="A450" s="27"/>
      <c r="B450" s="35"/>
      <c r="C450" s="27"/>
      <c r="D450" s="36"/>
      <c r="E450" s="34"/>
      <c r="F450" s="38"/>
      <c r="G450" s="34"/>
      <c r="H450" s="34"/>
      <c r="I450" s="27"/>
      <c r="J450" s="27"/>
      <c r="K450" s="27"/>
      <c r="L450" s="27"/>
      <c r="M450" s="27"/>
      <c r="N450" s="27"/>
      <c r="O450" s="27"/>
      <c r="P450" s="27"/>
    </row>
    <row r="451">
      <c r="A451" s="27"/>
      <c r="B451" s="35"/>
      <c r="C451" s="27"/>
      <c r="D451" s="36"/>
      <c r="E451" s="34"/>
      <c r="F451" s="38"/>
      <c r="G451" s="34"/>
      <c r="H451" s="34"/>
      <c r="I451" s="27"/>
      <c r="J451" s="27"/>
      <c r="K451" s="27"/>
      <c r="L451" s="27"/>
      <c r="M451" s="27"/>
      <c r="N451" s="27"/>
      <c r="O451" s="27"/>
      <c r="P451" s="27"/>
    </row>
    <row r="452">
      <c r="A452" s="27"/>
      <c r="B452" s="35"/>
      <c r="C452" s="27"/>
      <c r="D452" s="36"/>
      <c r="E452" s="34"/>
      <c r="F452" s="38"/>
      <c r="G452" s="34"/>
      <c r="H452" s="34"/>
      <c r="I452" s="27"/>
      <c r="J452" s="27"/>
      <c r="K452" s="27"/>
      <c r="L452" s="27"/>
      <c r="M452" s="27"/>
      <c r="N452" s="27"/>
      <c r="O452" s="27"/>
      <c r="P452" s="27"/>
    </row>
    <row r="453">
      <c r="A453" s="27"/>
      <c r="B453" s="35"/>
      <c r="C453" s="27"/>
      <c r="D453" s="36"/>
      <c r="E453" s="34"/>
      <c r="F453" s="38"/>
      <c r="G453" s="34"/>
      <c r="H453" s="34"/>
      <c r="I453" s="27"/>
      <c r="J453" s="27"/>
      <c r="K453" s="27"/>
      <c r="L453" s="27"/>
      <c r="M453" s="27"/>
      <c r="N453" s="27"/>
      <c r="O453" s="27"/>
      <c r="P453" s="27"/>
    </row>
    <row r="454">
      <c r="A454" s="27"/>
      <c r="B454" s="35"/>
      <c r="C454" s="27"/>
      <c r="D454" s="36"/>
      <c r="E454" s="34"/>
      <c r="F454" s="38"/>
      <c r="G454" s="34"/>
      <c r="H454" s="34"/>
      <c r="I454" s="27"/>
      <c r="J454" s="27"/>
      <c r="K454" s="27"/>
      <c r="L454" s="27"/>
      <c r="M454" s="27"/>
      <c r="N454" s="27"/>
      <c r="O454" s="27"/>
      <c r="P454" s="27"/>
    </row>
    <row r="455">
      <c r="A455" s="27"/>
      <c r="B455" s="35"/>
      <c r="C455" s="27"/>
      <c r="D455" s="36"/>
      <c r="E455" s="34"/>
      <c r="F455" s="38"/>
      <c r="G455" s="34"/>
      <c r="H455" s="34"/>
      <c r="I455" s="27"/>
      <c r="J455" s="27"/>
      <c r="K455" s="27"/>
      <c r="L455" s="27"/>
      <c r="M455" s="27"/>
      <c r="N455" s="27"/>
      <c r="O455" s="27"/>
      <c r="P455" s="27"/>
    </row>
    <row r="456">
      <c r="A456" s="27"/>
      <c r="B456" s="35"/>
      <c r="C456" s="27"/>
      <c r="D456" s="36"/>
      <c r="E456" s="34"/>
      <c r="F456" s="38"/>
      <c r="G456" s="34"/>
      <c r="H456" s="34"/>
      <c r="I456" s="27"/>
      <c r="J456" s="27"/>
      <c r="K456" s="27"/>
      <c r="L456" s="27"/>
      <c r="M456" s="27"/>
      <c r="N456" s="27"/>
      <c r="O456" s="27"/>
      <c r="P456" s="27"/>
    </row>
    <row r="457">
      <c r="A457" s="27"/>
      <c r="B457" s="35"/>
      <c r="C457" s="27"/>
      <c r="D457" s="36"/>
      <c r="E457" s="34"/>
      <c r="F457" s="38"/>
      <c r="G457" s="34"/>
      <c r="H457" s="34"/>
      <c r="I457" s="27"/>
      <c r="J457" s="27"/>
      <c r="K457" s="27"/>
      <c r="L457" s="27"/>
      <c r="M457" s="27"/>
      <c r="N457" s="27"/>
      <c r="O457" s="27"/>
      <c r="P457" s="27"/>
    </row>
    <row r="458">
      <c r="A458" s="27"/>
      <c r="B458" s="35"/>
      <c r="C458" s="27"/>
      <c r="D458" s="36"/>
      <c r="E458" s="34"/>
      <c r="F458" s="38"/>
      <c r="G458" s="34"/>
      <c r="H458" s="34"/>
      <c r="I458" s="27"/>
      <c r="J458" s="27"/>
      <c r="K458" s="27"/>
      <c r="L458" s="27"/>
      <c r="M458" s="27"/>
      <c r="N458" s="27"/>
      <c r="O458" s="27"/>
      <c r="P458" s="27"/>
    </row>
    <row r="459">
      <c r="A459" s="27"/>
      <c r="B459" s="35"/>
      <c r="C459" s="27"/>
      <c r="D459" s="36"/>
      <c r="E459" s="34"/>
      <c r="F459" s="38"/>
      <c r="G459" s="34"/>
      <c r="H459" s="34"/>
      <c r="I459" s="27"/>
      <c r="J459" s="27"/>
      <c r="K459" s="27"/>
      <c r="L459" s="27"/>
      <c r="M459" s="27"/>
      <c r="N459" s="27"/>
      <c r="O459" s="27"/>
      <c r="P459" s="27"/>
    </row>
    <row r="460">
      <c r="A460" s="27"/>
      <c r="B460" s="35"/>
      <c r="C460" s="27"/>
      <c r="D460" s="36"/>
      <c r="E460" s="34"/>
      <c r="F460" s="38"/>
      <c r="G460" s="34"/>
      <c r="H460" s="34"/>
      <c r="I460" s="27"/>
      <c r="J460" s="27"/>
      <c r="K460" s="27"/>
      <c r="L460" s="27"/>
      <c r="M460" s="27"/>
      <c r="N460" s="27"/>
      <c r="O460" s="27"/>
      <c r="P460" s="27"/>
    </row>
    <row r="461">
      <c r="A461" s="27"/>
      <c r="B461" s="35"/>
      <c r="C461" s="27"/>
      <c r="D461" s="36"/>
      <c r="E461" s="34"/>
      <c r="F461" s="38"/>
      <c r="G461" s="34"/>
      <c r="H461" s="34"/>
      <c r="I461" s="27"/>
      <c r="J461" s="27"/>
      <c r="K461" s="27"/>
      <c r="L461" s="27"/>
      <c r="M461" s="27"/>
      <c r="N461" s="27"/>
      <c r="O461" s="27"/>
      <c r="P461" s="27"/>
    </row>
    <row r="462">
      <c r="A462" s="27"/>
      <c r="B462" s="35"/>
      <c r="C462" s="27"/>
      <c r="D462" s="36"/>
      <c r="E462" s="34"/>
      <c r="F462" s="38"/>
      <c r="G462" s="34"/>
      <c r="H462" s="34"/>
      <c r="I462" s="27"/>
      <c r="J462" s="27"/>
      <c r="K462" s="27"/>
      <c r="L462" s="27"/>
      <c r="M462" s="27"/>
      <c r="N462" s="27"/>
      <c r="O462" s="27"/>
      <c r="P462" s="27"/>
    </row>
    <row r="463">
      <c r="A463" s="27"/>
      <c r="B463" s="35"/>
      <c r="C463" s="27"/>
      <c r="D463" s="36"/>
      <c r="E463" s="34"/>
      <c r="F463" s="38"/>
      <c r="G463" s="34"/>
      <c r="H463" s="34"/>
      <c r="I463" s="27"/>
      <c r="J463" s="27"/>
      <c r="K463" s="27"/>
      <c r="L463" s="27"/>
      <c r="M463" s="27"/>
      <c r="N463" s="27"/>
      <c r="O463" s="27"/>
      <c r="P463" s="27"/>
    </row>
    <row r="464">
      <c r="A464" s="27"/>
      <c r="B464" s="35"/>
      <c r="C464" s="27"/>
      <c r="D464" s="36"/>
      <c r="E464" s="34"/>
      <c r="F464" s="38"/>
      <c r="G464" s="34"/>
      <c r="H464" s="34"/>
      <c r="I464" s="27"/>
      <c r="J464" s="27"/>
      <c r="K464" s="27"/>
      <c r="L464" s="27"/>
      <c r="M464" s="27"/>
      <c r="N464" s="27"/>
      <c r="O464" s="27"/>
      <c r="P464" s="27"/>
    </row>
    <row r="465">
      <c r="A465" s="27"/>
      <c r="B465" s="35"/>
      <c r="C465" s="27"/>
      <c r="D465" s="36"/>
      <c r="E465" s="34"/>
      <c r="F465" s="38"/>
      <c r="G465" s="34"/>
      <c r="H465" s="34"/>
      <c r="I465" s="27"/>
      <c r="J465" s="27"/>
      <c r="K465" s="27"/>
      <c r="L465" s="27"/>
      <c r="M465" s="27"/>
      <c r="N465" s="27"/>
      <c r="O465" s="27"/>
      <c r="P465" s="27"/>
    </row>
    <row r="466">
      <c r="A466" s="27"/>
      <c r="B466" s="35"/>
      <c r="C466" s="27"/>
      <c r="D466" s="36"/>
      <c r="E466" s="34"/>
      <c r="F466" s="38"/>
      <c r="G466" s="34"/>
      <c r="H466" s="34"/>
      <c r="I466" s="27"/>
      <c r="J466" s="27"/>
      <c r="K466" s="27"/>
      <c r="L466" s="27"/>
      <c r="M466" s="27"/>
      <c r="N466" s="27"/>
      <c r="O466" s="27"/>
      <c r="P466" s="27"/>
    </row>
    <row r="467">
      <c r="A467" s="27"/>
      <c r="B467" s="35"/>
      <c r="C467" s="27"/>
      <c r="D467" s="36"/>
      <c r="E467" s="34"/>
      <c r="F467" s="38"/>
      <c r="G467" s="34"/>
      <c r="H467" s="34"/>
      <c r="I467" s="27"/>
      <c r="J467" s="27"/>
      <c r="K467" s="27"/>
      <c r="L467" s="27"/>
      <c r="M467" s="27"/>
      <c r="N467" s="27"/>
      <c r="O467" s="27"/>
      <c r="P467" s="27"/>
    </row>
    <row r="468">
      <c r="A468" s="27"/>
      <c r="B468" s="35"/>
      <c r="C468" s="27"/>
      <c r="D468" s="36"/>
      <c r="E468" s="34"/>
      <c r="F468" s="38"/>
      <c r="G468" s="34"/>
      <c r="H468" s="34"/>
      <c r="I468" s="27"/>
      <c r="J468" s="27"/>
      <c r="K468" s="27"/>
      <c r="L468" s="27"/>
      <c r="M468" s="27"/>
      <c r="N468" s="27"/>
      <c r="O468" s="27"/>
      <c r="P468" s="27"/>
    </row>
    <row r="469">
      <c r="A469" s="27"/>
      <c r="B469" s="35"/>
      <c r="C469" s="27"/>
      <c r="D469" s="36"/>
      <c r="E469" s="34"/>
      <c r="F469" s="38"/>
      <c r="G469" s="34"/>
      <c r="H469" s="34"/>
      <c r="I469" s="27"/>
      <c r="J469" s="27"/>
      <c r="K469" s="27"/>
      <c r="L469" s="27"/>
      <c r="M469" s="27"/>
      <c r="N469" s="27"/>
      <c r="O469" s="27"/>
      <c r="P469" s="27"/>
    </row>
    <row r="470">
      <c r="A470" s="27"/>
      <c r="B470" s="35"/>
      <c r="C470" s="27"/>
      <c r="D470" s="36"/>
      <c r="E470" s="34"/>
      <c r="F470" s="38"/>
      <c r="G470" s="34"/>
      <c r="H470" s="34"/>
      <c r="I470" s="27"/>
      <c r="J470" s="27"/>
      <c r="K470" s="27"/>
      <c r="L470" s="27"/>
      <c r="M470" s="27"/>
      <c r="N470" s="27"/>
      <c r="O470" s="27"/>
      <c r="P470" s="27"/>
    </row>
    <row r="471">
      <c r="A471" s="27"/>
      <c r="B471" s="35"/>
      <c r="C471" s="27"/>
      <c r="D471" s="36"/>
      <c r="E471" s="34"/>
      <c r="F471" s="38"/>
      <c r="G471" s="34"/>
      <c r="H471" s="34"/>
      <c r="I471" s="27"/>
      <c r="J471" s="27"/>
      <c r="K471" s="27"/>
      <c r="L471" s="27"/>
      <c r="M471" s="27"/>
      <c r="N471" s="27"/>
      <c r="O471" s="27"/>
      <c r="P471" s="27"/>
    </row>
    <row r="472">
      <c r="A472" s="27"/>
      <c r="B472" s="35"/>
      <c r="C472" s="27"/>
      <c r="D472" s="36"/>
      <c r="E472" s="34"/>
      <c r="F472" s="38"/>
      <c r="G472" s="34"/>
      <c r="H472" s="34"/>
      <c r="I472" s="27"/>
      <c r="J472" s="27"/>
      <c r="K472" s="27"/>
      <c r="L472" s="27"/>
      <c r="M472" s="27"/>
      <c r="N472" s="27"/>
      <c r="O472" s="27"/>
      <c r="P472" s="27"/>
    </row>
    <row r="473">
      <c r="A473" s="27"/>
      <c r="B473" s="35"/>
      <c r="C473" s="27"/>
      <c r="D473" s="36"/>
      <c r="E473" s="34"/>
      <c r="F473" s="38"/>
      <c r="G473" s="34"/>
      <c r="H473" s="34"/>
      <c r="I473" s="27"/>
      <c r="J473" s="27"/>
      <c r="K473" s="27"/>
      <c r="L473" s="27"/>
      <c r="M473" s="27"/>
      <c r="N473" s="27"/>
      <c r="O473" s="27"/>
      <c r="P473" s="27"/>
    </row>
    <row r="474">
      <c r="A474" s="27"/>
      <c r="B474" s="35"/>
      <c r="C474" s="27"/>
      <c r="D474" s="36"/>
      <c r="E474" s="34"/>
      <c r="F474" s="38"/>
      <c r="G474" s="34"/>
      <c r="H474" s="34"/>
      <c r="I474" s="27"/>
      <c r="J474" s="27"/>
      <c r="K474" s="27"/>
      <c r="L474" s="27"/>
      <c r="M474" s="27"/>
      <c r="N474" s="27"/>
      <c r="O474" s="27"/>
      <c r="P474" s="27"/>
    </row>
    <row r="475">
      <c r="A475" s="27"/>
      <c r="B475" s="35"/>
      <c r="C475" s="27"/>
      <c r="D475" s="36"/>
      <c r="E475" s="34"/>
      <c r="F475" s="38"/>
      <c r="G475" s="34"/>
      <c r="H475" s="34"/>
      <c r="I475" s="27"/>
      <c r="J475" s="27"/>
      <c r="K475" s="27"/>
      <c r="L475" s="27"/>
      <c r="M475" s="27"/>
      <c r="N475" s="27"/>
      <c r="O475" s="27"/>
      <c r="P475" s="27"/>
    </row>
    <row r="476">
      <c r="A476" s="27"/>
      <c r="B476" s="35"/>
      <c r="C476" s="27"/>
      <c r="D476" s="36"/>
      <c r="E476" s="34"/>
      <c r="F476" s="38"/>
      <c r="G476" s="34"/>
      <c r="H476" s="34"/>
      <c r="I476" s="27"/>
      <c r="J476" s="27"/>
      <c r="K476" s="27"/>
      <c r="L476" s="27"/>
      <c r="M476" s="27"/>
      <c r="N476" s="27"/>
      <c r="O476" s="27"/>
      <c r="P476" s="27"/>
    </row>
    <row r="477">
      <c r="A477" s="27"/>
      <c r="B477" s="35"/>
      <c r="C477" s="27"/>
      <c r="D477" s="36"/>
      <c r="E477" s="34"/>
      <c r="F477" s="38"/>
      <c r="G477" s="34"/>
      <c r="H477" s="34"/>
      <c r="I477" s="27"/>
      <c r="J477" s="27"/>
      <c r="K477" s="27"/>
      <c r="L477" s="27"/>
      <c r="M477" s="27"/>
      <c r="N477" s="27"/>
      <c r="O477" s="27"/>
      <c r="P477" s="27"/>
    </row>
    <row r="478">
      <c r="A478" s="27"/>
      <c r="B478" s="35"/>
      <c r="C478" s="27"/>
      <c r="D478" s="36"/>
      <c r="E478" s="34"/>
      <c r="F478" s="38"/>
      <c r="G478" s="34"/>
      <c r="H478" s="34"/>
      <c r="I478" s="27"/>
      <c r="J478" s="27"/>
      <c r="K478" s="27"/>
      <c r="L478" s="27"/>
      <c r="M478" s="27"/>
      <c r="N478" s="27"/>
      <c r="O478" s="27"/>
      <c r="P478" s="27"/>
    </row>
    <row r="479">
      <c r="A479" s="27"/>
      <c r="B479" s="35"/>
      <c r="C479" s="27"/>
      <c r="D479" s="36"/>
      <c r="E479" s="34"/>
      <c r="F479" s="38"/>
      <c r="G479" s="34"/>
      <c r="H479" s="34"/>
      <c r="I479" s="27"/>
      <c r="J479" s="27"/>
      <c r="K479" s="27"/>
      <c r="L479" s="27"/>
      <c r="M479" s="27"/>
      <c r="N479" s="27"/>
      <c r="O479" s="27"/>
      <c r="P479" s="27"/>
    </row>
    <row r="480">
      <c r="A480" s="27"/>
      <c r="B480" s="35"/>
      <c r="C480" s="27"/>
      <c r="D480" s="36"/>
      <c r="E480" s="34"/>
      <c r="F480" s="38"/>
      <c r="G480" s="34"/>
      <c r="H480" s="34"/>
      <c r="I480" s="27"/>
      <c r="J480" s="27"/>
      <c r="K480" s="27"/>
      <c r="L480" s="27"/>
      <c r="M480" s="27"/>
      <c r="N480" s="27"/>
      <c r="O480" s="27"/>
      <c r="P480" s="27"/>
    </row>
    <row r="481">
      <c r="A481" s="27"/>
      <c r="B481" s="35"/>
      <c r="C481" s="27"/>
      <c r="D481" s="36"/>
      <c r="E481" s="34"/>
      <c r="F481" s="38"/>
      <c r="G481" s="34"/>
      <c r="H481" s="34"/>
      <c r="I481" s="27"/>
      <c r="J481" s="27"/>
      <c r="K481" s="27"/>
      <c r="L481" s="27"/>
      <c r="M481" s="27"/>
      <c r="N481" s="27"/>
      <c r="O481" s="27"/>
      <c r="P481" s="27"/>
    </row>
    <row r="482">
      <c r="A482" s="27"/>
      <c r="B482" s="35"/>
      <c r="C482" s="27"/>
      <c r="D482" s="36"/>
      <c r="E482" s="34"/>
      <c r="F482" s="38"/>
      <c r="G482" s="34"/>
      <c r="H482" s="34"/>
      <c r="I482" s="27"/>
      <c r="J482" s="27"/>
      <c r="K482" s="27"/>
      <c r="L482" s="27"/>
      <c r="M482" s="27"/>
      <c r="N482" s="27"/>
      <c r="O482" s="27"/>
      <c r="P482" s="27"/>
    </row>
    <row r="483">
      <c r="A483" s="27"/>
      <c r="B483" s="35"/>
      <c r="C483" s="27"/>
      <c r="D483" s="36"/>
      <c r="E483" s="34"/>
      <c r="F483" s="38"/>
      <c r="G483" s="34"/>
      <c r="H483" s="34"/>
      <c r="I483" s="27"/>
      <c r="J483" s="27"/>
      <c r="K483" s="27"/>
      <c r="L483" s="27"/>
      <c r="M483" s="27"/>
      <c r="N483" s="27"/>
      <c r="O483" s="27"/>
      <c r="P483" s="27"/>
    </row>
    <row r="484">
      <c r="A484" s="27"/>
      <c r="B484" s="35"/>
      <c r="C484" s="27"/>
      <c r="D484" s="36"/>
      <c r="E484" s="34"/>
      <c r="F484" s="38"/>
      <c r="G484" s="34"/>
      <c r="H484" s="34"/>
      <c r="I484" s="27"/>
      <c r="J484" s="27"/>
      <c r="K484" s="27"/>
      <c r="L484" s="27"/>
      <c r="M484" s="27"/>
      <c r="N484" s="27"/>
      <c r="O484" s="27"/>
      <c r="P484" s="27"/>
    </row>
    <row r="485">
      <c r="A485" s="27"/>
      <c r="B485" s="35"/>
      <c r="C485" s="27"/>
      <c r="D485" s="36"/>
      <c r="E485" s="34"/>
      <c r="F485" s="38"/>
      <c r="G485" s="34"/>
      <c r="H485" s="34"/>
      <c r="I485" s="27"/>
      <c r="J485" s="27"/>
      <c r="K485" s="27"/>
      <c r="L485" s="27"/>
      <c r="M485" s="27"/>
      <c r="N485" s="27"/>
      <c r="O485" s="27"/>
      <c r="P485" s="27"/>
    </row>
    <row r="486">
      <c r="A486" s="27"/>
      <c r="B486" s="35"/>
      <c r="C486" s="27"/>
      <c r="D486" s="36"/>
      <c r="E486" s="34"/>
      <c r="F486" s="38"/>
      <c r="G486" s="34"/>
      <c r="H486" s="34"/>
      <c r="I486" s="27"/>
      <c r="J486" s="27"/>
      <c r="K486" s="27"/>
      <c r="L486" s="27"/>
      <c r="M486" s="27"/>
      <c r="N486" s="27"/>
      <c r="O486" s="27"/>
      <c r="P486" s="27"/>
    </row>
    <row r="487">
      <c r="A487" s="27"/>
      <c r="B487" s="35"/>
      <c r="C487" s="27"/>
      <c r="D487" s="36"/>
      <c r="E487" s="34"/>
      <c r="F487" s="38"/>
      <c r="G487" s="34"/>
      <c r="H487" s="34"/>
      <c r="I487" s="27"/>
      <c r="J487" s="27"/>
      <c r="K487" s="27"/>
      <c r="L487" s="27"/>
      <c r="M487" s="27"/>
      <c r="N487" s="27"/>
      <c r="O487" s="27"/>
      <c r="P487" s="27"/>
    </row>
    <row r="488">
      <c r="A488" s="27"/>
      <c r="B488" s="35"/>
      <c r="C488" s="27"/>
      <c r="D488" s="36"/>
      <c r="E488" s="34"/>
      <c r="F488" s="38"/>
      <c r="G488" s="34"/>
      <c r="H488" s="34"/>
      <c r="I488" s="27"/>
      <c r="J488" s="27"/>
      <c r="K488" s="27"/>
      <c r="L488" s="27"/>
      <c r="M488" s="27"/>
      <c r="N488" s="27"/>
      <c r="O488" s="27"/>
      <c r="P488" s="27"/>
    </row>
    <row r="489">
      <c r="A489" s="27"/>
      <c r="B489" s="35"/>
      <c r="C489" s="27"/>
      <c r="D489" s="36"/>
      <c r="E489" s="34"/>
      <c r="F489" s="38"/>
      <c r="G489" s="34"/>
      <c r="H489" s="34"/>
      <c r="I489" s="27"/>
      <c r="J489" s="27"/>
      <c r="K489" s="27"/>
      <c r="L489" s="27"/>
      <c r="M489" s="27"/>
      <c r="N489" s="27"/>
      <c r="O489" s="27"/>
      <c r="P489" s="27"/>
    </row>
    <row r="490">
      <c r="A490" s="27"/>
      <c r="B490" s="35"/>
      <c r="C490" s="27"/>
      <c r="D490" s="36"/>
      <c r="E490" s="34"/>
      <c r="F490" s="38"/>
      <c r="G490" s="34"/>
      <c r="H490" s="34"/>
      <c r="I490" s="27"/>
      <c r="J490" s="27"/>
      <c r="K490" s="27"/>
      <c r="L490" s="27"/>
      <c r="M490" s="27"/>
      <c r="N490" s="27"/>
      <c r="O490" s="27"/>
      <c r="P490" s="27"/>
    </row>
    <row r="491">
      <c r="A491" s="27"/>
      <c r="B491" s="35"/>
      <c r="C491" s="27"/>
      <c r="D491" s="36"/>
      <c r="E491" s="34"/>
      <c r="F491" s="38"/>
      <c r="G491" s="34"/>
      <c r="H491" s="34"/>
      <c r="I491" s="27"/>
      <c r="J491" s="27"/>
      <c r="K491" s="27"/>
      <c r="L491" s="27"/>
      <c r="M491" s="27"/>
      <c r="N491" s="27"/>
      <c r="O491" s="27"/>
      <c r="P491" s="27"/>
    </row>
    <row r="492">
      <c r="A492" s="27"/>
      <c r="B492" s="35"/>
      <c r="C492" s="27"/>
      <c r="D492" s="36"/>
      <c r="E492" s="34"/>
      <c r="F492" s="38"/>
      <c r="G492" s="34"/>
      <c r="H492" s="34"/>
      <c r="I492" s="27"/>
      <c r="J492" s="27"/>
      <c r="K492" s="27"/>
      <c r="L492" s="27"/>
      <c r="M492" s="27"/>
      <c r="N492" s="27"/>
      <c r="O492" s="27"/>
      <c r="P492" s="27"/>
    </row>
    <row r="493">
      <c r="A493" s="27"/>
      <c r="B493" s="35"/>
      <c r="C493" s="27"/>
      <c r="D493" s="36"/>
      <c r="E493" s="34"/>
      <c r="F493" s="38"/>
      <c r="G493" s="34"/>
      <c r="H493" s="34"/>
      <c r="I493" s="27"/>
      <c r="J493" s="27"/>
      <c r="K493" s="27"/>
      <c r="L493" s="27"/>
      <c r="M493" s="27"/>
      <c r="N493" s="27"/>
      <c r="O493" s="27"/>
      <c r="P493" s="27"/>
    </row>
    <row r="494">
      <c r="A494" s="27"/>
      <c r="B494" s="35"/>
      <c r="C494" s="27"/>
      <c r="D494" s="36"/>
      <c r="E494" s="34"/>
      <c r="F494" s="38"/>
      <c r="G494" s="34"/>
      <c r="H494" s="34"/>
      <c r="I494" s="27"/>
      <c r="J494" s="27"/>
      <c r="K494" s="27"/>
      <c r="L494" s="27"/>
      <c r="M494" s="27"/>
      <c r="N494" s="27"/>
      <c r="O494" s="27"/>
      <c r="P494" s="27"/>
    </row>
    <row r="495">
      <c r="A495" s="27"/>
      <c r="B495" s="35"/>
      <c r="C495" s="27"/>
      <c r="D495" s="36"/>
      <c r="E495" s="34"/>
      <c r="F495" s="38"/>
      <c r="G495" s="34"/>
      <c r="H495" s="34"/>
      <c r="I495" s="27"/>
      <c r="J495" s="27"/>
      <c r="K495" s="27"/>
      <c r="L495" s="27"/>
      <c r="M495" s="27"/>
      <c r="N495" s="27"/>
      <c r="O495" s="27"/>
      <c r="P495" s="27"/>
    </row>
    <row r="496">
      <c r="A496" s="27"/>
      <c r="B496" s="35"/>
      <c r="C496" s="27"/>
      <c r="D496" s="36"/>
      <c r="E496" s="34"/>
      <c r="F496" s="38"/>
      <c r="G496" s="34"/>
      <c r="H496" s="34"/>
      <c r="I496" s="27"/>
      <c r="J496" s="27"/>
      <c r="K496" s="27"/>
      <c r="L496" s="27"/>
      <c r="M496" s="27"/>
      <c r="N496" s="27"/>
      <c r="O496" s="27"/>
      <c r="P496" s="27"/>
    </row>
    <row r="497">
      <c r="A497" s="27"/>
      <c r="B497" s="35"/>
      <c r="C497" s="27"/>
      <c r="D497" s="36"/>
      <c r="E497" s="34"/>
      <c r="F497" s="38"/>
      <c r="G497" s="34"/>
      <c r="H497" s="34"/>
      <c r="I497" s="27"/>
      <c r="J497" s="27"/>
      <c r="K497" s="27"/>
      <c r="L497" s="27"/>
      <c r="M497" s="27"/>
      <c r="N497" s="27"/>
      <c r="O497" s="27"/>
      <c r="P497" s="27"/>
    </row>
    <row r="498">
      <c r="A498" s="27"/>
      <c r="B498" s="35"/>
      <c r="C498" s="27"/>
      <c r="D498" s="36"/>
      <c r="E498" s="34"/>
      <c r="F498" s="38"/>
      <c r="G498" s="34"/>
      <c r="H498" s="34"/>
      <c r="I498" s="27"/>
      <c r="J498" s="27"/>
      <c r="K498" s="27"/>
      <c r="L498" s="27"/>
      <c r="M498" s="27"/>
      <c r="N498" s="27"/>
      <c r="O498" s="27"/>
      <c r="P498" s="27"/>
    </row>
    <row r="499">
      <c r="A499" s="27"/>
      <c r="B499" s="35"/>
      <c r="C499" s="27"/>
      <c r="D499" s="36"/>
      <c r="E499" s="34"/>
      <c r="F499" s="38"/>
      <c r="G499" s="34"/>
      <c r="H499" s="34"/>
      <c r="I499" s="27"/>
      <c r="J499" s="27"/>
      <c r="K499" s="27"/>
      <c r="L499" s="27"/>
      <c r="M499" s="27"/>
      <c r="N499" s="27"/>
      <c r="O499" s="27"/>
      <c r="P499" s="27"/>
    </row>
    <row r="500">
      <c r="A500" s="27"/>
      <c r="B500" s="35"/>
      <c r="C500" s="27"/>
      <c r="D500" s="36"/>
      <c r="E500" s="34"/>
      <c r="F500" s="38"/>
      <c r="G500" s="34"/>
      <c r="H500" s="34"/>
      <c r="I500" s="27"/>
      <c r="J500" s="27"/>
      <c r="K500" s="27"/>
      <c r="L500" s="27"/>
      <c r="M500" s="27"/>
      <c r="N500" s="27"/>
      <c r="O500" s="27"/>
      <c r="P500" s="27"/>
    </row>
    <row r="501">
      <c r="A501" s="27"/>
      <c r="B501" s="35"/>
      <c r="C501" s="27"/>
      <c r="D501" s="36"/>
      <c r="E501" s="34"/>
      <c r="F501" s="38"/>
      <c r="G501" s="34"/>
      <c r="H501" s="34"/>
      <c r="I501" s="27"/>
      <c r="J501" s="27"/>
      <c r="K501" s="27"/>
      <c r="L501" s="27"/>
      <c r="M501" s="27"/>
      <c r="N501" s="27"/>
      <c r="O501" s="27"/>
      <c r="P501" s="27"/>
    </row>
    <row r="502">
      <c r="A502" s="27"/>
      <c r="B502" s="35"/>
      <c r="C502" s="27"/>
      <c r="D502" s="36"/>
      <c r="E502" s="34"/>
      <c r="F502" s="38"/>
      <c r="G502" s="34"/>
      <c r="H502" s="34"/>
      <c r="I502" s="27"/>
      <c r="J502" s="27"/>
      <c r="K502" s="27"/>
      <c r="L502" s="27"/>
      <c r="M502" s="27"/>
      <c r="N502" s="27"/>
      <c r="O502" s="27"/>
      <c r="P502" s="27"/>
    </row>
    <row r="503">
      <c r="A503" s="27"/>
      <c r="B503" s="35"/>
      <c r="C503" s="27"/>
      <c r="D503" s="36"/>
      <c r="E503" s="34"/>
      <c r="F503" s="38"/>
      <c r="G503" s="34"/>
      <c r="H503" s="34"/>
      <c r="I503" s="27"/>
      <c r="J503" s="27"/>
      <c r="K503" s="27"/>
      <c r="L503" s="27"/>
      <c r="M503" s="27"/>
      <c r="N503" s="27"/>
      <c r="O503" s="27"/>
      <c r="P503" s="27"/>
    </row>
    <row r="504">
      <c r="A504" s="27"/>
      <c r="B504" s="35"/>
      <c r="C504" s="27"/>
      <c r="D504" s="36"/>
      <c r="E504" s="34"/>
      <c r="F504" s="38"/>
      <c r="G504" s="34"/>
      <c r="H504" s="34"/>
      <c r="I504" s="27"/>
      <c r="J504" s="27"/>
      <c r="K504" s="27"/>
      <c r="L504" s="27"/>
      <c r="M504" s="27"/>
      <c r="N504" s="27"/>
      <c r="O504" s="27"/>
      <c r="P504" s="27"/>
    </row>
    <row r="505">
      <c r="A505" s="27"/>
      <c r="B505" s="35"/>
      <c r="C505" s="27"/>
      <c r="D505" s="36"/>
      <c r="E505" s="34"/>
      <c r="F505" s="38"/>
      <c r="G505" s="34"/>
      <c r="H505" s="34"/>
      <c r="I505" s="27"/>
      <c r="J505" s="27"/>
      <c r="K505" s="27"/>
      <c r="L505" s="27"/>
      <c r="M505" s="27"/>
      <c r="N505" s="27"/>
      <c r="O505" s="27"/>
      <c r="P505" s="27"/>
    </row>
    <row r="506">
      <c r="A506" s="27"/>
      <c r="B506" s="35"/>
      <c r="C506" s="27"/>
      <c r="D506" s="36"/>
      <c r="E506" s="34"/>
      <c r="F506" s="38"/>
      <c r="G506" s="34"/>
      <c r="H506" s="34"/>
      <c r="I506" s="27"/>
      <c r="J506" s="27"/>
      <c r="K506" s="27"/>
      <c r="L506" s="27"/>
      <c r="M506" s="27"/>
      <c r="N506" s="27"/>
      <c r="O506" s="27"/>
      <c r="P506" s="27"/>
    </row>
    <row r="507">
      <c r="A507" s="27"/>
      <c r="B507" s="35"/>
      <c r="C507" s="27"/>
      <c r="D507" s="36"/>
      <c r="E507" s="34"/>
      <c r="F507" s="38"/>
      <c r="G507" s="34"/>
      <c r="H507" s="34"/>
      <c r="I507" s="27"/>
      <c r="J507" s="27"/>
      <c r="K507" s="27"/>
      <c r="L507" s="27"/>
      <c r="M507" s="27"/>
      <c r="N507" s="27"/>
      <c r="O507" s="27"/>
      <c r="P507" s="27"/>
    </row>
    <row r="508">
      <c r="A508" s="27"/>
      <c r="B508" s="35"/>
      <c r="C508" s="27"/>
      <c r="D508" s="36"/>
      <c r="E508" s="34"/>
      <c r="F508" s="38"/>
      <c r="G508" s="34"/>
      <c r="H508" s="34"/>
      <c r="I508" s="27"/>
      <c r="J508" s="27"/>
      <c r="K508" s="27"/>
      <c r="L508" s="27"/>
      <c r="M508" s="27"/>
      <c r="N508" s="27"/>
      <c r="O508" s="27"/>
      <c r="P508" s="27"/>
    </row>
    <row r="509">
      <c r="A509" s="27"/>
      <c r="B509" s="35"/>
      <c r="C509" s="27"/>
      <c r="D509" s="36"/>
      <c r="E509" s="34"/>
      <c r="F509" s="38"/>
      <c r="G509" s="34"/>
      <c r="H509" s="34"/>
      <c r="I509" s="27"/>
      <c r="J509" s="27"/>
      <c r="K509" s="27"/>
      <c r="L509" s="27"/>
      <c r="M509" s="27"/>
      <c r="N509" s="27"/>
      <c r="O509" s="27"/>
      <c r="P509" s="27"/>
    </row>
    <row r="510">
      <c r="A510" s="27"/>
      <c r="B510" s="35"/>
      <c r="C510" s="27"/>
      <c r="D510" s="36"/>
      <c r="E510" s="34"/>
      <c r="F510" s="38"/>
      <c r="G510" s="34"/>
      <c r="H510" s="34"/>
      <c r="I510" s="27"/>
      <c r="J510" s="27"/>
      <c r="K510" s="27"/>
      <c r="L510" s="27"/>
      <c r="M510" s="27"/>
      <c r="N510" s="27"/>
      <c r="O510" s="27"/>
      <c r="P510" s="27"/>
    </row>
    <row r="511">
      <c r="A511" s="27"/>
      <c r="B511" s="35"/>
      <c r="C511" s="27"/>
      <c r="D511" s="36"/>
      <c r="E511" s="34"/>
      <c r="F511" s="38"/>
      <c r="G511" s="34"/>
      <c r="H511" s="34"/>
      <c r="I511" s="27"/>
      <c r="J511" s="27"/>
      <c r="K511" s="27"/>
      <c r="L511" s="27"/>
      <c r="M511" s="27"/>
      <c r="N511" s="27"/>
      <c r="O511" s="27"/>
      <c r="P511" s="27"/>
    </row>
    <row r="512">
      <c r="A512" s="27"/>
      <c r="B512" s="35"/>
      <c r="C512" s="27"/>
      <c r="D512" s="36"/>
      <c r="E512" s="34"/>
      <c r="F512" s="38"/>
      <c r="G512" s="34"/>
      <c r="H512" s="34"/>
      <c r="I512" s="27"/>
      <c r="J512" s="27"/>
      <c r="K512" s="27"/>
      <c r="L512" s="27"/>
      <c r="M512" s="27"/>
      <c r="N512" s="27"/>
      <c r="O512" s="27"/>
      <c r="P512" s="27"/>
    </row>
    <row r="513">
      <c r="A513" s="27"/>
      <c r="B513" s="35"/>
      <c r="C513" s="27"/>
      <c r="D513" s="36"/>
      <c r="E513" s="34"/>
      <c r="F513" s="38"/>
      <c r="G513" s="34"/>
      <c r="H513" s="34"/>
      <c r="I513" s="27"/>
      <c r="J513" s="27"/>
      <c r="K513" s="27"/>
      <c r="L513" s="27"/>
      <c r="M513" s="27"/>
      <c r="N513" s="27"/>
      <c r="O513" s="27"/>
      <c r="P513" s="27"/>
    </row>
    <row r="514">
      <c r="A514" s="27"/>
      <c r="B514" s="35"/>
      <c r="C514" s="27"/>
      <c r="D514" s="36"/>
      <c r="E514" s="34"/>
      <c r="F514" s="38"/>
      <c r="G514" s="34"/>
      <c r="H514" s="34"/>
      <c r="I514" s="27"/>
      <c r="J514" s="27"/>
      <c r="K514" s="27"/>
      <c r="L514" s="27"/>
      <c r="M514" s="27"/>
      <c r="N514" s="27"/>
      <c r="O514" s="27"/>
      <c r="P514" s="27"/>
    </row>
    <row r="515">
      <c r="A515" s="27"/>
      <c r="B515" s="35"/>
      <c r="C515" s="27"/>
      <c r="D515" s="36"/>
      <c r="E515" s="34"/>
      <c r="F515" s="38"/>
      <c r="G515" s="34"/>
      <c r="H515" s="34"/>
      <c r="I515" s="27"/>
      <c r="J515" s="27"/>
      <c r="K515" s="27"/>
      <c r="L515" s="27"/>
      <c r="M515" s="27"/>
      <c r="N515" s="27"/>
      <c r="O515" s="27"/>
      <c r="P515" s="27"/>
    </row>
    <row r="516">
      <c r="A516" s="27"/>
      <c r="B516" s="35"/>
      <c r="C516" s="27"/>
      <c r="D516" s="36"/>
      <c r="E516" s="34"/>
      <c r="F516" s="38"/>
      <c r="G516" s="34"/>
      <c r="H516" s="34"/>
      <c r="I516" s="27"/>
      <c r="J516" s="27"/>
      <c r="K516" s="27"/>
      <c r="L516" s="27"/>
      <c r="M516" s="27"/>
      <c r="N516" s="27"/>
      <c r="O516" s="27"/>
      <c r="P516" s="27"/>
    </row>
    <row r="517">
      <c r="A517" s="27"/>
      <c r="B517" s="35"/>
      <c r="C517" s="27"/>
      <c r="D517" s="36"/>
      <c r="E517" s="34"/>
      <c r="F517" s="38"/>
      <c r="G517" s="34"/>
      <c r="H517" s="34"/>
      <c r="I517" s="27"/>
      <c r="J517" s="27"/>
      <c r="K517" s="27"/>
      <c r="L517" s="27"/>
      <c r="M517" s="27"/>
      <c r="N517" s="27"/>
      <c r="O517" s="27"/>
      <c r="P517" s="27"/>
    </row>
    <row r="518">
      <c r="A518" s="27"/>
      <c r="B518" s="35"/>
      <c r="C518" s="27"/>
      <c r="D518" s="36"/>
      <c r="E518" s="34"/>
      <c r="F518" s="38"/>
      <c r="G518" s="34"/>
      <c r="H518" s="34"/>
      <c r="I518" s="27"/>
      <c r="J518" s="27"/>
      <c r="K518" s="27"/>
      <c r="L518" s="27"/>
      <c r="M518" s="27"/>
      <c r="N518" s="27"/>
      <c r="O518" s="27"/>
      <c r="P518" s="27"/>
    </row>
    <row r="519">
      <c r="A519" s="27"/>
      <c r="B519" s="35"/>
      <c r="C519" s="27"/>
      <c r="D519" s="36"/>
      <c r="E519" s="34"/>
      <c r="F519" s="38"/>
      <c r="G519" s="34"/>
      <c r="H519" s="34"/>
      <c r="I519" s="27"/>
      <c r="J519" s="27"/>
      <c r="K519" s="27"/>
      <c r="L519" s="27"/>
      <c r="M519" s="27"/>
      <c r="N519" s="27"/>
      <c r="O519" s="27"/>
      <c r="P519" s="27"/>
    </row>
    <row r="520">
      <c r="A520" s="27"/>
      <c r="B520" s="35"/>
      <c r="C520" s="27"/>
      <c r="D520" s="36"/>
      <c r="E520" s="34"/>
      <c r="F520" s="38"/>
      <c r="G520" s="34"/>
      <c r="H520" s="34"/>
      <c r="I520" s="27"/>
      <c r="J520" s="27"/>
      <c r="K520" s="27"/>
      <c r="L520" s="27"/>
      <c r="M520" s="27"/>
      <c r="N520" s="27"/>
      <c r="O520" s="27"/>
      <c r="P520" s="27"/>
    </row>
    <row r="521">
      <c r="A521" s="27"/>
      <c r="B521" s="35"/>
      <c r="C521" s="27"/>
      <c r="D521" s="36"/>
      <c r="E521" s="34"/>
      <c r="F521" s="38"/>
      <c r="G521" s="34"/>
      <c r="H521" s="34"/>
      <c r="I521" s="27"/>
      <c r="J521" s="27"/>
      <c r="K521" s="27"/>
      <c r="L521" s="27"/>
      <c r="M521" s="27"/>
      <c r="N521" s="27"/>
      <c r="O521" s="27"/>
      <c r="P521" s="27"/>
    </row>
    <row r="522">
      <c r="A522" s="27"/>
      <c r="B522" s="35"/>
      <c r="C522" s="27"/>
      <c r="D522" s="36"/>
      <c r="E522" s="34"/>
      <c r="F522" s="38"/>
      <c r="G522" s="34"/>
      <c r="H522" s="34"/>
      <c r="I522" s="27"/>
      <c r="J522" s="27"/>
      <c r="K522" s="27"/>
      <c r="L522" s="27"/>
      <c r="M522" s="27"/>
      <c r="N522" s="27"/>
      <c r="O522" s="27"/>
      <c r="P522" s="27"/>
    </row>
    <row r="523">
      <c r="A523" s="27"/>
      <c r="B523" s="35"/>
      <c r="C523" s="27"/>
      <c r="D523" s="36"/>
      <c r="E523" s="34"/>
      <c r="F523" s="38"/>
      <c r="G523" s="34"/>
      <c r="H523" s="34"/>
      <c r="I523" s="27"/>
      <c r="J523" s="27"/>
      <c r="K523" s="27"/>
      <c r="L523" s="27"/>
      <c r="M523" s="27"/>
      <c r="N523" s="27"/>
      <c r="O523" s="27"/>
      <c r="P523" s="27"/>
    </row>
    <row r="524">
      <c r="A524" s="27"/>
      <c r="B524" s="35"/>
      <c r="C524" s="27"/>
      <c r="D524" s="36"/>
      <c r="E524" s="34"/>
      <c r="F524" s="38"/>
      <c r="G524" s="34"/>
      <c r="H524" s="34"/>
      <c r="I524" s="27"/>
      <c r="J524" s="27"/>
      <c r="K524" s="27"/>
      <c r="L524" s="27"/>
      <c r="M524" s="27"/>
      <c r="N524" s="27"/>
      <c r="O524" s="27"/>
      <c r="P524" s="27"/>
    </row>
    <row r="525">
      <c r="A525" s="27"/>
      <c r="B525" s="35"/>
      <c r="C525" s="27"/>
      <c r="D525" s="36"/>
      <c r="E525" s="34"/>
      <c r="F525" s="38"/>
      <c r="G525" s="34"/>
      <c r="H525" s="34"/>
      <c r="I525" s="27"/>
      <c r="J525" s="27"/>
      <c r="K525" s="27"/>
      <c r="L525" s="27"/>
      <c r="M525" s="27"/>
      <c r="N525" s="27"/>
      <c r="O525" s="27"/>
      <c r="P525" s="27"/>
    </row>
    <row r="526">
      <c r="A526" s="27"/>
      <c r="B526" s="35"/>
      <c r="C526" s="27"/>
      <c r="D526" s="36"/>
      <c r="E526" s="34"/>
      <c r="F526" s="38"/>
      <c r="G526" s="34"/>
      <c r="H526" s="34"/>
      <c r="I526" s="27"/>
      <c r="J526" s="27"/>
      <c r="K526" s="27"/>
      <c r="L526" s="27"/>
      <c r="M526" s="27"/>
      <c r="N526" s="27"/>
      <c r="O526" s="27"/>
      <c r="P526" s="27"/>
    </row>
    <row r="527">
      <c r="A527" s="27"/>
      <c r="B527" s="35"/>
      <c r="C527" s="27"/>
      <c r="D527" s="36"/>
      <c r="E527" s="34"/>
      <c r="F527" s="38"/>
      <c r="G527" s="34"/>
      <c r="H527" s="34"/>
      <c r="I527" s="27"/>
      <c r="J527" s="27"/>
      <c r="K527" s="27"/>
      <c r="L527" s="27"/>
      <c r="M527" s="27"/>
      <c r="N527" s="27"/>
      <c r="O527" s="27"/>
      <c r="P527" s="27"/>
    </row>
    <row r="528">
      <c r="A528" s="27"/>
      <c r="B528" s="35"/>
      <c r="C528" s="27"/>
      <c r="D528" s="36"/>
      <c r="E528" s="34"/>
      <c r="F528" s="38"/>
      <c r="G528" s="34"/>
      <c r="H528" s="34"/>
      <c r="I528" s="27"/>
      <c r="J528" s="27"/>
      <c r="K528" s="27"/>
      <c r="L528" s="27"/>
      <c r="M528" s="27"/>
      <c r="N528" s="27"/>
      <c r="O528" s="27"/>
      <c r="P528" s="27"/>
    </row>
    <row r="529">
      <c r="A529" s="27"/>
      <c r="B529" s="35"/>
      <c r="C529" s="27"/>
      <c r="D529" s="36"/>
      <c r="E529" s="34"/>
      <c r="F529" s="38"/>
      <c r="G529" s="34"/>
      <c r="H529" s="34"/>
      <c r="I529" s="27"/>
      <c r="J529" s="27"/>
      <c r="K529" s="27"/>
      <c r="L529" s="27"/>
      <c r="M529" s="27"/>
      <c r="N529" s="27"/>
      <c r="O529" s="27"/>
      <c r="P529" s="27"/>
    </row>
    <row r="530">
      <c r="A530" s="27"/>
      <c r="B530" s="35"/>
      <c r="C530" s="27"/>
      <c r="D530" s="36"/>
      <c r="E530" s="34"/>
      <c r="F530" s="38"/>
      <c r="G530" s="34"/>
      <c r="H530" s="34"/>
      <c r="I530" s="27"/>
      <c r="J530" s="27"/>
      <c r="K530" s="27"/>
      <c r="L530" s="27"/>
      <c r="M530" s="27"/>
      <c r="N530" s="27"/>
      <c r="O530" s="27"/>
      <c r="P530" s="27"/>
    </row>
    <row r="531">
      <c r="A531" s="27"/>
      <c r="B531" s="35"/>
      <c r="C531" s="27"/>
      <c r="D531" s="36"/>
      <c r="E531" s="34"/>
      <c r="F531" s="38"/>
      <c r="G531" s="34"/>
      <c r="H531" s="34"/>
      <c r="I531" s="27"/>
      <c r="J531" s="27"/>
      <c r="K531" s="27"/>
      <c r="L531" s="27"/>
      <c r="M531" s="27"/>
      <c r="N531" s="27"/>
      <c r="O531" s="27"/>
      <c r="P531" s="27"/>
    </row>
    <row r="532">
      <c r="A532" s="27"/>
      <c r="B532" s="35"/>
      <c r="C532" s="27"/>
      <c r="D532" s="36"/>
      <c r="E532" s="34"/>
      <c r="F532" s="38"/>
      <c r="G532" s="34"/>
      <c r="H532" s="34"/>
      <c r="I532" s="27"/>
      <c r="J532" s="27"/>
      <c r="K532" s="27"/>
      <c r="L532" s="27"/>
      <c r="M532" s="27"/>
      <c r="N532" s="27"/>
      <c r="O532" s="27"/>
      <c r="P532" s="27"/>
    </row>
    <row r="533">
      <c r="A533" s="27"/>
      <c r="B533" s="35"/>
      <c r="C533" s="27"/>
      <c r="D533" s="36"/>
      <c r="E533" s="34"/>
      <c r="F533" s="38"/>
      <c r="G533" s="34"/>
      <c r="H533" s="34"/>
      <c r="I533" s="27"/>
      <c r="J533" s="27"/>
      <c r="K533" s="27"/>
      <c r="L533" s="27"/>
      <c r="M533" s="27"/>
      <c r="N533" s="27"/>
      <c r="O533" s="27"/>
      <c r="P533" s="27"/>
    </row>
    <row r="534">
      <c r="A534" s="27"/>
      <c r="B534" s="35"/>
      <c r="C534" s="27"/>
      <c r="D534" s="36"/>
      <c r="E534" s="34"/>
      <c r="F534" s="38"/>
      <c r="G534" s="34"/>
      <c r="H534" s="34"/>
      <c r="I534" s="27"/>
      <c r="J534" s="27"/>
      <c r="K534" s="27"/>
      <c r="L534" s="27"/>
      <c r="M534" s="27"/>
      <c r="N534" s="27"/>
      <c r="O534" s="27"/>
      <c r="P534" s="27"/>
    </row>
    <row r="535">
      <c r="A535" s="27"/>
      <c r="B535" s="35"/>
      <c r="C535" s="27"/>
      <c r="D535" s="36"/>
      <c r="E535" s="34"/>
      <c r="F535" s="38"/>
      <c r="G535" s="34"/>
      <c r="H535" s="34"/>
      <c r="I535" s="27"/>
      <c r="J535" s="27"/>
      <c r="K535" s="27"/>
      <c r="L535" s="27"/>
      <c r="M535" s="27"/>
      <c r="N535" s="27"/>
      <c r="O535" s="27"/>
      <c r="P535" s="27"/>
    </row>
    <row r="536">
      <c r="A536" s="27"/>
      <c r="B536" s="35"/>
      <c r="C536" s="27"/>
      <c r="D536" s="36"/>
      <c r="E536" s="34"/>
      <c r="F536" s="38"/>
      <c r="G536" s="34"/>
      <c r="H536" s="34"/>
      <c r="I536" s="27"/>
      <c r="J536" s="27"/>
      <c r="K536" s="27"/>
      <c r="L536" s="27"/>
      <c r="M536" s="27"/>
      <c r="N536" s="27"/>
      <c r="O536" s="27"/>
      <c r="P536" s="27"/>
    </row>
    <row r="537">
      <c r="A537" s="27"/>
      <c r="B537" s="35"/>
      <c r="C537" s="27"/>
      <c r="D537" s="36"/>
      <c r="E537" s="34"/>
      <c r="F537" s="38"/>
      <c r="G537" s="34"/>
      <c r="H537" s="34"/>
      <c r="I537" s="27"/>
      <c r="J537" s="27"/>
      <c r="K537" s="27"/>
      <c r="L537" s="27"/>
      <c r="M537" s="27"/>
      <c r="N537" s="27"/>
      <c r="O537" s="27"/>
      <c r="P537" s="27"/>
    </row>
    <row r="538">
      <c r="A538" s="27"/>
      <c r="B538" s="35"/>
      <c r="C538" s="27"/>
      <c r="D538" s="36"/>
      <c r="E538" s="34"/>
      <c r="F538" s="38"/>
      <c r="G538" s="34"/>
      <c r="H538" s="34"/>
      <c r="I538" s="27"/>
      <c r="J538" s="27"/>
      <c r="K538" s="27"/>
      <c r="L538" s="27"/>
      <c r="M538" s="27"/>
      <c r="N538" s="27"/>
      <c r="O538" s="27"/>
      <c r="P538" s="27"/>
    </row>
    <row r="539">
      <c r="A539" s="27"/>
      <c r="B539" s="35"/>
      <c r="C539" s="27"/>
      <c r="D539" s="36"/>
      <c r="E539" s="34"/>
      <c r="F539" s="38"/>
      <c r="G539" s="34"/>
      <c r="H539" s="34"/>
      <c r="I539" s="27"/>
      <c r="J539" s="27"/>
      <c r="K539" s="27"/>
      <c r="L539" s="27"/>
      <c r="M539" s="27"/>
      <c r="N539" s="27"/>
      <c r="O539" s="27"/>
      <c r="P539" s="27"/>
    </row>
    <row r="540">
      <c r="A540" s="27"/>
      <c r="B540" s="35"/>
      <c r="C540" s="27"/>
      <c r="D540" s="36"/>
      <c r="E540" s="34"/>
      <c r="F540" s="38"/>
      <c r="G540" s="34"/>
      <c r="H540" s="34"/>
      <c r="I540" s="27"/>
      <c r="J540" s="27"/>
      <c r="K540" s="27"/>
      <c r="L540" s="27"/>
      <c r="M540" s="27"/>
      <c r="N540" s="27"/>
      <c r="O540" s="27"/>
      <c r="P540" s="27"/>
    </row>
    <row r="541">
      <c r="A541" s="27"/>
      <c r="B541" s="35"/>
      <c r="C541" s="27"/>
      <c r="D541" s="36"/>
      <c r="E541" s="34"/>
      <c r="F541" s="38"/>
      <c r="G541" s="34"/>
      <c r="H541" s="34"/>
      <c r="I541" s="27"/>
      <c r="J541" s="27"/>
      <c r="K541" s="27"/>
      <c r="L541" s="27"/>
      <c r="M541" s="27"/>
      <c r="N541" s="27"/>
      <c r="O541" s="27"/>
      <c r="P541" s="27"/>
    </row>
    <row r="542">
      <c r="A542" s="27"/>
      <c r="B542" s="35"/>
      <c r="C542" s="27"/>
      <c r="D542" s="36"/>
      <c r="E542" s="34"/>
      <c r="F542" s="38"/>
      <c r="G542" s="34"/>
      <c r="H542" s="34"/>
      <c r="I542" s="27"/>
      <c r="J542" s="27"/>
      <c r="K542" s="27"/>
      <c r="L542" s="27"/>
      <c r="M542" s="27"/>
      <c r="N542" s="27"/>
      <c r="O542" s="27"/>
      <c r="P542" s="27"/>
    </row>
    <row r="543">
      <c r="A543" s="27"/>
      <c r="B543" s="35"/>
      <c r="C543" s="27"/>
      <c r="D543" s="36"/>
      <c r="E543" s="34"/>
      <c r="F543" s="38"/>
      <c r="G543" s="34"/>
      <c r="H543" s="34"/>
      <c r="I543" s="27"/>
      <c r="J543" s="27"/>
      <c r="K543" s="27"/>
      <c r="L543" s="27"/>
      <c r="M543" s="27"/>
      <c r="N543" s="27"/>
      <c r="O543" s="27"/>
      <c r="P543" s="27"/>
    </row>
    <row r="544">
      <c r="A544" s="27"/>
      <c r="B544" s="35"/>
      <c r="C544" s="27"/>
      <c r="D544" s="36"/>
      <c r="E544" s="34"/>
      <c r="F544" s="38"/>
      <c r="G544" s="34"/>
      <c r="H544" s="34"/>
      <c r="I544" s="27"/>
      <c r="J544" s="27"/>
      <c r="K544" s="27"/>
      <c r="L544" s="27"/>
      <c r="M544" s="27"/>
      <c r="N544" s="27"/>
      <c r="O544" s="27"/>
      <c r="P544" s="27"/>
    </row>
    <row r="545">
      <c r="A545" s="27"/>
      <c r="B545" s="35"/>
      <c r="C545" s="27"/>
      <c r="D545" s="36"/>
      <c r="E545" s="34"/>
      <c r="F545" s="38"/>
      <c r="G545" s="34"/>
      <c r="H545" s="34"/>
      <c r="I545" s="27"/>
      <c r="J545" s="27"/>
      <c r="K545" s="27"/>
      <c r="L545" s="27"/>
      <c r="M545" s="27"/>
      <c r="N545" s="27"/>
      <c r="O545" s="27"/>
      <c r="P545" s="27"/>
    </row>
    <row r="546">
      <c r="A546" s="27"/>
      <c r="B546" s="35"/>
      <c r="C546" s="27"/>
      <c r="D546" s="36"/>
      <c r="E546" s="34"/>
      <c r="F546" s="38"/>
      <c r="G546" s="34"/>
      <c r="H546" s="34"/>
      <c r="I546" s="27"/>
      <c r="J546" s="27"/>
      <c r="K546" s="27"/>
      <c r="L546" s="27"/>
      <c r="M546" s="27"/>
      <c r="N546" s="27"/>
      <c r="O546" s="27"/>
      <c r="P546" s="27"/>
    </row>
    <row r="547">
      <c r="A547" s="27"/>
      <c r="B547" s="35"/>
      <c r="C547" s="27"/>
      <c r="D547" s="36"/>
      <c r="E547" s="34"/>
      <c r="F547" s="38"/>
      <c r="G547" s="34"/>
      <c r="H547" s="34"/>
      <c r="I547" s="27"/>
      <c r="J547" s="27"/>
      <c r="K547" s="27"/>
      <c r="L547" s="27"/>
      <c r="M547" s="27"/>
      <c r="N547" s="27"/>
      <c r="O547" s="27"/>
      <c r="P547" s="27"/>
    </row>
    <row r="548">
      <c r="A548" s="27"/>
      <c r="B548" s="35"/>
      <c r="C548" s="27"/>
      <c r="D548" s="36"/>
      <c r="E548" s="34"/>
      <c r="F548" s="38"/>
      <c r="G548" s="34"/>
      <c r="H548" s="34"/>
      <c r="I548" s="27"/>
      <c r="J548" s="27"/>
      <c r="K548" s="27"/>
      <c r="L548" s="27"/>
      <c r="M548" s="27"/>
      <c r="N548" s="27"/>
      <c r="O548" s="27"/>
      <c r="P548" s="27"/>
    </row>
    <row r="549">
      <c r="A549" s="27"/>
      <c r="B549" s="35"/>
      <c r="C549" s="27"/>
      <c r="D549" s="36"/>
      <c r="E549" s="34"/>
      <c r="F549" s="38"/>
      <c r="G549" s="34"/>
      <c r="H549" s="34"/>
      <c r="I549" s="27"/>
      <c r="J549" s="27"/>
      <c r="K549" s="27"/>
      <c r="L549" s="27"/>
      <c r="M549" s="27"/>
      <c r="N549" s="27"/>
      <c r="O549" s="27"/>
      <c r="P549" s="27"/>
    </row>
    <row r="550">
      <c r="A550" s="27"/>
      <c r="B550" s="35"/>
      <c r="C550" s="27"/>
      <c r="D550" s="36"/>
      <c r="E550" s="34"/>
      <c r="F550" s="38"/>
      <c r="G550" s="34"/>
      <c r="H550" s="34"/>
      <c r="I550" s="27"/>
      <c r="J550" s="27"/>
      <c r="K550" s="27"/>
      <c r="L550" s="27"/>
      <c r="M550" s="27"/>
      <c r="N550" s="27"/>
      <c r="O550" s="27"/>
      <c r="P550" s="27"/>
    </row>
    <row r="551">
      <c r="A551" s="27"/>
      <c r="B551" s="35"/>
      <c r="C551" s="27"/>
      <c r="D551" s="36"/>
      <c r="E551" s="34"/>
      <c r="F551" s="38"/>
      <c r="G551" s="34"/>
      <c r="H551" s="34"/>
      <c r="I551" s="27"/>
      <c r="J551" s="27"/>
      <c r="K551" s="27"/>
      <c r="L551" s="27"/>
      <c r="M551" s="27"/>
      <c r="N551" s="27"/>
      <c r="O551" s="27"/>
      <c r="P551" s="27"/>
    </row>
    <row r="552">
      <c r="A552" s="27"/>
      <c r="B552" s="35"/>
      <c r="C552" s="27"/>
      <c r="D552" s="36"/>
      <c r="E552" s="34"/>
      <c r="F552" s="38"/>
      <c r="G552" s="34"/>
      <c r="H552" s="34"/>
      <c r="I552" s="27"/>
      <c r="J552" s="27"/>
      <c r="K552" s="27"/>
      <c r="L552" s="27"/>
      <c r="M552" s="27"/>
      <c r="N552" s="27"/>
      <c r="O552" s="27"/>
      <c r="P552" s="27"/>
    </row>
    <row r="553">
      <c r="A553" s="27"/>
      <c r="B553" s="35"/>
      <c r="C553" s="27"/>
      <c r="D553" s="36"/>
      <c r="E553" s="34"/>
      <c r="F553" s="38"/>
      <c r="G553" s="34"/>
      <c r="H553" s="34"/>
      <c r="I553" s="27"/>
      <c r="J553" s="27"/>
      <c r="K553" s="27"/>
      <c r="L553" s="27"/>
      <c r="M553" s="27"/>
      <c r="N553" s="27"/>
      <c r="O553" s="27"/>
      <c r="P553" s="27"/>
    </row>
    <row r="554">
      <c r="A554" s="27"/>
      <c r="B554" s="35"/>
      <c r="C554" s="27"/>
      <c r="D554" s="36"/>
      <c r="E554" s="34"/>
      <c r="F554" s="38"/>
      <c r="G554" s="34"/>
      <c r="H554" s="34"/>
      <c r="I554" s="27"/>
      <c r="J554" s="27"/>
      <c r="K554" s="27"/>
      <c r="L554" s="27"/>
      <c r="M554" s="27"/>
      <c r="N554" s="27"/>
      <c r="O554" s="27"/>
      <c r="P554" s="27"/>
    </row>
    <row r="555">
      <c r="A555" s="27"/>
      <c r="B555" s="35"/>
      <c r="C555" s="27"/>
      <c r="D555" s="36"/>
      <c r="E555" s="34"/>
      <c r="F555" s="38"/>
      <c r="G555" s="34"/>
      <c r="H555" s="34"/>
      <c r="I555" s="27"/>
      <c r="J555" s="27"/>
      <c r="K555" s="27"/>
      <c r="L555" s="27"/>
      <c r="M555" s="27"/>
      <c r="N555" s="27"/>
      <c r="O555" s="27"/>
      <c r="P555" s="27"/>
    </row>
    <row r="556">
      <c r="A556" s="27"/>
      <c r="B556" s="35"/>
      <c r="C556" s="27"/>
      <c r="D556" s="36"/>
      <c r="E556" s="34"/>
      <c r="F556" s="38"/>
      <c r="G556" s="34"/>
      <c r="H556" s="34"/>
      <c r="I556" s="27"/>
      <c r="J556" s="27"/>
      <c r="K556" s="27"/>
      <c r="L556" s="27"/>
      <c r="M556" s="27"/>
      <c r="N556" s="27"/>
      <c r="O556" s="27"/>
      <c r="P556" s="27"/>
    </row>
    <row r="557">
      <c r="A557" s="27"/>
      <c r="B557" s="35"/>
      <c r="C557" s="27"/>
      <c r="D557" s="36"/>
      <c r="E557" s="34"/>
      <c r="F557" s="38"/>
      <c r="G557" s="34"/>
      <c r="H557" s="34"/>
      <c r="I557" s="27"/>
      <c r="J557" s="27"/>
      <c r="K557" s="27"/>
      <c r="L557" s="27"/>
      <c r="M557" s="27"/>
      <c r="N557" s="27"/>
      <c r="O557" s="27"/>
      <c r="P557" s="27"/>
    </row>
    <row r="558">
      <c r="A558" s="27"/>
      <c r="B558" s="35"/>
      <c r="C558" s="27"/>
      <c r="D558" s="36"/>
      <c r="E558" s="34"/>
      <c r="F558" s="38"/>
      <c r="G558" s="34"/>
      <c r="H558" s="34"/>
      <c r="I558" s="27"/>
      <c r="J558" s="27"/>
      <c r="K558" s="27"/>
      <c r="L558" s="27"/>
      <c r="M558" s="27"/>
      <c r="N558" s="27"/>
      <c r="O558" s="27"/>
      <c r="P558" s="27"/>
    </row>
    <row r="559">
      <c r="A559" s="27"/>
      <c r="B559" s="35"/>
      <c r="C559" s="27"/>
      <c r="D559" s="36"/>
      <c r="E559" s="34"/>
      <c r="F559" s="38"/>
      <c r="G559" s="34"/>
      <c r="H559" s="34"/>
      <c r="I559" s="27"/>
      <c r="J559" s="27"/>
      <c r="K559" s="27"/>
      <c r="L559" s="27"/>
      <c r="M559" s="27"/>
      <c r="N559" s="27"/>
      <c r="O559" s="27"/>
      <c r="P559" s="27"/>
    </row>
    <row r="560">
      <c r="A560" s="27"/>
      <c r="B560" s="35"/>
      <c r="C560" s="27"/>
      <c r="D560" s="36"/>
      <c r="E560" s="34"/>
      <c r="F560" s="38"/>
      <c r="G560" s="34"/>
      <c r="H560" s="34"/>
      <c r="I560" s="27"/>
      <c r="J560" s="27"/>
      <c r="K560" s="27"/>
      <c r="L560" s="27"/>
      <c r="M560" s="27"/>
      <c r="N560" s="27"/>
      <c r="O560" s="27"/>
      <c r="P560" s="27"/>
    </row>
    <row r="561">
      <c r="A561" s="27"/>
      <c r="B561" s="35"/>
      <c r="C561" s="27"/>
      <c r="D561" s="36"/>
      <c r="E561" s="34"/>
      <c r="F561" s="38"/>
      <c r="G561" s="34"/>
      <c r="H561" s="34"/>
      <c r="I561" s="27"/>
      <c r="J561" s="27"/>
      <c r="K561" s="27"/>
      <c r="L561" s="27"/>
      <c r="M561" s="27"/>
      <c r="N561" s="27"/>
      <c r="O561" s="27"/>
      <c r="P561" s="27"/>
    </row>
    <row r="562">
      <c r="A562" s="27"/>
      <c r="B562" s="35"/>
      <c r="C562" s="27"/>
      <c r="D562" s="36"/>
      <c r="E562" s="34"/>
      <c r="F562" s="38"/>
      <c r="G562" s="34"/>
      <c r="H562" s="34"/>
      <c r="I562" s="27"/>
      <c r="J562" s="27"/>
      <c r="K562" s="27"/>
      <c r="L562" s="27"/>
      <c r="M562" s="27"/>
      <c r="N562" s="27"/>
      <c r="O562" s="27"/>
      <c r="P562" s="27"/>
    </row>
    <row r="563">
      <c r="A563" s="27"/>
      <c r="B563" s="35"/>
      <c r="C563" s="27"/>
      <c r="D563" s="36"/>
      <c r="E563" s="34"/>
      <c r="F563" s="38"/>
      <c r="G563" s="34"/>
      <c r="H563" s="34"/>
      <c r="I563" s="27"/>
      <c r="J563" s="27"/>
      <c r="K563" s="27"/>
      <c r="L563" s="27"/>
      <c r="M563" s="27"/>
      <c r="N563" s="27"/>
      <c r="O563" s="27"/>
      <c r="P563" s="27"/>
    </row>
    <row r="564">
      <c r="A564" s="27"/>
      <c r="B564" s="35"/>
      <c r="C564" s="27"/>
      <c r="D564" s="36"/>
      <c r="E564" s="34"/>
      <c r="F564" s="38"/>
      <c r="G564" s="34"/>
      <c r="H564" s="34"/>
      <c r="I564" s="27"/>
      <c r="J564" s="27"/>
      <c r="K564" s="27"/>
      <c r="L564" s="27"/>
      <c r="M564" s="27"/>
      <c r="N564" s="27"/>
      <c r="O564" s="27"/>
      <c r="P564" s="27"/>
    </row>
    <row r="565">
      <c r="A565" s="27"/>
      <c r="B565" s="35"/>
      <c r="C565" s="27"/>
      <c r="D565" s="36"/>
      <c r="E565" s="34"/>
      <c r="F565" s="38"/>
      <c r="G565" s="34"/>
      <c r="H565" s="34"/>
      <c r="I565" s="27"/>
      <c r="J565" s="27"/>
      <c r="K565" s="27"/>
      <c r="L565" s="27"/>
      <c r="M565" s="27"/>
      <c r="N565" s="27"/>
      <c r="O565" s="27"/>
      <c r="P565" s="27"/>
    </row>
    <row r="566">
      <c r="A566" s="27"/>
      <c r="B566" s="35"/>
      <c r="C566" s="27"/>
      <c r="D566" s="36"/>
      <c r="E566" s="34"/>
      <c r="F566" s="38"/>
      <c r="G566" s="34"/>
      <c r="H566" s="34"/>
      <c r="I566" s="27"/>
      <c r="J566" s="27"/>
      <c r="K566" s="27"/>
      <c r="L566" s="27"/>
      <c r="M566" s="27"/>
      <c r="N566" s="27"/>
      <c r="O566" s="27"/>
      <c r="P566" s="27"/>
    </row>
    <row r="567">
      <c r="A567" s="27"/>
      <c r="B567" s="35"/>
      <c r="C567" s="27"/>
      <c r="D567" s="36"/>
      <c r="E567" s="34"/>
      <c r="F567" s="38"/>
      <c r="G567" s="34"/>
      <c r="H567" s="34"/>
      <c r="I567" s="27"/>
      <c r="J567" s="27"/>
      <c r="K567" s="27"/>
      <c r="L567" s="27"/>
      <c r="M567" s="27"/>
      <c r="N567" s="27"/>
      <c r="O567" s="27"/>
      <c r="P567" s="27"/>
    </row>
    <row r="568">
      <c r="A568" s="27"/>
      <c r="B568" s="35"/>
      <c r="C568" s="27"/>
      <c r="D568" s="36"/>
      <c r="E568" s="34"/>
      <c r="F568" s="38"/>
      <c r="G568" s="34"/>
      <c r="H568" s="34"/>
      <c r="I568" s="27"/>
      <c r="J568" s="27"/>
      <c r="K568" s="27"/>
      <c r="L568" s="27"/>
      <c r="M568" s="27"/>
      <c r="N568" s="27"/>
      <c r="O568" s="27"/>
      <c r="P568" s="27"/>
    </row>
    <row r="569">
      <c r="A569" s="27"/>
      <c r="B569" s="35"/>
      <c r="C569" s="27"/>
      <c r="D569" s="36"/>
      <c r="E569" s="34"/>
      <c r="F569" s="38"/>
      <c r="G569" s="34"/>
      <c r="H569" s="34"/>
      <c r="I569" s="27"/>
      <c r="J569" s="27"/>
      <c r="K569" s="27"/>
      <c r="L569" s="27"/>
      <c r="M569" s="27"/>
      <c r="N569" s="27"/>
      <c r="O569" s="27"/>
      <c r="P569" s="27"/>
    </row>
    <row r="570">
      <c r="A570" s="27"/>
      <c r="B570" s="35"/>
      <c r="C570" s="27"/>
      <c r="D570" s="36"/>
      <c r="E570" s="34"/>
      <c r="F570" s="38"/>
      <c r="G570" s="34"/>
      <c r="H570" s="34"/>
      <c r="I570" s="27"/>
      <c r="J570" s="27"/>
      <c r="K570" s="27"/>
      <c r="L570" s="27"/>
      <c r="M570" s="27"/>
      <c r="N570" s="27"/>
      <c r="O570" s="27"/>
      <c r="P570" s="27"/>
    </row>
    <row r="571">
      <c r="A571" s="27"/>
      <c r="B571" s="35"/>
      <c r="C571" s="27"/>
      <c r="D571" s="36"/>
      <c r="E571" s="34"/>
      <c r="F571" s="38"/>
      <c r="G571" s="34"/>
      <c r="H571" s="34"/>
      <c r="I571" s="27"/>
      <c r="J571" s="27"/>
      <c r="K571" s="27"/>
      <c r="L571" s="27"/>
      <c r="M571" s="27"/>
      <c r="N571" s="27"/>
      <c r="O571" s="27"/>
      <c r="P571" s="27"/>
    </row>
    <row r="572">
      <c r="A572" s="27"/>
      <c r="B572" s="35"/>
      <c r="C572" s="27"/>
      <c r="D572" s="36"/>
      <c r="E572" s="34"/>
      <c r="F572" s="38"/>
      <c r="G572" s="34"/>
      <c r="H572" s="34"/>
      <c r="I572" s="27"/>
      <c r="J572" s="27"/>
      <c r="K572" s="27"/>
      <c r="L572" s="27"/>
      <c r="M572" s="27"/>
      <c r="N572" s="27"/>
      <c r="O572" s="27"/>
      <c r="P572" s="27"/>
    </row>
    <row r="573">
      <c r="A573" s="27"/>
      <c r="B573" s="35"/>
      <c r="C573" s="27"/>
      <c r="D573" s="36"/>
      <c r="E573" s="34"/>
      <c r="F573" s="38"/>
      <c r="G573" s="34"/>
      <c r="H573" s="34"/>
      <c r="I573" s="27"/>
      <c r="J573" s="27"/>
      <c r="K573" s="27"/>
      <c r="L573" s="27"/>
      <c r="M573" s="27"/>
      <c r="N573" s="27"/>
      <c r="O573" s="27"/>
      <c r="P573" s="27"/>
    </row>
    <row r="574">
      <c r="A574" s="27"/>
      <c r="B574" s="35"/>
      <c r="C574" s="27"/>
      <c r="D574" s="36"/>
      <c r="E574" s="34"/>
      <c r="F574" s="38"/>
      <c r="G574" s="34"/>
      <c r="H574" s="34"/>
      <c r="I574" s="27"/>
      <c r="J574" s="27"/>
      <c r="K574" s="27"/>
      <c r="L574" s="27"/>
      <c r="M574" s="27"/>
      <c r="N574" s="27"/>
      <c r="O574" s="27"/>
      <c r="P574" s="27"/>
    </row>
    <row r="575">
      <c r="A575" s="27"/>
      <c r="B575" s="35"/>
      <c r="C575" s="27"/>
      <c r="D575" s="36"/>
      <c r="E575" s="34"/>
      <c r="F575" s="38"/>
      <c r="G575" s="34"/>
      <c r="H575" s="34"/>
      <c r="I575" s="27"/>
      <c r="J575" s="27"/>
      <c r="K575" s="27"/>
      <c r="L575" s="27"/>
      <c r="M575" s="27"/>
      <c r="N575" s="27"/>
      <c r="O575" s="27"/>
      <c r="P575" s="27"/>
    </row>
    <row r="576">
      <c r="A576" s="27"/>
      <c r="B576" s="35"/>
      <c r="C576" s="27"/>
      <c r="D576" s="36"/>
      <c r="E576" s="34"/>
      <c r="F576" s="38"/>
      <c r="G576" s="34"/>
      <c r="H576" s="34"/>
      <c r="I576" s="27"/>
      <c r="J576" s="27"/>
      <c r="K576" s="27"/>
      <c r="L576" s="27"/>
      <c r="M576" s="27"/>
      <c r="N576" s="27"/>
      <c r="O576" s="27"/>
      <c r="P576" s="27"/>
    </row>
    <row r="577">
      <c r="A577" s="27"/>
      <c r="B577" s="35"/>
      <c r="C577" s="27"/>
      <c r="D577" s="36"/>
      <c r="E577" s="34"/>
      <c r="F577" s="38"/>
      <c r="G577" s="34"/>
      <c r="H577" s="34"/>
      <c r="I577" s="27"/>
      <c r="J577" s="27"/>
      <c r="K577" s="27"/>
      <c r="L577" s="27"/>
      <c r="M577" s="27"/>
      <c r="N577" s="27"/>
      <c r="O577" s="27"/>
      <c r="P577" s="27"/>
    </row>
    <row r="578">
      <c r="A578" s="27"/>
      <c r="B578" s="35"/>
      <c r="C578" s="27"/>
      <c r="D578" s="36"/>
      <c r="E578" s="34"/>
      <c r="F578" s="38"/>
      <c r="G578" s="34"/>
      <c r="H578" s="34"/>
      <c r="I578" s="27"/>
      <c r="J578" s="27"/>
      <c r="K578" s="27"/>
      <c r="L578" s="27"/>
      <c r="M578" s="27"/>
      <c r="N578" s="27"/>
      <c r="O578" s="27"/>
      <c r="P578" s="27"/>
    </row>
    <row r="579">
      <c r="A579" s="27"/>
      <c r="B579" s="35"/>
      <c r="C579" s="27"/>
      <c r="D579" s="36"/>
      <c r="E579" s="34"/>
      <c r="F579" s="38"/>
      <c r="G579" s="34"/>
      <c r="H579" s="34"/>
      <c r="I579" s="27"/>
      <c r="J579" s="27"/>
      <c r="K579" s="27"/>
      <c r="L579" s="27"/>
      <c r="M579" s="27"/>
      <c r="N579" s="27"/>
      <c r="O579" s="27"/>
      <c r="P579" s="27"/>
    </row>
    <row r="580">
      <c r="A580" s="27"/>
      <c r="B580" s="35"/>
      <c r="C580" s="27"/>
      <c r="D580" s="36"/>
      <c r="E580" s="34"/>
      <c r="F580" s="38"/>
      <c r="G580" s="34"/>
      <c r="H580" s="34"/>
      <c r="I580" s="27"/>
      <c r="J580" s="27"/>
      <c r="K580" s="27"/>
      <c r="L580" s="27"/>
      <c r="M580" s="27"/>
      <c r="N580" s="27"/>
      <c r="O580" s="27"/>
      <c r="P580" s="27"/>
    </row>
    <row r="581">
      <c r="A581" s="27"/>
      <c r="B581" s="35"/>
      <c r="C581" s="27"/>
      <c r="D581" s="36"/>
      <c r="E581" s="34"/>
      <c r="F581" s="38"/>
      <c r="G581" s="34"/>
      <c r="H581" s="34"/>
      <c r="I581" s="27"/>
      <c r="J581" s="27"/>
      <c r="K581" s="27"/>
      <c r="L581" s="27"/>
      <c r="M581" s="27"/>
      <c r="N581" s="27"/>
      <c r="O581" s="27"/>
      <c r="P581" s="27"/>
    </row>
    <row r="582">
      <c r="A582" s="27"/>
      <c r="B582" s="35"/>
      <c r="C582" s="27"/>
      <c r="D582" s="36"/>
      <c r="E582" s="34"/>
      <c r="F582" s="38"/>
      <c r="G582" s="34"/>
      <c r="H582" s="34"/>
      <c r="I582" s="27"/>
      <c r="J582" s="27"/>
      <c r="K582" s="27"/>
      <c r="L582" s="27"/>
      <c r="M582" s="27"/>
      <c r="N582" s="27"/>
      <c r="O582" s="27"/>
      <c r="P582" s="27"/>
    </row>
    <row r="583">
      <c r="A583" s="27"/>
      <c r="B583" s="35"/>
      <c r="C583" s="27"/>
      <c r="D583" s="36"/>
      <c r="E583" s="34"/>
      <c r="F583" s="38"/>
      <c r="G583" s="34"/>
      <c r="H583" s="34"/>
      <c r="I583" s="27"/>
      <c r="J583" s="27"/>
      <c r="K583" s="27"/>
      <c r="L583" s="27"/>
      <c r="M583" s="27"/>
      <c r="N583" s="27"/>
      <c r="O583" s="27"/>
      <c r="P583" s="27"/>
    </row>
    <row r="584">
      <c r="A584" s="27"/>
      <c r="B584" s="35"/>
      <c r="C584" s="27"/>
      <c r="D584" s="36"/>
      <c r="E584" s="34"/>
      <c r="F584" s="38"/>
      <c r="G584" s="34"/>
      <c r="H584" s="34"/>
      <c r="I584" s="27"/>
      <c r="J584" s="27"/>
      <c r="K584" s="27"/>
      <c r="L584" s="27"/>
      <c r="M584" s="27"/>
      <c r="N584" s="27"/>
      <c r="O584" s="27"/>
      <c r="P584" s="27"/>
    </row>
    <row r="585">
      <c r="A585" s="27"/>
      <c r="B585" s="35"/>
      <c r="C585" s="27"/>
      <c r="D585" s="36"/>
      <c r="E585" s="34"/>
      <c r="F585" s="38"/>
      <c r="G585" s="34"/>
      <c r="H585" s="34"/>
      <c r="I585" s="27"/>
      <c r="J585" s="27"/>
      <c r="K585" s="27"/>
      <c r="L585" s="27"/>
      <c r="M585" s="27"/>
      <c r="N585" s="27"/>
      <c r="O585" s="27"/>
      <c r="P585" s="27"/>
    </row>
    <row r="586">
      <c r="A586" s="27"/>
      <c r="B586" s="35"/>
      <c r="C586" s="27"/>
      <c r="D586" s="36"/>
      <c r="E586" s="34"/>
      <c r="F586" s="38"/>
      <c r="G586" s="34"/>
      <c r="H586" s="34"/>
      <c r="I586" s="27"/>
      <c r="J586" s="27"/>
      <c r="K586" s="27"/>
      <c r="L586" s="27"/>
      <c r="M586" s="27"/>
      <c r="N586" s="27"/>
      <c r="O586" s="27"/>
      <c r="P586" s="27"/>
    </row>
    <row r="587">
      <c r="A587" s="27"/>
      <c r="B587" s="35"/>
      <c r="C587" s="27"/>
      <c r="D587" s="36"/>
      <c r="E587" s="34"/>
      <c r="F587" s="38"/>
      <c r="G587" s="34"/>
      <c r="H587" s="34"/>
      <c r="I587" s="27"/>
      <c r="J587" s="27"/>
      <c r="K587" s="27"/>
      <c r="L587" s="27"/>
      <c r="M587" s="27"/>
      <c r="N587" s="27"/>
      <c r="O587" s="27"/>
      <c r="P587" s="27"/>
    </row>
    <row r="588">
      <c r="A588" s="27"/>
      <c r="B588" s="35"/>
      <c r="C588" s="27"/>
      <c r="D588" s="36"/>
      <c r="E588" s="34"/>
      <c r="F588" s="38"/>
      <c r="G588" s="34"/>
      <c r="H588" s="34"/>
      <c r="I588" s="27"/>
      <c r="J588" s="27"/>
      <c r="K588" s="27"/>
      <c r="L588" s="27"/>
      <c r="M588" s="27"/>
      <c r="N588" s="27"/>
      <c r="O588" s="27"/>
      <c r="P588" s="27"/>
    </row>
    <row r="589">
      <c r="A589" s="27"/>
      <c r="B589" s="35"/>
      <c r="C589" s="27"/>
      <c r="D589" s="36"/>
      <c r="E589" s="34"/>
      <c r="F589" s="38"/>
      <c r="G589" s="34"/>
      <c r="H589" s="34"/>
      <c r="I589" s="27"/>
      <c r="J589" s="27"/>
      <c r="K589" s="27"/>
      <c r="L589" s="27"/>
      <c r="M589" s="27"/>
      <c r="N589" s="27"/>
      <c r="O589" s="27"/>
      <c r="P589" s="27"/>
    </row>
    <row r="590">
      <c r="A590" s="27"/>
      <c r="B590" s="35"/>
      <c r="C590" s="27"/>
      <c r="D590" s="36"/>
      <c r="E590" s="34"/>
      <c r="F590" s="38"/>
      <c r="G590" s="34"/>
      <c r="H590" s="34"/>
      <c r="I590" s="27"/>
      <c r="J590" s="27"/>
      <c r="K590" s="27"/>
      <c r="L590" s="27"/>
      <c r="M590" s="27"/>
      <c r="N590" s="27"/>
      <c r="O590" s="27"/>
      <c r="P590" s="27"/>
    </row>
    <row r="591">
      <c r="A591" s="27"/>
      <c r="B591" s="35"/>
      <c r="C591" s="27"/>
      <c r="D591" s="36"/>
      <c r="E591" s="34"/>
      <c r="F591" s="38"/>
      <c r="G591" s="34"/>
      <c r="H591" s="34"/>
      <c r="I591" s="27"/>
      <c r="J591" s="27"/>
      <c r="K591" s="27"/>
      <c r="L591" s="27"/>
      <c r="M591" s="27"/>
      <c r="N591" s="27"/>
      <c r="O591" s="27"/>
      <c r="P591" s="27"/>
    </row>
    <row r="592">
      <c r="A592" s="27"/>
      <c r="B592" s="35"/>
      <c r="C592" s="27"/>
      <c r="D592" s="36"/>
      <c r="E592" s="34"/>
      <c r="F592" s="38"/>
      <c r="G592" s="34"/>
      <c r="H592" s="34"/>
      <c r="I592" s="27"/>
      <c r="J592" s="27"/>
      <c r="K592" s="27"/>
      <c r="L592" s="27"/>
      <c r="M592" s="27"/>
      <c r="N592" s="27"/>
      <c r="O592" s="27"/>
      <c r="P592" s="27"/>
    </row>
    <row r="593">
      <c r="A593" s="27"/>
      <c r="B593" s="35"/>
      <c r="C593" s="27"/>
      <c r="D593" s="36"/>
      <c r="E593" s="34"/>
      <c r="F593" s="38"/>
      <c r="G593" s="34"/>
      <c r="H593" s="34"/>
      <c r="I593" s="27"/>
      <c r="J593" s="27"/>
      <c r="K593" s="27"/>
      <c r="L593" s="27"/>
      <c r="M593" s="27"/>
      <c r="N593" s="27"/>
      <c r="O593" s="27"/>
      <c r="P593" s="27"/>
    </row>
    <row r="594">
      <c r="A594" s="27"/>
      <c r="B594" s="35"/>
      <c r="C594" s="27"/>
      <c r="D594" s="36"/>
      <c r="E594" s="34"/>
      <c r="F594" s="38"/>
      <c r="G594" s="34"/>
      <c r="H594" s="34"/>
      <c r="I594" s="27"/>
      <c r="J594" s="27"/>
      <c r="K594" s="27"/>
      <c r="L594" s="27"/>
      <c r="M594" s="27"/>
      <c r="N594" s="27"/>
      <c r="O594" s="27"/>
      <c r="P594" s="27"/>
    </row>
    <row r="595">
      <c r="A595" s="27"/>
      <c r="B595" s="35"/>
      <c r="C595" s="27"/>
      <c r="D595" s="36"/>
      <c r="E595" s="34"/>
      <c r="F595" s="38"/>
      <c r="G595" s="34"/>
      <c r="H595" s="34"/>
      <c r="I595" s="27"/>
      <c r="J595" s="27"/>
      <c r="K595" s="27"/>
      <c r="L595" s="27"/>
      <c r="M595" s="27"/>
      <c r="N595" s="27"/>
      <c r="O595" s="27"/>
      <c r="P595" s="27"/>
    </row>
    <row r="596">
      <c r="A596" s="27"/>
      <c r="B596" s="35"/>
      <c r="C596" s="27"/>
      <c r="D596" s="36"/>
      <c r="E596" s="34"/>
      <c r="F596" s="38"/>
      <c r="G596" s="34"/>
      <c r="H596" s="34"/>
      <c r="I596" s="27"/>
      <c r="J596" s="27"/>
      <c r="K596" s="27"/>
      <c r="L596" s="27"/>
      <c r="M596" s="27"/>
      <c r="N596" s="27"/>
      <c r="O596" s="27"/>
      <c r="P596" s="27"/>
    </row>
    <row r="597">
      <c r="A597" s="27"/>
      <c r="B597" s="35"/>
      <c r="C597" s="27"/>
      <c r="D597" s="36"/>
      <c r="E597" s="34"/>
      <c r="F597" s="38"/>
      <c r="G597" s="34"/>
      <c r="H597" s="34"/>
      <c r="I597" s="27"/>
      <c r="J597" s="27"/>
      <c r="K597" s="27"/>
      <c r="L597" s="27"/>
      <c r="M597" s="27"/>
      <c r="N597" s="27"/>
      <c r="O597" s="27"/>
      <c r="P597" s="27"/>
    </row>
    <row r="598">
      <c r="A598" s="27"/>
      <c r="B598" s="35"/>
      <c r="C598" s="27"/>
      <c r="D598" s="36"/>
      <c r="E598" s="34"/>
      <c r="F598" s="38"/>
      <c r="G598" s="34"/>
      <c r="H598" s="34"/>
      <c r="I598" s="27"/>
      <c r="J598" s="27"/>
      <c r="K598" s="27"/>
      <c r="L598" s="27"/>
      <c r="M598" s="27"/>
      <c r="N598" s="27"/>
      <c r="O598" s="27"/>
      <c r="P598" s="27"/>
    </row>
    <row r="599">
      <c r="A599" s="27"/>
      <c r="B599" s="35"/>
      <c r="C599" s="27"/>
      <c r="D599" s="36"/>
      <c r="E599" s="34"/>
      <c r="F599" s="38"/>
      <c r="G599" s="34"/>
      <c r="H599" s="34"/>
      <c r="I599" s="27"/>
      <c r="J599" s="27"/>
      <c r="K599" s="27"/>
      <c r="L599" s="27"/>
      <c r="M599" s="27"/>
      <c r="N599" s="27"/>
      <c r="O599" s="27"/>
      <c r="P599" s="27"/>
    </row>
    <row r="600">
      <c r="A600" s="27"/>
      <c r="B600" s="35"/>
      <c r="C600" s="27"/>
      <c r="D600" s="36"/>
      <c r="E600" s="34"/>
      <c r="F600" s="38"/>
      <c r="G600" s="34"/>
      <c r="H600" s="34"/>
      <c r="I600" s="27"/>
      <c r="J600" s="27"/>
      <c r="K600" s="27"/>
      <c r="L600" s="27"/>
      <c r="M600" s="27"/>
      <c r="N600" s="27"/>
      <c r="O600" s="27"/>
      <c r="P600" s="27"/>
    </row>
    <row r="601">
      <c r="A601" s="27"/>
      <c r="B601" s="35"/>
      <c r="C601" s="27"/>
      <c r="D601" s="36"/>
      <c r="E601" s="34"/>
      <c r="F601" s="38"/>
      <c r="G601" s="34"/>
      <c r="H601" s="34"/>
      <c r="I601" s="27"/>
      <c r="J601" s="27"/>
      <c r="K601" s="27"/>
      <c r="L601" s="27"/>
      <c r="M601" s="27"/>
      <c r="N601" s="27"/>
      <c r="O601" s="27"/>
      <c r="P601" s="27"/>
    </row>
    <row r="602">
      <c r="A602" s="27"/>
      <c r="B602" s="35"/>
      <c r="C602" s="27"/>
      <c r="D602" s="36"/>
      <c r="E602" s="34"/>
      <c r="F602" s="38"/>
      <c r="G602" s="34"/>
      <c r="H602" s="34"/>
      <c r="I602" s="27"/>
      <c r="J602" s="27"/>
      <c r="K602" s="27"/>
      <c r="L602" s="27"/>
      <c r="M602" s="27"/>
      <c r="N602" s="27"/>
      <c r="O602" s="27"/>
      <c r="P602" s="27"/>
    </row>
    <row r="603">
      <c r="A603" s="27"/>
      <c r="B603" s="35"/>
      <c r="C603" s="27"/>
      <c r="D603" s="36"/>
      <c r="E603" s="34"/>
      <c r="F603" s="38"/>
      <c r="G603" s="34"/>
      <c r="H603" s="34"/>
      <c r="I603" s="27"/>
      <c r="J603" s="27"/>
      <c r="K603" s="27"/>
      <c r="L603" s="27"/>
      <c r="M603" s="27"/>
      <c r="N603" s="27"/>
      <c r="O603" s="27"/>
      <c r="P603" s="27"/>
    </row>
    <row r="604">
      <c r="A604" s="27"/>
      <c r="B604" s="35"/>
      <c r="C604" s="27"/>
      <c r="D604" s="36"/>
      <c r="E604" s="34"/>
      <c r="F604" s="38"/>
      <c r="G604" s="34"/>
      <c r="H604" s="34"/>
      <c r="I604" s="27"/>
      <c r="J604" s="27"/>
      <c r="K604" s="27"/>
      <c r="L604" s="27"/>
      <c r="M604" s="27"/>
      <c r="N604" s="27"/>
      <c r="O604" s="27"/>
      <c r="P604" s="27"/>
    </row>
    <row r="605">
      <c r="A605" s="27"/>
      <c r="B605" s="35"/>
      <c r="C605" s="27"/>
      <c r="D605" s="36"/>
      <c r="E605" s="34"/>
      <c r="F605" s="38"/>
      <c r="G605" s="34"/>
      <c r="H605" s="34"/>
      <c r="I605" s="27"/>
      <c r="J605" s="27"/>
      <c r="K605" s="27"/>
      <c r="L605" s="27"/>
      <c r="M605" s="27"/>
      <c r="N605" s="27"/>
      <c r="O605" s="27"/>
      <c r="P605" s="27"/>
    </row>
    <row r="606">
      <c r="A606" s="27"/>
      <c r="B606" s="35"/>
      <c r="C606" s="27"/>
      <c r="D606" s="36"/>
      <c r="E606" s="34"/>
      <c r="F606" s="38"/>
      <c r="G606" s="34"/>
      <c r="H606" s="34"/>
      <c r="I606" s="27"/>
      <c r="J606" s="27"/>
      <c r="K606" s="27"/>
      <c r="L606" s="27"/>
      <c r="M606" s="27"/>
      <c r="N606" s="27"/>
      <c r="O606" s="27"/>
      <c r="P606" s="27"/>
    </row>
    <row r="607">
      <c r="A607" s="27"/>
      <c r="B607" s="35"/>
      <c r="C607" s="27"/>
      <c r="D607" s="36"/>
      <c r="E607" s="34"/>
      <c r="F607" s="38"/>
      <c r="G607" s="34"/>
      <c r="H607" s="34"/>
      <c r="I607" s="27"/>
      <c r="J607" s="27"/>
      <c r="K607" s="27"/>
      <c r="L607" s="27"/>
      <c r="M607" s="27"/>
      <c r="N607" s="27"/>
      <c r="O607" s="27"/>
      <c r="P607" s="27"/>
    </row>
    <row r="608">
      <c r="A608" s="27"/>
      <c r="B608" s="35"/>
      <c r="C608" s="27"/>
      <c r="D608" s="36"/>
      <c r="E608" s="34"/>
      <c r="F608" s="38"/>
      <c r="G608" s="34"/>
      <c r="H608" s="34"/>
      <c r="I608" s="27"/>
      <c r="J608" s="27"/>
      <c r="K608" s="27"/>
      <c r="L608" s="27"/>
      <c r="M608" s="27"/>
      <c r="N608" s="27"/>
      <c r="O608" s="27"/>
      <c r="P608" s="27"/>
    </row>
    <row r="609">
      <c r="A609" s="27"/>
      <c r="B609" s="35"/>
      <c r="C609" s="27"/>
      <c r="D609" s="36"/>
      <c r="E609" s="34"/>
      <c r="F609" s="38"/>
      <c r="G609" s="34"/>
      <c r="H609" s="34"/>
      <c r="I609" s="27"/>
      <c r="J609" s="27"/>
      <c r="K609" s="27"/>
      <c r="L609" s="27"/>
      <c r="M609" s="27"/>
      <c r="N609" s="27"/>
      <c r="O609" s="27"/>
      <c r="P609" s="27"/>
    </row>
    <row r="610">
      <c r="A610" s="27"/>
      <c r="B610" s="35"/>
      <c r="C610" s="27"/>
      <c r="D610" s="36"/>
      <c r="E610" s="34"/>
      <c r="F610" s="38"/>
      <c r="G610" s="34"/>
      <c r="H610" s="34"/>
      <c r="I610" s="27"/>
      <c r="J610" s="27"/>
      <c r="K610" s="27"/>
      <c r="L610" s="27"/>
      <c r="M610" s="27"/>
      <c r="N610" s="27"/>
      <c r="O610" s="27"/>
      <c r="P610" s="27"/>
    </row>
    <row r="611">
      <c r="A611" s="27"/>
      <c r="B611" s="35"/>
      <c r="C611" s="27"/>
      <c r="D611" s="36"/>
      <c r="E611" s="34"/>
      <c r="F611" s="38"/>
      <c r="G611" s="34"/>
      <c r="H611" s="34"/>
      <c r="I611" s="27"/>
      <c r="J611" s="27"/>
      <c r="K611" s="27"/>
      <c r="L611" s="27"/>
      <c r="M611" s="27"/>
      <c r="N611" s="27"/>
      <c r="O611" s="27"/>
      <c r="P611" s="27"/>
    </row>
    <row r="612">
      <c r="A612" s="27"/>
      <c r="B612" s="35"/>
      <c r="C612" s="27"/>
      <c r="D612" s="36"/>
      <c r="E612" s="34"/>
      <c r="F612" s="38"/>
      <c r="G612" s="34"/>
      <c r="H612" s="34"/>
      <c r="I612" s="27"/>
      <c r="J612" s="27"/>
      <c r="K612" s="27"/>
      <c r="L612" s="27"/>
      <c r="M612" s="27"/>
      <c r="N612" s="27"/>
      <c r="O612" s="27"/>
      <c r="P612" s="27"/>
    </row>
    <row r="613">
      <c r="A613" s="27"/>
      <c r="B613" s="35"/>
      <c r="C613" s="27"/>
      <c r="D613" s="36"/>
      <c r="E613" s="34"/>
      <c r="F613" s="38"/>
      <c r="G613" s="34"/>
      <c r="H613" s="34"/>
      <c r="I613" s="27"/>
      <c r="J613" s="27"/>
      <c r="K613" s="27"/>
      <c r="L613" s="27"/>
      <c r="M613" s="27"/>
      <c r="N613" s="27"/>
      <c r="O613" s="27"/>
      <c r="P613" s="27"/>
    </row>
    <row r="614">
      <c r="A614" s="27"/>
      <c r="B614" s="35"/>
      <c r="C614" s="27"/>
      <c r="D614" s="36"/>
      <c r="E614" s="34"/>
      <c r="F614" s="38"/>
      <c r="G614" s="34"/>
      <c r="H614" s="34"/>
      <c r="I614" s="27"/>
      <c r="J614" s="27"/>
      <c r="K614" s="27"/>
      <c r="L614" s="27"/>
      <c r="M614" s="27"/>
      <c r="N614" s="27"/>
      <c r="O614" s="27"/>
      <c r="P614" s="27"/>
    </row>
    <row r="615">
      <c r="A615" s="27"/>
      <c r="B615" s="35"/>
      <c r="C615" s="27"/>
      <c r="D615" s="36"/>
      <c r="E615" s="34"/>
      <c r="F615" s="38"/>
      <c r="G615" s="34"/>
      <c r="H615" s="34"/>
      <c r="I615" s="27"/>
      <c r="J615" s="27"/>
      <c r="K615" s="27"/>
      <c r="L615" s="27"/>
      <c r="M615" s="27"/>
      <c r="N615" s="27"/>
      <c r="O615" s="27"/>
      <c r="P615" s="27"/>
    </row>
    <row r="616">
      <c r="A616" s="27"/>
      <c r="B616" s="35"/>
      <c r="C616" s="27"/>
      <c r="D616" s="36"/>
      <c r="E616" s="34"/>
      <c r="F616" s="38"/>
      <c r="G616" s="34"/>
      <c r="H616" s="34"/>
      <c r="I616" s="27"/>
      <c r="J616" s="27"/>
      <c r="K616" s="27"/>
      <c r="L616" s="27"/>
      <c r="M616" s="27"/>
      <c r="N616" s="27"/>
      <c r="O616" s="27"/>
      <c r="P616" s="27"/>
    </row>
    <row r="617">
      <c r="A617" s="27"/>
      <c r="B617" s="35"/>
      <c r="C617" s="27"/>
      <c r="D617" s="36"/>
      <c r="E617" s="34"/>
      <c r="F617" s="38"/>
      <c r="G617" s="34"/>
      <c r="H617" s="34"/>
      <c r="I617" s="27"/>
      <c r="J617" s="27"/>
      <c r="K617" s="27"/>
      <c r="L617" s="27"/>
      <c r="M617" s="27"/>
      <c r="N617" s="27"/>
      <c r="O617" s="27"/>
      <c r="P617" s="27"/>
    </row>
    <row r="618">
      <c r="A618" s="27"/>
      <c r="B618" s="35"/>
      <c r="C618" s="27"/>
      <c r="D618" s="36"/>
      <c r="E618" s="34"/>
      <c r="F618" s="38"/>
      <c r="G618" s="34"/>
      <c r="H618" s="34"/>
      <c r="I618" s="27"/>
      <c r="J618" s="27"/>
      <c r="K618" s="27"/>
      <c r="L618" s="27"/>
      <c r="M618" s="27"/>
      <c r="N618" s="27"/>
      <c r="O618" s="27"/>
      <c r="P618" s="27"/>
    </row>
    <row r="619">
      <c r="A619" s="27"/>
      <c r="B619" s="35"/>
      <c r="C619" s="27"/>
      <c r="D619" s="36"/>
      <c r="E619" s="34"/>
      <c r="F619" s="38"/>
      <c r="G619" s="34"/>
      <c r="H619" s="34"/>
      <c r="I619" s="27"/>
      <c r="J619" s="27"/>
      <c r="K619" s="27"/>
      <c r="L619" s="27"/>
      <c r="M619" s="27"/>
      <c r="N619" s="27"/>
      <c r="O619" s="27"/>
      <c r="P619" s="27"/>
    </row>
    <row r="620">
      <c r="A620" s="27"/>
      <c r="B620" s="35"/>
      <c r="C620" s="27"/>
      <c r="D620" s="36"/>
      <c r="E620" s="34"/>
      <c r="F620" s="38"/>
      <c r="G620" s="34"/>
      <c r="H620" s="34"/>
      <c r="I620" s="27"/>
      <c r="J620" s="27"/>
      <c r="K620" s="27"/>
      <c r="L620" s="27"/>
      <c r="M620" s="27"/>
      <c r="N620" s="27"/>
      <c r="O620" s="27"/>
      <c r="P620" s="27"/>
    </row>
    <row r="621">
      <c r="A621" s="27"/>
      <c r="B621" s="35"/>
      <c r="C621" s="27"/>
      <c r="D621" s="36"/>
      <c r="E621" s="34"/>
      <c r="F621" s="38"/>
      <c r="G621" s="34"/>
      <c r="H621" s="34"/>
      <c r="I621" s="27"/>
      <c r="J621" s="27"/>
      <c r="K621" s="27"/>
      <c r="L621" s="27"/>
      <c r="M621" s="27"/>
      <c r="N621" s="27"/>
      <c r="O621" s="27"/>
      <c r="P621" s="27"/>
    </row>
    <row r="622">
      <c r="A622" s="27"/>
      <c r="B622" s="35"/>
      <c r="C622" s="27"/>
      <c r="D622" s="36"/>
      <c r="E622" s="34"/>
      <c r="F622" s="38"/>
      <c r="G622" s="34"/>
      <c r="H622" s="34"/>
      <c r="I622" s="27"/>
      <c r="J622" s="27"/>
      <c r="K622" s="27"/>
      <c r="L622" s="27"/>
      <c r="M622" s="27"/>
      <c r="N622" s="27"/>
      <c r="O622" s="27"/>
      <c r="P622" s="27"/>
    </row>
    <row r="623">
      <c r="A623" s="27"/>
      <c r="B623" s="35"/>
      <c r="C623" s="27"/>
      <c r="D623" s="36"/>
      <c r="E623" s="34"/>
      <c r="F623" s="38"/>
      <c r="G623" s="34"/>
      <c r="H623" s="34"/>
      <c r="I623" s="27"/>
      <c r="J623" s="27"/>
      <c r="K623" s="27"/>
      <c r="L623" s="27"/>
      <c r="M623" s="27"/>
      <c r="N623" s="27"/>
      <c r="O623" s="27"/>
      <c r="P623" s="27"/>
    </row>
    <row r="624">
      <c r="A624" s="27"/>
      <c r="B624" s="35"/>
      <c r="C624" s="27"/>
      <c r="D624" s="36"/>
      <c r="E624" s="34"/>
      <c r="F624" s="38"/>
      <c r="G624" s="34"/>
      <c r="H624" s="34"/>
      <c r="I624" s="27"/>
      <c r="J624" s="27"/>
      <c r="K624" s="27"/>
      <c r="L624" s="27"/>
      <c r="M624" s="27"/>
      <c r="N624" s="27"/>
      <c r="O624" s="27"/>
      <c r="P624" s="27"/>
    </row>
    <row r="625">
      <c r="A625" s="27"/>
      <c r="B625" s="35"/>
      <c r="C625" s="27"/>
      <c r="D625" s="36"/>
      <c r="E625" s="34"/>
      <c r="F625" s="38"/>
      <c r="G625" s="34"/>
      <c r="H625" s="34"/>
      <c r="I625" s="27"/>
      <c r="J625" s="27"/>
      <c r="K625" s="27"/>
      <c r="L625" s="27"/>
      <c r="M625" s="27"/>
      <c r="N625" s="27"/>
      <c r="O625" s="27"/>
      <c r="P625" s="27"/>
    </row>
    <row r="626">
      <c r="A626" s="27"/>
      <c r="B626" s="35"/>
      <c r="C626" s="27"/>
      <c r="D626" s="36"/>
      <c r="E626" s="34"/>
      <c r="F626" s="38"/>
      <c r="G626" s="34"/>
      <c r="H626" s="34"/>
      <c r="I626" s="27"/>
      <c r="J626" s="27"/>
      <c r="K626" s="27"/>
      <c r="L626" s="27"/>
      <c r="M626" s="27"/>
      <c r="N626" s="27"/>
      <c r="O626" s="27"/>
      <c r="P626" s="27"/>
    </row>
    <row r="627">
      <c r="A627" s="27"/>
      <c r="B627" s="35"/>
      <c r="C627" s="27"/>
      <c r="D627" s="36"/>
      <c r="E627" s="34"/>
      <c r="F627" s="38"/>
      <c r="G627" s="34"/>
      <c r="H627" s="34"/>
      <c r="I627" s="27"/>
      <c r="J627" s="27"/>
      <c r="K627" s="27"/>
      <c r="L627" s="27"/>
      <c r="M627" s="27"/>
      <c r="N627" s="27"/>
      <c r="O627" s="27"/>
      <c r="P627" s="27"/>
    </row>
    <row r="628">
      <c r="A628" s="27"/>
      <c r="B628" s="35"/>
      <c r="C628" s="27"/>
      <c r="D628" s="36"/>
      <c r="E628" s="34"/>
      <c r="F628" s="38"/>
      <c r="G628" s="34"/>
      <c r="H628" s="34"/>
      <c r="I628" s="27"/>
      <c r="J628" s="27"/>
      <c r="K628" s="27"/>
      <c r="L628" s="27"/>
      <c r="M628" s="27"/>
      <c r="N628" s="27"/>
      <c r="O628" s="27"/>
      <c r="P628" s="27"/>
    </row>
    <row r="629">
      <c r="A629" s="27"/>
      <c r="B629" s="35"/>
      <c r="C629" s="27"/>
      <c r="D629" s="36"/>
      <c r="E629" s="34"/>
      <c r="F629" s="38"/>
      <c r="G629" s="34"/>
      <c r="H629" s="34"/>
      <c r="I629" s="27"/>
      <c r="J629" s="27"/>
      <c r="K629" s="27"/>
      <c r="L629" s="27"/>
      <c r="M629" s="27"/>
      <c r="N629" s="27"/>
      <c r="O629" s="27"/>
      <c r="P629" s="27"/>
    </row>
    <row r="630">
      <c r="A630" s="27"/>
      <c r="B630" s="35"/>
      <c r="C630" s="27"/>
      <c r="D630" s="36"/>
      <c r="E630" s="34"/>
      <c r="F630" s="38"/>
      <c r="G630" s="34"/>
      <c r="H630" s="34"/>
      <c r="I630" s="27"/>
      <c r="J630" s="27"/>
      <c r="K630" s="27"/>
      <c r="L630" s="27"/>
      <c r="M630" s="27"/>
      <c r="N630" s="27"/>
      <c r="O630" s="27"/>
      <c r="P630" s="27"/>
    </row>
    <row r="631">
      <c r="A631" s="27"/>
      <c r="B631" s="35"/>
      <c r="C631" s="27"/>
      <c r="D631" s="36"/>
      <c r="E631" s="34"/>
      <c r="F631" s="38"/>
      <c r="G631" s="34"/>
      <c r="H631" s="34"/>
      <c r="I631" s="27"/>
      <c r="J631" s="27"/>
      <c r="K631" s="27"/>
      <c r="L631" s="27"/>
      <c r="M631" s="27"/>
      <c r="N631" s="27"/>
      <c r="O631" s="27"/>
      <c r="P631" s="27"/>
    </row>
    <row r="632">
      <c r="A632" s="27"/>
      <c r="B632" s="35"/>
      <c r="C632" s="27"/>
      <c r="D632" s="36"/>
      <c r="E632" s="34"/>
      <c r="F632" s="38"/>
      <c r="G632" s="34"/>
      <c r="H632" s="34"/>
      <c r="I632" s="27"/>
      <c r="J632" s="27"/>
      <c r="K632" s="27"/>
      <c r="L632" s="27"/>
      <c r="M632" s="27"/>
      <c r="N632" s="27"/>
      <c r="O632" s="27"/>
      <c r="P632" s="27"/>
    </row>
    <row r="633">
      <c r="A633" s="27"/>
      <c r="B633" s="35"/>
      <c r="C633" s="27"/>
      <c r="D633" s="36"/>
      <c r="E633" s="34"/>
      <c r="F633" s="38"/>
      <c r="G633" s="34"/>
      <c r="H633" s="34"/>
      <c r="I633" s="27"/>
      <c r="J633" s="27"/>
      <c r="K633" s="27"/>
      <c r="L633" s="27"/>
      <c r="M633" s="27"/>
      <c r="N633" s="27"/>
      <c r="O633" s="27"/>
      <c r="P633" s="27"/>
    </row>
    <row r="634">
      <c r="A634" s="27"/>
      <c r="B634" s="35"/>
      <c r="C634" s="27"/>
      <c r="D634" s="36"/>
      <c r="E634" s="34"/>
      <c r="F634" s="38"/>
      <c r="G634" s="34"/>
      <c r="H634" s="34"/>
      <c r="I634" s="27"/>
      <c r="J634" s="27"/>
      <c r="K634" s="27"/>
      <c r="L634" s="27"/>
      <c r="M634" s="27"/>
      <c r="N634" s="27"/>
      <c r="O634" s="27"/>
      <c r="P634" s="27"/>
    </row>
    <row r="635">
      <c r="A635" s="27"/>
      <c r="B635" s="35"/>
      <c r="C635" s="27"/>
      <c r="D635" s="36"/>
      <c r="E635" s="34"/>
      <c r="F635" s="38"/>
      <c r="G635" s="34"/>
      <c r="H635" s="34"/>
      <c r="I635" s="27"/>
      <c r="J635" s="27"/>
      <c r="K635" s="27"/>
      <c r="L635" s="27"/>
      <c r="M635" s="27"/>
      <c r="N635" s="27"/>
      <c r="O635" s="27"/>
      <c r="P635" s="27"/>
    </row>
    <row r="636">
      <c r="A636" s="27"/>
      <c r="B636" s="35"/>
      <c r="C636" s="27"/>
      <c r="D636" s="36"/>
      <c r="E636" s="34"/>
      <c r="F636" s="38"/>
      <c r="G636" s="34"/>
      <c r="H636" s="34"/>
      <c r="I636" s="27"/>
      <c r="J636" s="27"/>
      <c r="K636" s="27"/>
      <c r="L636" s="27"/>
      <c r="M636" s="27"/>
      <c r="N636" s="27"/>
      <c r="O636" s="27"/>
      <c r="P636" s="27"/>
    </row>
    <row r="637">
      <c r="A637" s="27"/>
      <c r="B637" s="35"/>
      <c r="C637" s="27"/>
      <c r="D637" s="36"/>
      <c r="E637" s="34"/>
      <c r="F637" s="38"/>
      <c r="G637" s="34"/>
      <c r="H637" s="34"/>
      <c r="I637" s="27"/>
      <c r="J637" s="27"/>
      <c r="K637" s="27"/>
      <c r="L637" s="27"/>
      <c r="M637" s="27"/>
      <c r="N637" s="27"/>
      <c r="O637" s="27"/>
      <c r="P637" s="27"/>
    </row>
    <row r="638">
      <c r="A638" s="27"/>
      <c r="B638" s="35"/>
      <c r="C638" s="27"/>
      <c r="D638" s="36"/>
      <c r="E638" s="34"/>
      <c r="F638" s="38"/>
      <c r="G638" s="34"/>
      <c r="H638" s="34"/>
      <c r="I638" s="27"/>
      <c r="J638" s="27"/>
      <c r="K638" s="27"/>
      <c r="L638" s="27"/>
      <c r="M638" s="27"/>
      <c r="N638" s="27"/>
      <c r="O638" s="27"/>
      <c r="P638" s="27"/>
    </row>
    <row r="639">
      <c r="A639" s="27"/>
      <c r="B639" s="35"/>
      <c r="C639" s="27"/>
      <c r="D639" s="36"/>
      <c r="E639" s="34"/>
      <c r="F639" s="38"/>
      <c r="G639" s="34"/>
      <c r="H639" s="34"/>
      <c r="I639" s="27"/>
      <c r="J639" s="27"/>
      <c r="K639" s="27"/>
      <c r="L639" s="27"/>
      <c r="M639" s="27"/>
      <c r="N639" s="27"/>
      <c r="O639" s="27"/>
      <c r="P639" s="27"/>
    </row>
    <row r="640">
      <c r="A640" s="27"/>
      <c r="B640" s="35"/>
      <c r="C640" s="27"/>
      <c r="D640" s="36"/>
      <c r="E640" s="34"/>
      <c r="F640" s="38"/>
      <c r="G640" s="34"/>
      <c r="H640" s="34"/>
      <c r="I640" s="27"/>
      <c r="J640" s="27"/>
      <c r="K640" s="27"/>
      <c r="L640" s="27"/>
      <c r="M640" s="27"/>
      <c r="N640" s="27"/>
      <c r="O640" s="27"/>
      <c r="P640" s="27"/>
    </row>
    <row r="641">
      <c r="A641" s="27"/>
      <c r="B641" s="35"/>
      <c r="C641" s="27"/>
      <c r="D641" s="36"/>
      <c r="E641" s="34"/>
      <c r="F641" s="38"/>
      <c r="G641" s="34"/>
      <c r="H641" s="34"/>
      <c r="I641" s="27"/>
      <c r="J641" s="27"/>
      <c r="K641" s="27"/>
      <c r="L641" s="27"/>
      <c r="M641" s="27"/>
      <c r="N641" s="27"/>
      <c r="O641" s="27"/>
      <c r="P641" s="27"/>
    </row>
    <row r="642">
      <c r="A642" s="27"/>
      <c r="B642" s="35"/>
      <c r="C642" s="27"/>
      <c r="D642" s="36"/>
      <c r="E642" s="34"/>
      <c r="F642" s="38"/>
      <c r="G642" s="34"/>
      <c r="H642" s="34"/>
      <c r="I642" s="27"/>
      <c r="J642" s="27"/>
      <c r="K642" s="27"/>
      <c r="L642" s="27"/>
      <c r="M642" s="27"/>
      <c r="N642" s="27"/>
      <c r="O642" s="27"/>
      <c r="P642" s="27"/>
    </row>
    <row r="643">
      <c r="A643" s="27"/>
      <c r="B643" s="35"/>
      <c r="C643" s="27"/>
      <c r="D643" s="36"/>
      <c r="E643" s="34"/>
      <c r="F643" s="38"/>
      <c r="G643" s="34"/>
      <c r="H643" s="34"/>
      <c r="I643" s="27"/>
      <c r="J643" s="27"/>
      <c r="K643" s="27"/>
      <c r="L643" s="27"/>
      <c r="M643" s="27"/>
      <c r="N643" s="27"/>
      <c r="O643" s="27"/>
      <c r="P643" s="27"/>
    </row>
    <row r="644">
      <c r="A644" s="27"/>
      <c r="B644" s="35"/>
      <c r="C644" s="27"/>
      <c r="D644" s="36"/>
      <c r="E644" s="34"/>
      <c r="F644" s="38"/>
      <c r="G644" s="34"/>
      <c r="H644" s="34"/>
      <c r="I644" s="27"/>
      <c r="J644" s="27"/>
      <c r="K644" s="27"/>
      <c r="L644" s="27"/>
      <c r="M644" s="27"/>
      <c r="N644" s="27"/>
      <c r="O644" s="27"/>
      <c r="P644" s="27"/>
    </row>
    <row r="645">
      <c r="A645" s="27"/>
      <c r="B645" s="35"/>
      <c r="C645" s="27"/>
      <c r="D645" s="36"/>
      <c r="E645" s="34"/>
      <c r="F645" s="38"/>
      <c r="G645" s="34"/>
      <c r="H645" s="34"/>
      <c r="I645" s="27"/>
      <c r="J645" s="27"/>
      <c r="K645" s="27"/>
      <c r="L645" s="27"/>
      <c r="M645" s="27"/>
      <c r="N645" s="27"/>
      <c r="O645" s="27"/>
      <c r="P645" s="27"/>
    </row>
    <row r="646">
      <c r="A646" s="27"/>
      <c r="B646" s="35"/>
      <c r="C646" s="27"/>
      <c r="D646" s="36"/>
      <c r="E646" s="34"/>
      <c r="F646" s="38"/>
      <c r="G646" s="34"/>
      <c r="H646" s="34"/>
      <c r="I646" s="27"/>
      <c r="J646" s="27"/>
      <c r="K646" s="27"/>
      <c r="L646" s="27"/>
      <c r="M646" s="27"/>
      <c r="N646" s="27"/>
      <c r="O646" s="27"/>
      <c r="P646" s="27"/>
    </row>
    <row r="647">
      <c r="A647" s="27"/>
      <c r="B647" s="35"/>
      <c r="C647" s="27"/>
      <c r="D647" s="36"/>
      <c r="E647" s="34"/>
      <c r="F647" s="38"/>
      <c r="G647" s="34"/>
      <c r="H647" s="34"/>
      <c r="I647" s="27"/>
      <c r="J647" s="27"/>
      <c r="K647" s="27"/>
      <c r="L647" s="27"/>
      <c r="M647" s="27"/>
      <c r="N647" s="27"/>
      <c r="O647" s="27"/>
      <c r="P647" s="27"/>
    </row>
    <row r="648">
      <c r="A648" s="27"/>
      <c r="B648" s="35"/>
      <c r="C648" s="27"/>
      <c r="D648" s="36"/>
      <c r="E648" s="34"/>
      <c r="F648" s="38"/>
      <c r="G648" s="34"/>
      <c r="H648" s="34"/>
      <c r="I648" s="27"/>
      <c r="J648" s="27"/>
      <c r="K648" s="27"/>
      <c r="L648" s="27"/>
      <c r="M648" s="27"/>
      <c r="N648" s="27"/>
      <c r="O648" s="27"/>
      <c r="P648" s="27"/>
    </row>
    <row r="649">
      <c r="A649" s="27"/>
      <c r="B649" s="35"/>
      <c r="C649" s="27"/>
      <c r="D649" s="36"/>
      <c r="E649" s="34"/>
      <c r="F649" s="38"/>
      <c r="G649" s="34"/>
      <c r="H649" s="34"/>
      <c r="I649" s="27"/>
      <c r="J649" s="27"/>
      <c r="K649" s="27"/>
      <c r="L649" s="27"/>
      <c r="M649" s="27"/>
      <c r="N649" s="27"/>
      <c r="O649" s="27"/>
      <c r="P649" s="27"/>
    </row>
    <row r="650">
      <c r="A650" s="27"/>
      <c r="B650" s="35"/>
      <c r="C650" s="27"/>
      <c r="D650" s="36"/>
      <c r="E650" s="34"/>
      <c r="F650" s="38"/>
      <c r="G650" s="34"/>
      <c r="H650" s="34"/>
      <c r="I650" s="27"/>
      <c r="J650" s="27"/>
      <c r="K650" s="27"/>
      <c r="L650" s="27"/>
      <c r="M650" s="27"/>
      <c r="N650" s="27"/>
      <c r="O650" s="27"/>
      <c r="P650" s="27"/>
    </row>
    <row r="651">
      <c r="A651" s="27"/>
      <c r="B651" s="35"/>
      <c r="C651" s="27"/>
      <c r="D651" s="36"/>
      <c r="E651" s="34"/>
      <c r="F651" s="38"/>
      <c r="G651" s="34"/>
      <c r="H651" s="34"/>
      <c r="I651" s="27"/>
      <c r="J651" s="27"/>
      <c r="K651" s="27"/>
      <c r="L651" s="27"/>
      <c r="M651" s="27"/>
      <c r="N651" s="27"/>
      <c r="O651" s="27"/>
      <c r="P651" s="27"/>
    </row>
    <row r="652">
      <c r="A652" s="27"/>
      <c r="B652" s="35"/>
      <c r="C652" s="27"/>
      <c r="D652" s="36"/>
      <c r="E652" s="34"/>
      <c r="F652" s="38"/>
      <c r="G652" s="34"/>
      <c r="H652" s="34"/>
      <c r="I652" s="27"/>
      <c r="J652" s="27"/>
      <c r="K652" s="27"/>
      <c r="L652" s="27"/>
      <c r="M652" s="27"/>
      <c r="N652" s="27"/>
      <c r="O652" s="27"/>
      <c r="P652" s="27"/>
    </row>
    <row r="653">
      <c r="A653" s="27"/>
      <c r="B653" s="35"/>
      <c r="C653" s="27"/>
      <c r="D653" s="36"/>
      <c r="E653" s="34"/>
      <c r="F653" s="38"/>
      <c r="G653" s="34"/>
      <c r="H653" s="34"/>
      <c r="I653" s="27"/>
      <c r="J653" s="27"/>
      <c r="K653" s="27"/>
      <c r="L653" s="27"/>
      <c r="M653" s="27"/>
      <c r="N653" s="27"/>
      <c r="O653" s="27"/>
      <c r="P653" s="27"/>
    </row>
    <row r="654">
      <c r="A654" s="27"/>
      <c r="B654" s="35"/>
      <c r="C654" s="27"/>
      <c r="D654" s="36"/>
      <c r="E654" s="34"/>
      <c r="F654" s="38"/>
      <c r="G654" s="34"/>
      <c r="H654" s="34"/>
      <c r="I654" s="27"/>
      <c r="J654" s="27"/>
      <c r="K654" s="27"/>
      <c r="L654" s="27"/>
      <c r="M654" s="27"/>
      <c r="N654" s="27"/>
      <c r="O654" s="27"/>
      <c r="P654" s="27"/>
    </row>
    <row r="655">
      <c r="A655" s="27"/>
      <c r="B655" s="35"/>
      <c r="C655" s="27"/>
      <c r="D655" s="36"/>
      <c r="E655" s="34"/>
      <c r="F655" s="38"/>
      <c r="G655" s="34"/>
      <c r="H655" s="34"/>
      <c r="I655" s="27"/>
      <c r="J655" s="27"/>
      <c r="K655" s="27"/>
      <c r="L655" s="27"/>
      <c r="M655" s="27"/>
      <c r="N655" s="27"/>
      <c r="O655" s="27"/>
      <c r="P655" s="27"/>
    </row>
    <row r="656">
      <c r="A656" s="27"/>
      <c r="B656" s="35"/>
      <c r="C656" s="27"/>
      <c r="D656" s="36"/>
      <c r="E656" s="34"/>
      <c r="F656" s="38"/>
      <c r="G656" s="34"/>
      <c r="H656" s="34"/>
      <c r="I656" s="27"/>
      <c r="J656" s="27"/>
      <c r="K656" s="27"/>
      <c r="L656" s="27"/>
      <c r="M656" s="27"/>
      <c r="N656" s="27"/>
      <c r="O656" s="27"/>
      <c r="P656" s="27"/>
    </row>
    <row r="657">
      <c r="A657" s="27"/>
      <c r="B657" s="35"/>
      <c r="C657" s="27"/>
      <c r="D657" s="36"/>
      <c r="E657" s="34"/>
      <c r="F657" s="38"/>
      <c r="G657" s="34"/>
      <c r="H657" s="34"/>
      <c r="I657" s="27"/>
      <c r="J657" s="27"/>
      <c r="K657" s="27"/>
      <c r="L657" s="27"/>
      <c r="M657" s="27"/>
      <c r="N657" s="27"/>
      <c r="O657" s="27"/>
      <c r="P657" s="27"/>
    </row>
    <row r="658">
      <c r="A658" s="27"/>
      <c r="B658" s="35"/>
      <c r="C658" s="27"/>
      <c r="D658" s="36"/>
      <c r="E658" s="34"/>
      <c r="F658" s="38"/>
      <c r="G658" s="34"/>
      <c r="H658" s="34"/>
      <c r="I658" s="27"/>
      <c r="J658" s="27"/>
      <c r="K658" s="27"/>
      <c r="L658" s="27"/>
      <c r="M658" s="27"/>
      <c r="N658" s="27"/>
      <c r="O658" s="27"/>
      <c r="P658" s="27"/>
    </row>
    <row r="659">
      <c r="A659" s="27"/>
      <c r="B659" s="35"/>
      <c r="C659" s="27"/>
      <c r="D659" s="36"/>
      <c r="E659" s="34"/>
      <c r="F659" s="38"/>
      <c r="G659" s="34"/>
      <c r="H659" s="34"/>
      <c r="I659" s="27"/>
      <c r="J659" s="27"/>
      <c r="K659" s="27"/>
      <c r="L659" s="27"/>
      <c r="M659" s="27"/>
      <c r="N659" s="27"/>
      <c r="O659" s="27"/>
      <c r="P659" s="27"/>
    </row>
    <row r="660">
      <c r="A660" s="27"/>
      <c r="B660" s="35"/>
      <c r="C660" s="27"/>
      <c r="D660" s="36"/>
      <c r="E660" s="34"/>
      <c r="F660" s="38"/>
      <c r="G660" s="34"/>
      <c r="H660" s="34"/>
      <c r="I660" s="27"/>
      <c r="J660" s="27"/>
      <c r="K660" s="27"/>
      <c r="L660" s="27"/>
      <c r="M660" s="27"/>
      <c r="N660" s="27"/>
      <c r="O660" s="27"/>
      <c r="P660" s="27"/>
    </row>
    <row r="661">
      <c r="A661" s="27"/>
      <c r="B661" s="35"/>
      <c r="C661" s="27"/>
      <c r="D661" s="36"/>
      <c r="E661" s="34"/>
      <c r="F661" s="38"/>
      <c r="G661" s="34"/>
      <c r="H661" s="34"/>
      <c r="I661" s="27"/>
      <c r="J661" s="27"/>
      <c r="K661" s="27"/>
      <c r="L661" s="27"/>
      <c r="M661" s="27"/>
      <c r="N661" s="27"/>
      <c r="O661" s="27"/>
      <c r="P661" s="27"/>
    </row>
    <row r="662">
      <c r="A662" s="27"/>
      <c r="B662" s="35"/>
      <c r="C662" s="27"/>
      <c r="D662" s="36"/>
      <c r="E662" s="34"/>
      <c r="F662" s="38"/>
      <c r="G662" s="34"/>
      <c r="H662" s="34"/>
      <c r="I662" s="27"/>
      <c r="J662" s="27"/>
      <c r="K662" s="27"/>
      <c r="L662" s="27"/>
      <c r="M662" s="27"/>
      <c r="N662" s="27"/>
      <c r="O662" s="27"/>
      <c r="P662" s="27"/>
    </row>
    <row r="663">
      <c r="A663" s="27"/>
      <c r="B663" s="35"/>
      <c r="C663" s="27"/>
      <c r="D663" s="36"/>
      <c r="E663" s="34"/>
      <c r="F663" s="38"/>
      <c r="G663" s="34"/>
      <c r="H663" s="34"/>
      <c r="I663" s="27"/>
      <c r="J663" s="27"/>
      <c r="K663" s="27"/>
      <c r="L663" s="27"/>
      <c r="M663" s="27"/>
      <c r="N663" s="27"/>
      <c r="O663" s="27"/>
      <c r="P663" s="27"/>
    </row>
    <row r="664">
      <c r="A664" s="27"/>
      <c r="B664" s="35"/>
      <c r="C664" s="27"/>
      <c r="D664" s="36"/>
      <c r="E664" s="34"/>
      <c r="F664" s="38"/>
      <c r="G664" s="34"/>
      <c r="H664" s="34"/>
      <c r="I664" s="27"/>
      <c r="J664" s="27"/>
      <c r="K664" s="27"/>
      <c r="L664" s="27"/>
      <c r="M664" s="27"/>
      <c r="N664" s="27"/>
      <c r="O664" s="27"/>
      <c r="P664" s="27"/>
    </row>
    <row r="665">
      <c r="A665" s="27"/>
      <c r="B665" s="35"/>
      <c r="C665" s="27"/>
      <c r="D665" s="36"/>
      <c r="E665" s="34"/>
      <c r="F665" s="38"/>
      <c r="G665" s="34"/>
      <c r="H665" s="34"/>
      <c r="I665" s="27"/>
      <c r="J665" s="27"/>
      <c r="K665" s="27"/>
      <c r="L665" s="27"/>
      <c r="M665" s="27"/>
      <c r="N665" s="27"/>
      <c r="O665" s="27"/>
      <c r="P665" s="27"/>
    </row>
    <row r="666">
      <c r="A666" s="27"/>
      <c r="B666" s="35"/>
      <c r="C666" s="27"/>
      <c r="D666" s="36"/>
      <c r="E666" s="34"/>
      <c r="F666" s="38"/>
      <c r="G666" s="34"/>
      <c r="H666" s="34"/>
      <c r="I666" s="27"/>
      <c r="J666" s="27"/>
      <c r="K666" s="27"/>
      <c r="L666" s="27"/>
      <c r="M666" s="27"/>
      <c r="N666" s="27"/>
      <c r="O666" s="27"/>
      <c r="P666" s="27"/>
    </row>
    <row r="667">
      <c r="A667" s="27"/>
      <c r="B667" s="35"/>
      <c r="C667" s="27"/>
      <c r="D667" s="36"/>
      <c r="E667" s="34"/>
      <c r="F667" s="38"/>
      <c r="G667" s="34"/>
      <c r="H667" s="34"/>
      <c r="I667" s="27"/>
      <c r="J667" s="27"/>
      <c r="K667" s="27"/>
      <c r="L667" s="27"/>
      <c r="M667" s="27"/>
      <c r="N667" s="27"/>
      <c r="O667" s="27"/>
      <c r="P667" s="27"/>
    </row>
    <row r="668">
      <c r="A668" s="27"/>
      <c r="B668" s="35"/>
      <c r="C668" s="27"/>
      <c r="D668" s="36"/>
      <c r="E668" s="34"/>
      <c r="F668" s="38"/>
      <c r="G668" s="34"/>
      <c r="H668" s="34"/>
      <c r="I668" s="27"/>
      <c r="J668" s="27"/>
      <c r="K668" s="27"/>
      <c r="L668" s="27"/>
      <c r="M668" s="27"/>
      <c r="N668" s="27"/>
      <c r="O668" s="27"/>
      <c r="P668" s="27"/>
    </row>
    <row r="669">
      <c r="A669" s="27"/>
      <c r="B669" s="35"/>
      <c r="C669" s="27"/>
      <c r="D669" s="36"/>
      <c r="E669" s="34"/>
      <c r="F669" s="38"/>
      <c r="G669" s="34"/>
      <c r="H669" s="34"/>
      <c r="I669" s="27"/>
      <c r="J669" s="27"/>
      <c r="K669" s="27"/>
      <c r="L669" s="27"/>
      <c r="M669" s="27"/>
      <c r="N669" s="27"/>
      <c r="O669" s="27"/>
      <c r="P669" s="27"/>
    </row>
    <row r="670">
      <c r="A670" s="27"/>
      <c r="B670" s="35"/>
      <c r="C670" s="27"/>
      <c r="D670" s="36"/>
      <c r="E670" s="34"/>
      <c r="F670" s="38"/>
      <c r="G670" s="34"/>
      <c r="H670" s="34"/>
      <c r="I670" s="27"/>
      <c r="J670" s="27"/>
      <c r="K670" s="27"/>
      <c r="L670" s="27"/>
      <c r="M670" s="27"/>
      <c r="N670" s="27"/>
      <c r="O670" s="27"/>
      <c r="P670" s="27"/>
    </row>
    <row r="671">
      <c r="A671" s="27"/>
      <c r="B671" s="35"/>
      <c r="C671" s="27"/>
      <c r="D671" s="36"/>
      <c r="E671" s="34"/>
      <c r="F671" s="38"/>
      <c r="G671" s="34"/>
      <c r="H671" s="34"/>
      <c r="I671" s="27"/>
      <c r="J671" s="27"/>
      <c r="K671" s="27"/>
      <c r="L671" s="27"/>
      <c r="M671" s="27"/>
      <c r="N671" s="27"/>
      <c r="O671" s="27"/>
      <c r="P671" s="27"/>
    </row>
    <row r="672">
      <c r="A672" s="27"/>
      <c r="B672" s="35"/>
      <c r="C672" s="27"/>
      <c r="D672" s="36"/>
      <c r="E672" s="34"/>
      <c r="F672" s="38"/>
      <c r="G672" s="34"/>
      <c r="H672" s="34"/>
      <c r="I672" s="27"/>
      <c r="J672" s="27"/>
      <c r="K672" s="27"/>
      <c r="L672" s="27"/>
      <c r="M672" s="27"/>
      <c r="N672" s="27"/>
      <c r="O672" s="27"/>
      <c r="P672" s="27"/>
    </row>
    <row r="673">
      <c r="A673" s="27"/>
      <c r="B673" s="35"/>
      <c r="C673" s="27"/>
      <c r="D673" s="36"/>
      <c r="E673" s="34"/>
      <c r="F673" s="38"/>
      <c r="G673" s="34"/>
      <c r="H673" s="34"/>
      <c r="I673" s="27"/>
      <c r="J673" s="27"/>
      <c r="K673" s="27"/>
      <c r="L673" s="27"/>
      <c r="M673" s="27"/>
      <c r="N673" s="27"/>
      <c r="O673" s="27"/>
      <c r="P673" s="27"/>
    </row>
    <row r="674">
      <c r="A674" s="27"/>
      <c r="B674" s="35"/>
      <c r="C674" s="27"/>
      <c r="D674" s="36"/>
      <c r="E674" s="34"/>
      <c r="F674" s="38"/>
      <c r="G674" s="34"/>
      <c r="H674" s="34"/>
      <c r="I674" s="27"/>
      <c r="J674" s="27"/>
      <c r="K674" s="27"/>
      <c r="L674" s="27"/>
      <c r="M674" s="27"/>
      <c r="N674" s="27"/>
      <c r="O674" s="27"/>
      <c r="P674" s="27"/>
    </row>
    <row r="675">
      <c r="A675" s="27"/>
      <c r="B675" s="35"/>
      <c r="C675" s="27"/>
      <c r="D675" s="36"/>
      <c r="E675" s="34"/>
      <c r="F675" s="38"/>
      <c r="G675" s="34"/>
      <c r="H675" s="34"/>
      <c r="I675" s="27"/>
      <c r="J675" s="27"/>
      <c r="K675" s="27"/>
      <c r="L675" s="27"/>
      <c r="M675" s="27"/>
      <c r="N675" s="27"/>
      <c r="O675" s="27"/>
      <c r="P675" s="27"/>
    </row>
    <row r="676">
      <c r="A676" s="27"/>
      <c r="B676" s="35"/>
      <c r="C676" s="27"/>
      <c r="D676" s="36"/>
      <c r="E676" s="34"/>
      <c r="F676" s="38"/>
      <c r="G676" s="34"/>
      <c r="H676" s="34"/>
      <c r="I676" s="27"/>
      <c r="J676" s="27"/>
      <c r="K676" s="27"/>
      <c r="L676" s="27"/>
      <c r="M676" s="27"/>
      <c r="N676" s="27"/>
      <c r="O676" s="27"/>
      <c r="P676" s="27"/>
    </row>
    <row r="677">
      <c r="A677" s="27"/>
      <c r="B677" s="35"/>
      <c r="C677" s="27"/>
      <c r="D677" s="36"/>
      <c r="E677" s="34"/>
      <c r="F677" s="38"/>
      <c r="G677" s="34"/>
      <c r="H677" s="34"/>
      <c r="I677" s="27"/>
      <c r="J677" s="27"/>
      <c r="K677" s="27"/>
      <c r="L677" s="27"/>
      <c r="M677" s="27"/>
      <c r="N677" s="27"/>
      <c r="O677" s="27"/>
      <c r="P677" s="27"/>
    </row>
    <row r="678">
      <c r="A678" s="27"/>
      <c r="B678" s="35"/>
      <c r="C678" s="27"/>
      <c r="D678" s="36"/>
      <c r="E678" s="34"/>
      <c r="F678" s="38"/>
      <c r="G678" s="34"/>
      <c r="H678" s="34"/>
      <c r="I678" s="27"/>
      <c r="J678" s="27"/>
      <c r="K678" s="27"/>
      <c r="L678" s="27"/>
      <c r="M678" s="27"/>
      <c r="N678" s="27"/>
      <c r="O678" s="27"/>
      <c r="P678" s="27"/>
    </row>
    <row r="679">
      <c r="A679" s="27"/>
      <c r="B679" s="35"/>
      <c r="C679" s="27"/>
      <c r="D679" s="36"/>
      <c r="E679" s="34"/>
      <c r="F679" s="38"/>
      <c r="G679" s="34"/>
      <c r="H679" s="34"/>
      <c r="I679" s="27"/>
      <c r="J679" s="27"/>
      <c r="K679" s="27"/>
      <c r="L679" s="27"/>
      <c r="M679" s="27"/>
      <c r="N679" s="27"/>
      <c r="O679" s="27"/>
      <c r="P679" s="27"/>
    </row>
    <row r="680">
      <c r="A680" s="27"/>
      <c r="B680" s="35"/>
      <c r="C680" s="27"/>
      <c r="D680" s="36"/>
      <c r="E680" s="34"/>
      <c r="F680" s="38"/>
      <c r="G680" s="34"/>
      <c r="H680" s="34"/>
      <c r="I680" s="27"/>
      <c r="J680" s="27"/>
      <c r="K680" s="27"/>
      <c r="L680" s="27"/>
      <c r="M680" s="27"/>
      <c r="N680" s="27"/>
      <c r="O680" s="27"/>
      <c r="P680" s="27"/>
    </row>
    <row r="681">
      <c r="A681" s="27"/>
      <c r="B681" s="35"/>
      <c r="C681" s="27"/>
      <c r="D681" s="36"/>
      <c r="E681" s="34"/>
      <c r="F681" s="38"/>
      <c r="G681" s="34"/>
      <c r="H681" s="34"/>
      <c r="I681" s="27"/>
      <c r="J681" s="27"/>
      <c r="K681" s="27"/>
      <c r="L681" s="27"/>
      <c r="M681" s="27"/>
      <c r="N681" s="27"/>
      <c r="O681" s="27"/>
      <c r="P681" s="27"/>
    </row>
    <row r="682">
      <c r="A682" s="27"/>
      <c r="B682" s="35"/>
      <c r="C682" s="27"/>
      <c r="D682" s="36"/>
      <c r="E682" s="34"/>
      <c r="F682" s="38"/>
      <c r="G682" s="34"/>
      <c r="H682" s="34"/>
      <c r="I682" s="27"/>
      <c r="J682" s="27"/>
      <c r="K682" s="27"/>
      <c r="L682" s="27"/>
      <c r="M682" s="27"/>
      <c r="N682" s="27"/>
      <c r="O682" s="27"/>
      <c r="P682" s="27"/>
    </row>
    <row r="683">
      <c r="A683" s="27"/>
      <c r="B683" s="35"/>
      <c r="C683" s="27"/>
      <c r="D683" s="36"/>
      <c r="E683" s="34"/>
      <c r="F683" s="38"/>
      <c r="G683" s="34"/>
      <c r="H683" s="34"/>
      <c r="I683" s="27"/>
      <c r="J683" s="27"/>
      <c r="K683" s="27"/>
      <c r="L683" s="27"/>
      <c r="M683" s="27"/>
      <c r="N683" s="27"/>
      <c r="O683" s="27"/>
      <c r="P683" s="27"/>
    </row>
    <row r="684">
      <c r="A684" s="27"/>
      <c r="B684" s="35"/>
      <c r="C684" s="27"/>
      <c r="D684" s="36"/>
      <c r="E684" s="34"/>
      <c r="F684" s="38"/>
      <c r="G684" s="34"/>
      <c r="H684" s="34"/>
      <c r="I684" s="27"/>
      <c r="J684" s="27"/>
      <c r="K684" s="27"/>
      <c r="L684" s="27"/>
      <c r="M684" s="27"/>
      <c r="N684" s="27"/>
      <c r="O684" s="27"/>
      <c r="P684" s="27"/>
    </row>
    <row r="685">
      <c r="A685" s="27"/>
      <c r="B685" s="35"/>
      <c r="C685" s="27"/>
      <c r="D685" s="36"/>
      <c r="E685" s="34"/>
      <c r="F685" s="38"/>
      <c r="G685" s="34"/>
      <c r="H685" s="34"/>
      <c r="I685" s="27"/>
      <c r="J685" s="27"/>
      <c r="K685" s="27"/>
      <c r="L685" s="27"/>
      <c r="M685" s="27"/>
      <c r="N685" s="27"/>
      <c r="O685" s="27"/>
      <c r="P685" s="27"/>
    </row>
    <row r="686">
      <c r="A686" s="27"/>
      <c r="B686" s="35"/>
      <c r="C686" s="27"/>
      <c r="D686" s="36"/>
      <c r="E686" s="34"/>
      <c r="F686" s="38"/>
      <c r="G686" s="34"/>
      <c r="H686" s="34"/>
      <c r="I686" s="27"/>
      <c r="J686" s="27"/>
      <c r="K686" s="27"/>
      <c r="L686" s="27"/>
      <c r="M686" s="27"/>
      <c r="N686" s="27"/>
      <c r="O686" s="27"/>
      <c r="P686" s="27"/>
    </row>
    <row r="687">
      <c r="A687" s="27"/>
      <c r="B687" s="35"/>
      <c r="C687" s="27"/>
      <c r="D687" s="36"/>
      <c r="E687" s="34"/>
      <c r="F687" s="38"/>
      <c r="G687" s="34"/>
      <c r="H687" s="34"/>
      <c r="I687" s="27"/>
      <c r="J687" s="27"/>
      <c r="K687" s="27"/>
      <c r="L687" s="27"/>
      <c r="M687" s="27"/>
      <c r="N687" s="27"/>
      <c r="O687" s="27"/>
      <c r="P687" s="27"/>
    </row>
    <row r="688">
      <c r="A688" s="27"/>
      <c r="B688" s="35"/>
      <c r="C688" s="27"/>
      <c r="D688" s="36"/>
      <c r="E688" s="34"/>
      <c r="F688" s="38"/>
      <c r="G688" s="34"/>
      <c r="H688" s="34"/>
      <c r="I688" s="27"/>
      <c r="J688" s="27"/>
      <c r="K688" s="27"/>
      <c r="L688" s="27"/>
      <c r="M688" s="27"/>
      <c r="N688" s="27"/>
      <c r="O688" s="27"/>
      <c r="P688" s="27"/>
    </row>
    <row r="689">
      <c r="A689" s="27"/>
      <c r="B689" s="35"/>
      <c r="C689" s="27"/>
      <c r="D689" s="36"/>
      <c r="E689" s="34"/>
      <c r="F689" s="38"/>
      <c r="G689" s="34"/>
      <c r="H689" s="34"/>
      <c r="I689" s="27"/>
      <c r="J689" s="27"/>
      <c r="K689" s="27"/>
      <c r="L689" s="27"/>
      <c r="M689" s="27"/>
      <c r="N689" s="27"/>
      <c r="O689" s="27"/>
      <c r="P689" s="27"/>
    </row>
    <row r="690">
      <c r="A690" s="27"/>
      <c r="B690" s="35"/>
      <c r="C690" s="27"/>
      <c r="D690" s="36"/>
      <c r="E690" s="34"/>
      <c r="F690" s="38"/>
      <c r="G690" s="34"/>
      <c r="H690" s="34"/>
      <c r="I690" s="27"/>
      <c r="J690" s="27"/>
      <c r="K690" s="27"/>
      <c r="L690" s="27"/>
      <c r="M690" s="27"/>
      <c r="N690" s="27"/>
      <c r="O690" s="27"/>
      <c r="P690" s="27"/>
    </row>
    <row r="691">
      <c r="A691" s="27"/>
      <c r="B691" s="35"/>
      <c r="C691" s="27"/>
      <c r="D691" s="36"/>
      <c r="E691" s="34"/>
      <c r="F691" s="38"/>
      <c r="G691" s="34"/>
      <c r="H691" s="34"/>
      <c r="I691" s="27"/>
      <c r="J691" s="27"/>
      <c r="K691" s="27"/>
      <c r="L691" s="27"/>
      <c r="M691" s="27"/>
      <c r="N691" s="27"/>
      <c r="O691" s="27"/>
      <c r="P691" s="27"/>
    </row>
    <row r="692">
      <c r="A692" s="27"/>
      <c r="B692" s="35"/>
      <c r="C692" s="27"/>
      <c r="D692" s="36"/>
      <c r="E692" s="34"/>
      <c r="F692" s="38"/>
      <c r="G692" s="34"/>
      <c r="H692" s="34"/>
      <c r="I692" s="27"/>
      <c r="J692" s="27"/>
      <c r="K692" s="27"/>
      <c r="L692" s="27"/>
      <c r="M692" s="27"/>
      <c r="N692" s="27"/>
      <c r="O692" s="27"/>
      <c r="P692" s="27"/>
    </row>
    <row r="693">
      <c r="A693" s="27"/>
      <c r="B693" s="35"/>
      <c r="C693" s="27"/>
      <c r="D693" s="36"/>
      <c r="E693" s="34"/>
      <c r="F693" s="38"/>
      <c r="G693" s="34"/>
      <c r="H693" s="34"/>
      <c r="I693" s="27"/>
      <c r="J693" s="27"/>
      <c r="K693" s="27"/>
      <c r="L693" s="27"/>
      <c r="M693" s="27"/>
      <c r="N693" s="27"/>
      <c r="O693" s="27"/>
      <c r="P693" s="27"/>
    </row>
    <row r="694">
      <c r="A694" s="27"/>
      <c r="B694" s="35"/>
      <c r="C694" s="27"/>
      <c r="D694" s="36"/>
      <c r="E694" s="34"/>
      <c r="F694" s="38"/>
      <c r="G694" s="34"/>
      <c r="H694" s="34"/>
      <c r="I694" s="27"/>
      <c r="J694" s="27"/>
      <c r="K694" s="27"/>
      <c r="L694" s="27"/>
      <c r="M694" s="27"/>
      <c r="N694" s="27"/>
      <c r="O694" s="27"/>
      <c r="P694" s="27"/>
    </row>
    <row r="695">
      <c r="A695" s="27"/>
      <c r="B695" s="35"/>
      <c r="C695" s="27"/>
      <c r="D695" s="36"/>
      <c r="E695" s="34"/>
      <c r="F695" s="38"/>
      <c r="G695" s="34"/>
      <c r="H695" s="34"/>
      <c r="I695" s="27"/>
      <c r="J695" s="27"/>
      <c r="K695" s="27"/>
      <c r="L695" s="27"/>
      <c r="M695" s="27"/>
      <c r="N695" s="27"/>
      <c r="O695" s="27"/>
      <c r="P695" s="27"/>
    </row>
    <row r="696">
      <c r="A696" s="27"/>
      <c r="B696" s="35"/>
      <c r="C696" s="27"/>
      <c r="D696" s="36"/>
      <c r="E696" s="34"/>
      <c r="F696" s="38"/>
      <c r="G696" s="34"/>
      <c r="H696" s="34"/>
      <c r="I696" s="27"/>
      <c r="J696" s="27"/>
      <c r="K696" s="27"/>
      <c r="L696" s="27"/>
      <c r="M696" s="27"/>
      <c r="N696" s="27"/>
      <c r="O696" s="27"/>
      <c r="P696" s="27"/>
    </row>
    <row r="697">
      <c r="A697" s="27"/>
      <c r="B697" s="35"/>
      <c r="C697" s="27"/>
      <c r="D697" s="36"/>
      <c r="E697" s="34"/>
      <c r="F697" s="38"/>
      <c r="G697" s="34"/>
      <c r="H697" s="34"/>
      <c r="I697" s="27"/>
      <c r="J697" s="27"/>
      <c r="K697" s="27"/>
      <c r="L697" s="27"/>
      <c r="M697" s="27"/>
      <c r="N697" s="27"/>
      <c r="O697" s="27"/>
      <c r="P697" s="27"/>
    </row>
    <row r="698">
      <c r="A698" s="27"/>
      <c r="B698" s="35"/>
      <c r="C698" s="27"/>
      <c r="D698" s="36"/>
      <c r="E698" s="34"/>
      <c r="F698" s="38"/>
      <c r="G698" s="34"/>
      <c r="H698" s="34"/>
      <c r="I698" s="27"/>
      <c r="J698" s="27"/>
      <c r="K698" s="27"/>
      <c r="L698" s="27"/>
      <c r="M698" s="27"/>
      <c r="N698" s="27"/>
      <c r="O698" s="27"/>
      <c r="P698" s="27"/>
    </row>
    <row r="699">
      <c r="A699" s="27"/>
      <c r="B699" s="35"/>
      <c r="C699" s="27"/>
      <c r="D699" s="36"/>
      <c r="E699" s="34"/>
      <c r="F699" s="38"/>
      <c r="G699" s="34"/>
      <c r="H699" s="34"/>
      <c r="I699" s="27"/>
      <c r="J699" s="27"/>
      <c r="K699" s="27"/>
      <c r="L699" s="27"/>
      <c r="M699" s="27"/>
      <c r="N699" s="27"/>
      <c r="O699" s="27"/>
      <c r="P699" s="27"/>
    </row>
    <row r="700">
      <c r="A700" s="27"/>
      <c r="B700" s="35"/>
      <c r="C700" s="27"/>
      <c r="D700" s="36"/>
      <c r="E700" s="34"/>
      <c r="F700" s="38"/>
      <c r="G700" s="34"/>
      <c r="H700" s="34"/>
      <c r="I700" s="27"/>
      <c r="J700" s="27"/>
      <c r="K700" s="27"/>
      <c r="L700" s="27"/>
      <c r="M700" s="27"/>
      <c r="N700" s="27"/>
      <c r="O700" s="27"/>
      <c r="P700" s="27"/>
    </row>
    <row r="701">
      <c r="A701" s="27"/>
      <c r="B701" s="35"/>
      <c r="C701" s="27"/>
      <c r="D701" s="36"/>
      <c r="E701" s="34"/>
      <c r="F701" s="38"/>
      <c r="G701" s="34"/>
      <c r="H701" s="34"/>
      <c r="I701" s="27"/>
      <c r="J701" s="27"/>
      <c r="K701" s="27"/>
      <c r="L701" s="27"/>
      <c r="M701" s="27"/>
      <c r="N701" s="27"/>
      <c r="O701" s="27"/>
      <c r="P701" s="27"/>
    </row>
    <row r="702">
      <c r="A702" s="27"/>
      <c r="B702" s="35"/>
      <c r="C702" s="27"/>
      <c r="D702" s="36"/>
      <c r="E702" s="34"/>
      <c r="F702" s="38"/>
      <c r="G702" s="34"/>
      <c r="H702" s="34"/>
      <c r="I702" s="27"/>
      <c r="J702" s="27"/>
      <c r="K702" s="27"/>
      <c r="L702" s="27"/>
      <c r="M702" s="27"/>
      <c r="N702" s="27"/>
      <c r="O702" s="27"/>
      <c r="P702" s="27"/>
    </row>
    <row r="703">
      <c r="A703" s="27"/>
      <c r="B703" s="35"/>
      <c r="C703" s="27"/>
      <c r="D703" s="36"/>
      <c r="E703" s="34"/>
      <c r="F703" s="38"/>
      <c r="G703" s="34"/>
      <c r="H703" s="34"/>
      <c r="I703" s="27"/>
      <c r="J703" s="27"/>
      <c r="K703" s="27"/>
      <c r="L703" s="27"/>
      <c r="M703" s="27"/>
      <c r="N703" s="27"/>
      <c r="O703" s="27"/>
      <c r="P703" s="27"/>
    </row>
    <row r="704">
      <c r="A704" s="27"/>
      <c r="B704" s="35"/>
      <c r="C704" s="27"/>
      <c r="D704" s="36"/>
      <c r="E704" s="34"/>
      <c r="F704" s="38"/>
      <c r="G704" s="34"/>
      <c r="H704" s="34"/>
      <c r="I704" s="27"/>
      <c r="J704" s="27"/>
      <c r="K704" s="27"/>
      <c r="L704" s="27"/>
      <c r="M704" s="27"/>
      <c r="N704" s="27"/>
      <c r="O704" s="27"/>
      <c r="P704" s="27"/>
    </row>
    <row r="705">
      <c r="A705" s="27"/>
      <c r="B705" s="35"/>
      <c r="C705" s="27"/>
      <c r="D705" s="36"/>
      <c r="E705" s="34"/>
      <c r="F705" s="38"/>
      <c r="G705" s="34"/>
      <c r="H705" s="34"/>
      <c r="I705" s="27"/>
      <c r="J705" s="27"/>
      <c r="K705" s="27"/>
      <c r="L705" s="27"/>
      <c r="M705" s="27"/>
      <c r="N705" s="27"/>
      <c r="O705" s="27"/>
      <c r="P705" s="27"/>
    </row>
    <row r="706">
      <c r="A706" s="27"/>
      <c r="B706" s="35"/>
      <c r="C706" s="27"/>
      <c r="D706" s="36"/>
      <c r="E706" s="34"/>
      <c r="F706" s="38"/>
      <c r="G706" s="34"/>
      <c r="H706" s="34"/>
      <c r="I706" s="27"/>
      <c r="J706" s="27"/>
      <c r="K706" s="27"/>
      <c r="L706" s="27"/>
      <c r="M706" s="27"/>
      <c r="N706" s="27"/>
      <c r="O706" s="27"/>
      <c r="P706" s="27"/>
    </row>
    <row r="707">
      <c r="A707" s="27"/>
      <c r="B707" s="35"/>
      <c r="C707" s="27"/>
      <c r="D707" s="36"/>
      <c r="E707" s="34"/>
      <c r="F707" s="38"/>
      <c r="G707" s="34"/>
      <c r="H707" s="34"/>
      <c r="I707" s="27"/>
      <c r="J707" s="27"/>
      <c r="K707" s="27"/>
      <c r="L707" s="27"/>
      <c r="M707" s="27"/>
      <c r="N707" s="27"/>
      <c r="O707" s="27"/>
      <c r="P707" s="27"/>
    </row>
    <row r="708">
      <c r="A708" s="27"/>
      <c r="B708" s="35"/>
      <c r="C708" s="27"/>
      <c r="D708" s="36"/>
      <c r="E708" s="34"/>
      <c r="F708" s="38"/>
      <c r="G708" s="34"/>
      <c r="H708" s="34"/>
      <c r="I708" s="27"/>
      <c r="J708" s="27"/>
      <c r="K708" s="27"/>
      <c r="L708" s="27"/>
      <c r="M708" s="27"/>
      <c r="N708" s="27"/>
      <c r="O708" s="27"/>
      <c r="P708" s="27"/>
    </row>
    <row r="709">
      <c r="A709" s="27"/>
      <c r="B709" s="35"/>
      <c r="C709" s="27"/>
      <c r="D709" s="36"/>
      <c r="E709" s="34"/>
      <c r="F709" s="38"/>
      <c r="G709" s="34"/>
      <c r="H709" s="34"/>
      <c r="I709" s="27"/>
      <c r="J709" s="27"/>
      <c r="K709" s="27"/>
      <c r="L709" s="27"/>
      <c r="M709" s="27"/>
      <c r="N709" s="27"/>
      <c r="O709" s="27"/>
      <c r="P709" s="27"/>
    </row>
    <row r="710">
      <c r="A710" s="27"/>
      <c r="B710" s="35"/>
      <c r="C710" s="27"/>
      <c r="D710" s="36"/>
      <c r="E710" s="34"/>
      <c r="F710" s="38"/>
      <c r="G710" s="34"/>
      <c r="H710" s="34"/>
      <c r="I710" s="27"/>
      <c r="J710" s="27"/>
      <c r="K710" s="27"/>
      <c r="L710" s="27"/>
      <c r="M710" s="27"/>
      <c r="N710" s="27"/>
      <c r="O710" s="27"/>
      <c r="P710" s="27"/>
    </row>
    <row r="711">
      <c r="A711" s="27"/>
      <c r="B711" s="35"/>
      <c r="C711" s="27"/>
      <c r="D711" s="36"/>
      <c r="E711" s="34"/>
      <c r="F711" s="38"/>
      <c r="G711" s="34"/>
      <c r="H711" s="34"/>
      <c r="I711" s="27"/>
      <c r="J711" s="27"/>
      <c r="K711" s="27"/>
      <c r="L711" s="27"/>
      <c r="M711" s="27"/>
      <c r="N711" s="27"/>
      <c r="O711" s="27"/>
      <c r="P711" s="27"/>
    </row>
    <row r="712">
      <c r="A712" s="27"/>
      <c r="B712" s="35"/>
      <c r="C712" s="27"/>
      <c r="D712" s="36"/>
      <c r="E712" s="34"/>
      <c r="F712" s="38"/>
      <c r="G712" s="34"/>
      <c r="H712" s="34"/>
      <c r="I712" s="27"/>
      <c r="J712" s="27"/>
      <c r="K712" s="27"/>
      <c r="L712" s="27"/>
      <c r="M712" s="27"/>
      <c r="N712" s="27"/>
      <c r="O712" s="27"/>
      <c r="P712" s="27"/>
    </row>
    <row r="713">
      <c r="A713" s="27"/>
      <c r="B713" s="35"/>
      <c r="C713" s="27"/>
      <c r="D713" s="36"/>
      <c r="E713" s="34"/>
      <c r="F713" s="38"/>
      <c r="G713" s="34"/>
      <c r="H713" s="34"/>
      <c r="I713" s="27"/>
      <c r="J713" s="27"/>
      <c r="K713" s="27"/>
      <c r="L713" s="27"/>
      <c r="M713" s="27"/>
      <c r="N713" s="27"/>
      <c r="O713" s="27"/>
      <c r="P713" s="27"/>
    </row>
    <row r="714">
      <c r="A714" s="27"/>
      <c r="B714" s="35"/>
      <c r="C714" s="27"/>
      <c r="D714" s="36"/>
      <c r="E714" s="34"/>
      <c r="F714" s="38"/>
      <c r="G714" s="34"/>
      <c r="H714" s="34"/>
      <c r="I714" s="27"/>
      <c r="J714" s="27"/>
      <c r="K714" s="27"/>
      <c r="L714" s="27"/>
      <c r="M714" s="27"/>
      <c r="N714" s="27"/>
      <c r="O714" s="27"/>
      <c r="P714" s="27"/>
    </row>
    <row r="715">
      <c r="A715" s="27"/>
      <c r="B715" s="35"/>
      <c r="C715" s="27"/>
      <c r="D715" s="36"/>
      <c r="E715" s="34"/>
      <c r="F715" s="38"/>
      <c r="G715" s="34"/>
      <c r="H715" s="34"/>
      <c r="I715" s="27"/>
      <c r="J715" s="27"/>
      <c r="K715" s="27"/>
      <c r="L715" s="27"/>
      <c r="M715" s="27"/>
      <c r="N715" s="27"/>
      <c r="O715" s="27"/>
      <c r="P715" s="27"/>
    </row>
    <row r="716">
      <c r="A716" s="27"/>
      <c r="B716" s="35"/>
      <c r="C716" s="27"/>
      <c r="D716" s="36"/>
      <c r="E716" s="34"/>
      <c r="F716" s="38"/>
      <c r="G716" s="34"/>
      <c r="H716" s="34"/>
      <c r="I716" s="27"/>
      <c r="J716" s="27"/>
      <c r="K716" s="27"/>
      <c r="L716" s="27"/>
      <c r="M716" s="27"/>
      <c r="N716" s="27"/>
      <c r="O716" s="27"/>
      <c r="P716" s="27"/>
    </row>
    <row r="717">
      <c r="A717" s="27"/>
      <c r="B717" s="35"/>
      <c r="C717" s="27"/>
      <c r="D717" s="36"/>
      <c r="E717" s="34"/>
      <c r="F717" s="38"/>
      <c r="G717" s="34"/>
      <c r="H717" s="34"/>
      <c r="I717" s="27"/>
      <c r="J717" s="27"/>
      <c r="K717" s="27"/>
      <c r="L717" s="27"/>
      <c r="M717" s="27"/>
      <c r="N717" s="27"/>
      <c r="O717" s="27"/>
      <c r="P717" s="27"/>
    </row>
    <row r="718">
      <c r="A718" s="27"/>
      <c r="B718" s="35"/>
      <c r="C718" s="27"/>
      <c r="D718" s="36"/>
      <c r="E718" s="34"/>
      <c r="F718" s="38"/>
      <c r="G718" s="34"/>
      <c r="H718" s="34"/>
      <c r="I718" s="27"/>
      <c r="J718" s="27"/>
      <c r="K718" s="27"/>
      <c r="L718" s="27"/>
      <c r="M718" s="27"/>
      <c r="N718" s="27"/>
      <c r="O718" s="27"/>
      <c r="P718" s="27"/>
    </row>
    <row r="719">
      <c r="A719" s="27"/>
      <c r="B719" s="35"/>
      <c r="C719" s="27"/>
      <c r="D719" s="36"/>
      <c r="E719" s="34"/>
      <c r="F719" s="38"/>
      <c r="G719" s="34"/>
      <c r="H719" s="34"/>
      <c r="I719" s="27"/>
      <c r="J719" s="27"/>
      <c r="K719" s="27"/>
      <c r="L719" s="27"/>
      <c r="M719" s="27"/>
      <c r="N719" s="27"/>
      <c r="O719" s="27"/>
      <c r="P719" s="27"/>
    </row>
    <row r="720">
      <c r="A720" s="27"/>
      <c r="B720" s="35"/>
      <c r="C720" s="27"/>
      <c r="D720" s="36"/>
      <c r="E720" s="34"/>
      <c r="F720" s="38"/>
      <c r="G720" s="34"/>
      <c r="H720" s="34"/>
      <c r="I720" s="27"/>
      <c r="J720" s="27"/>
      <c r="K720" s="27"/>
      <c r="L720" s="27"/>
      <c r="M720" s="27"/>
      <c r="N720" s="27"/>
      <c r="O720" s="27"/>
      <c r="P720" s="27"/>
    </row>
    <row r="721">
      <c r="A721" s="27"/>
      <c r="B721" s="35"/>
      <c r="C721" s="27"/>
      <c r="D721" s="36"/>
      <c r="E721" s="34"/>
      <c r="F721" s="38"/>
      <c r="G721" s="34"/>
      <c r="H721" s="34"/>
      <c r="I721" s="27"/>
      <c r="J721" s="27"/>
      <c r="K721" s="27"/>
      <c r="L721" s="27"/>
      <c r="M721" s="27"/>
      <c r="N721" s="27"/>
      <c r="O721" s="27"/>
      <c r="P721" s="27"/>
    </row>
    <row r="722">
      <c r="A722" s="27"/>
      <c r="B722" s="35"/>
      <c r="C722" s="27"/>
      <c r="D722" s="36"/>
      <c r="E722" s="34"/>
      <c r="F722" s="38"/>
      <c r="G722" s="34"/>
      <c r="H722" s="34"/>
      <c r="I722" s="27"/>
      <c r="J722" s="27"/>
      <c r="K722" s="27"/>
      <c r="L722" s="27"/>
      <c r="M722" s="27"/>
      <c r="N722" s="27"/>
      <c r="O722" s="27"/>
      <c r="P722" s="27"/>
    </row>
    <row r="723">
      <c r="A723" s="27"/>
      <c r="B723" s="35"/>
      <c r="C723" s="27"/>
      <c r="D723" s="36"/>
      <c r="E723" s="34"/>
      <c r="F723" s="38"/>
      <c r="G723" s="34"/>
      <c r="H723" s="34"/>
      <c r="I723" s="27"/>
      <c r="J723" s="27"/>
      <c r="K723" s="27"/>
      <c r="L723" s="27"/>
      <c r="M723" s="27"/>
      <c r="N723" s="27"/>
      <c r="O723" s="27"/>
      <c r="P723" s="27"/>
    </row>
    <row r="724">
      <c r="A724" s="27"/>
      <c r="B724" s="35"/>
      <c r="C724" s="27"/>
      <c r="D724" s="36"/>
      <c r="E724" s="34"/>
      <c r="F724" s="38"/>
      <c r="G724" s="34"/>
      <c r="H724" s="34"/>
      <c r="I724" s="27"/>
      <c r="J724" s="27"/>
      <c r="K724" s="27"/>
      <c r="L724" s="27"/>
      <c r="M724" s="27"/>
      <c r="N724" s="27"/>
      <c r="O724" s="27"/>
      <c r="P724" s="27"/>
    </row>
    <row r="725">
      <c r="A725" s="27"/>
      <c r="B725" s="35"/>
      <c r="C725" s="27"/>
      <c r="D725" s="36"/>
      <c r="E725" s="34"/>
      <c r="F725" s="38"/>
      <c r="G725" s="34"/>
      <c r="H725" s="34"/>
      <c r="I725" s="27"/>
      <c r="J725" s="27"/>
      <c r="K725" s="27"/>
      <c r="L725" s="27"/>
      <c r="M725" s="27"/>
      <c r="N725" s="27"/>
      <c r="O725" s="27"/>
      <c r="P725" s="27"/>
    </row>
    <row r="726">
      <c r="A726" s="27"/>
      <c r="B726" s="35"/>
      <c r="C726" s="27"/>
      <c r="D726" s="36"/>
      <c r="E726" s="34"/>
      <c r="F726" s="38"/>
      <c r="G726" s="34"/>
      <c r="H726" s="34"/>
      <c r="I726" s="27"/>
      <c r="J726" s="27"/>
      <c r="K726" s="27"/>
      <c r="L726" s="27"/>
      <c r="M726" s="27"/>
      <c r="N726" s="27"/>
      <c r="O726" s="27"/>
      <c r="P726" s="27"/>
    </row>
    <row r="727">
      <c r="A727" s="27"/>
      <c r="B727" s="35"/>
      <c r="C727" s="27"/>
      <c r="D727" s="36"/>
      <c r="E727" s="34"/>
      <c r="F727" s="38"/>
      <c r="G727" s="34"/>
      <c r="H727" s="34"/>
      <c r="I727" s="27"/>
      <c r="J727" s="27"/>
      <c r="K727" s="27"/>
      <c r="L727" s="27"/>
      <c r="M727" s="27"/>
      <c r="N727" s="27"/>
      <c r="O727" s="27"/>
      <c r="P727" s="27"/>
    </row>
    <row r="728">
      <c r="A728" s="27"/>
      <c r="B728" s="35"/>
      <c r="C728" s="27"/>
      <c r="D728" s="36"/>
      <c r="E728" s="34"/>
      <c r="F728" s="38"/>
      <c r="G728" s="34"/>
      <c r="H728" s="34"/>
      <c r="I728" s="27"/>
      <c r="J728" s="27"/>
      <c r="K728" s="27"/>
      <c r="L728" s="27"/>
      <c r="M728" s="27"/>
      <c r="N728" s="27"/>
      <c r="O728" s="27"/>
      <c r="P728" s="27"/>
    </row>
    <row r="729">
      <c r="A729" s="27"/>
      <c r="B729" s="35"/>
      <c r="C729" s="27"/>
      <c r="D729" s="36"/>
      <c r="E729" s="34"/>
      <c r="F729" s="38"/>
      <c r="G729" s="34"/>
      <c r="H729" s="34"/>
      <c r="I729" s="27"/>
      <c r="J729" s="27"/>
      <c r="K729" s="27"/>
      <c r="L729" s="27"/>
      <c r="M729" s="27"/>
      <c r="N729" s="27"/>
      <c r="O729" s="27"/>
      <c r="P729" s="27"/>
    </row>
    <row r="730">
      <c r="A730" s="27"/>
      <c r="B730" s="35"/>
      <c r="C730" s="27"/>
      <c r="D730" s="36"/>
      <c r="E730" s="34"/>
      <c r="F730" s="38"/>
      <c r="G730" s="34"/>
      <c r="H730" s="34"/>
      <c r="I730" s="27"/>
      <c r="J730" s="27"/>
      <c r="K730" s="27"/>
      <c r="L730" s="27"/>
      <c r="M730" s="27"/>
      <c r="N730" s="27"/>
      <c r="O730" s="27"/>
      <c r="P730" s="27"/>
    </row>
    <row r="731">
      <c r="A731" s="27"/>
      <c r="B731" s="35"/>
      <c r="C731" s="27"/>
      <c r="D731" s="36"/>
      <c r="E731" s="34"/>
      <c r="F731" s="38"/>
      <c r="G731" s="34"/>
      <c r="H731" s="34"/>
      <c r="I731" s="27"/>
      <c r="J731" s="27"/>
      <c r="K731" s="27"/>
      <c r="L731" s="27"/>
      <c r="M731" s="27"/>
      <c r="N731" s="27"/>
      <c r="O731" s="27"/>
      <c r="P731" s="27"/>
    </row>
    <row r="732">
      <c r="A732" s="27"/>
      <c r="B732" s="35"/>
      <c r="C732" s="27"/>
      <c r="D732" s="36"/>
      <c r="E732" s="34"/>
      <c r="F732" s="38"/>
      <c r="G732" s="34"/>
      <c r="H732" s="34"/>
      <c r="I732" s="27"/>
      <c r="J732" s="27"/>
      <c r="K732" s="27"/>
      <c r="L732" s="27"/>
      <c r="M732" s="27"/>
      <c r="N732" s="27"/>
      <c r="O732" s="27"/>
      <c r="P732" s="27"/>
    </row>
    <row r="733">
      <c r="A733" s="27"/>
      <c r="B733" s="35"/>
      <c r="C733" s="27"/>
      <c r="D733" s="36"/>
      <c r="E733" s="34"/>
      <c r="F733" s="38"/>
      <c r="G733" s="34"/>
      <c r="H733" s="34"/>
      <c r="I733" s="27"/>
      <c r="J733" s="27"/>
      <c r="K733" s="27"/>
      <c r="L733" s="27"/>
      <c r="M733" s="27"/>
      <c r="N733" s="27"/>
      <c r="O733" s="27"/>
      <c r="P733" s="27"/>
    </row>
    <row r="734">
      <c r="A734" s="27"/>
      <c r="B734" s="35"/>
      <c r="C734" s="27"/>
      <c r="D734" s="36"/>
      <c r="E734" s="34"/>
      <c r="F734" s="38"/>
      <c r="G734" s="34"/>
      <c r="H734" s="34"/>
      <c r="I734" s="27"/>
      <c r="J734" s="27"/>
      <c r="K734" s="27"/>
      <c r="L734" s="27"/>
      <c r="M734" s="27"/>
      <c r="N734" s="27"/>
      <c r="O734" s="27"/>
      <c r="P734" s="27"/>
    </row>
    <row r="735">
      <c r="A735" s="27"/>
      <c r="B735" s="35"/>
      <c r="C735" s="27"/>
      <c r="D735" s="36"/>
      <c r="E735" s="34"/>
      <c r="F735" s="38"/>
      <c r="G735" s="34"/>
      <c r="H735" s="34"/>
      <c r="I735" s="27"/>
      <c r="J735" s="27"/>
      <c r="K735" s="27"/>
      <c r="L735" s="27"/>
      <c r="M735" s="27"/>
      <c r="N735" s="27"/>
      <c r="O735" s="27"/>
      <c r="P735" s="27"/>
    </row>
    <row r="736">
      <c r="A736" s="27"/>
      <c r="B736" s="35"/>
      <c r="C736" s="27"/>
      <c r="D736" s="36"/>
      <c r="E736" s="34"/>
      <c r="F736" s="38"/>
      <c r="G736" s="34"/>
      <c r="H736" s="34"/>
      <c r="I736" s="27"/>
      <c r="J736" s="27"/>
      <c r="K736" s="27"/>
      <c r="L736" s="27"/>
      <c r="M736" s="27"/>
      <c r="N736" s="27"/>
      <c r="O736" s="27"/>
      <c r="P736" s="27"/>
    </row>
    <row r="737">
      <c r="A737" s="27"/>
      <c r="B737" s="35"/>
      <c r="C737" s="27"/>
      <c r="D737" s="36"/>
      <c r="E737" s="34"/>
      <c r="F737" s="38"/>
      <c r="G737" s="34"/>
      <c r="H737" s="34"/>
      <c r="I737" s="27"/>
      <c r="J737" s="27"/>
      <c r="K737" s="27"/>
      <c r="L737" s="27"/>
      <c r="M737" s="27"/>
      <c r="N737" s="27"/>
      <c r="O737" s="27"/>
      <c r="P737" s="27"/>
    </row>
    <row r="738">
      <c r="A738" s="27"/>
      <c r="B738" s="35"/>
      <c r="C738" s="27"/>
      <c r="D738" s="36"/>
      <c r="E738" s="34"/>
      <c r="F738" s="38"/>
      <c r="G738" s="34"/>
      <c r="H738" s="34"/>
      <c r="I738" s="27"/>
      <c r="J738" s="27"/>
      <c r="K738" s="27"/>
      <c r="L738" s="27"/>
      <c r="M738" s="27"/>
      <c r="N738" s="27"/>
      <c r="O738" s="27"/>
      <c r="P738" s="27"/>
    </row>
    <row r="739">
      <c r="A739" s="27"/>
      <c r="B739" s="35"/>
      <c r="C739" s="27"/>
      <c r="D739" s="36"/>
      <c r="E739" s="34"/>
      <c r="F739" s="38"/>
      <c r="G739" s="34"/>
      <c r="H739" s="34"/>
      <c r="I739" s="27"/>
      <c r="J739" s="27"/>
      <c r="K739" s="27"/>
      <c r="L739" s="27"/>
      <c r="M739" s="27"/>
      <c r="N739" s="27"/>
      <c r="O739" s="27"/>
      <c r="P739" s="27"/>
    </row>
    <row r="740">
      <c r="A740" s="27"/>
      <c r="B740" s="35"/>
      <c r="C740" s="27"/>
      <c r="D740" s="36"/>
      <c r="E740" s="34"/>
      <c r="F740" s="38"/>
      <c r="G740" s="34"/>
      <c r="H740" s="34"/>
      <c r="I740" s="27"/>
      <c r="J740" s="27"/>
      <c r="K740" s="27"/>
      <c r="L740" s="27"/>
      <c r="M740" s="27"/>
      <c r="N740" s="27"/>
      <c r="O740" s="27"/>
      <c r="P740" s="27"/>
    </row>
    <row r="741">
      <c r="A741" s="27"/>
      <c r="B741" s="35"/>
      <c r="C741" s="27"/>
      <c r="D741" s="36"/>
      <c r="E741" s="34"/>
      <c r="F741" s="38"/>
      <c r="G741" s="34"/>
      <c r="H741" s="34"/>
      <c r="I741" s="27"/>
      <c r="J741" s="27"/>
      <c r="K741" s="27"/>
      <c r="L741" s="27"/>
      <c r="M741" s="27"/>
      <c r="N741" s="27"/>
      <c r="O741" s="27"/>
      <c r="P741" s="27"/>
    </row>
    <row r="742">
      <c r="A742" s="27"/>
      <c r="B742" s="35"/>
      <c r="C742" s="27"/>
      <c r="D742" s="36"/>
      <c r="E742" s="34"/>
      <c r="F742" s="38"/>
      <c r="G742" s="34"/>
      <c r="H742" s="34"/>
      <c r="I742" s="27"/>
      <c r="J742" s="27"/>
      <c r="K742" s="27"/>
      <c r="L742" s="27"/>
      <c r="M742" s="27"/>
      <c r="N742" s="27"/>
      <c r="O742" s="27"/>
      <c r="P742" s="27"/>
    </row>
    <row r="743">
      <c r="A743" s="27"/>
      <c r="B743" s="35"/>
      <c r="C743" s="27"/>
      <c r="D743" s="36"/>
      <c r="E743" s="34"/>
      <c r="F743" s="38"/>
      <c r="G743" s="34"/>
      <c r="H743" s="34"/>
      <c r="I743" s="27"/>
      <c r="J743" s="27"/>
      <c r="K743" s="27"/>
      <c r="L743" s="27"/>
      <c r="M743" s="27"/>
      <c r="N743" s="27"/>
      <c r="O743" s="27"/>
      <c r="P743" s="27"/>
    </row>
    <row r="744">
      <c r="A744" s="27"/>
      <c r="B744" s="35"/>
      <c r="C744" s="27"/>
      <c r="D744" s="36"/>
      <c r="E744" s="34"/>
      <c r="F744" s="38"/>
      <c r="G744" s="34"/>
      <c r="H744" s="34"/>
      <c r="I744" s="27"/>
      <c r="J744" s="27"/>
      <c r="K744" s="27"/>
      <c r="L744" s="27"/>
      <c r="M744" s="27"/>
      <c r="N744" s="27"/>
      <c r="O744" s="27"/>
      <c r="P744" s="27"/>
    </row>
    <row r="745">
      <c r="A745" s="27"/>
      <c r="B745" s="35"/>
      <c r="C745" s="27"/>
      <c r="D745" s="36"/>
      <c r="E745" s="34"/>
      <c r="F745" s="38"/>
      <c r="G745" s="34"/>
      <c r="H745" s="34"/>
      <c r="I745" s="27"/>
      <c r="J745" s="27"/>
      <c r="K745" s="27"/>
      <c r="L745" s="27"/>
      <c r="M745" s="27"/>
      <c r="N745" s="27"/>
      <c r="O745" s="27"/>
      <c r="P745" s="27"/>
    </row>
    <row r="746">
      <c r="A746" s="27"/>
      <c r="B746" s="35"/>
      <c r="C746" s="27"/>
      <c r="D746" s="36"/>
      <c r="E746" s="34"/>
      <c r="F746" s="38"/>
      <c r="G746" s="34"/>
      <c r="H746" s="34"/>
      <c r="I746" s="27"/>
      <c r="J746" s="27"/>
      <c r="K746" s="27"/>
      <c r="L746" s="27"/>
      <c r="M746" s="27"/>
      <c r="N746" s="27"/>
      <c r="O746" s="27"/>
      <c r="P746" s="27"/>
    </row>
    <row r="747">
      <c r="A747" s="27"/>
      <c r="B747" s="35"/>
      <c r="C747" s="27"/>
      <c r="D747" s="36"/>
      <c r="E747" s="34"/>
      <c r="F747" s="38"/>
      <c r="G747" s="34"/>
      <c r="H747" s="34"/>
      <c r="I747" s="27"/>
      <c r="J747" s="27"/>
      <c r="K747" s="27"/>
      <c r="L747" s="27"/>
      <c r="M747" s="27"/>
      <c r="N747" s="27"/>
      <c r="O747" s="27"/>
      <c r="P747" s="27"/>
    </row>
    <row r="748">
      <c r="A748" s="27"/>
      <c r="B748" s="35"/>
      <c r="C748" s="27"/>
      <c r="D748" s="36"/>
      <c r="E748" s="34"/>
      <c r="F748" s="38"/>
      <c r="G748" s="34"/>
      <c r="H748" s="34"/>
      <c r="I748" s="27"/>
      <c r="J748" s="27"/>
      <c r="K748" s="27"/>
      <c r="L748" s="27"/>
      <c r="M748" s="27"/>
      <c r="N748" s="27"/>
      <c r="O748" s="27"/>
      <c r="P748" s="27"/>
    </row>
    <row r="749">
      <c r="A749" s="27"/>
      <c r="B749" s="35"/>
      <c r="C749" s="27"/>
      <c r="D749" s="36"/>
      <c r="E749" s="34"/>
      <c r="F749" s="38"/>
      <c r="G749" s="34"/>
      <c r="H749" s="34"/>
      <c r="I749" s="27"/>
      <c r="J749" s="27"/>
      <c r="K749" s="27"/>
      <c r="L749" s="27"/>
      <c r="M749" s="27"/>
      <c r="N749" s="27"/>
      <c r="O749" s="27"/>
      <c r="P749" s="27"/>
    </row>
    <row r="750">
      <c r="A750" s="27"/>
      <c r="B750" s="35"/>
      <c r="C750" s="27"/>
      <c r="D750" s="36"/>
      <c r="E750" s="34"/>
      <c r="F750" s="38"/>
      <c r="G750" s="34"/>
      <c r="H750" s="34"/>
      <c r="I750" s="27"/>
      <c r="J750" s="27"/>
      <c r="K750" s="27"/>
      <c r="L750" s="27"/>
      <c r="M750" s="27"/>
      <c r="N750" s="27"/>
      <c r="O750" s="27"/>
      <c r="P750" s="27"/>
    </row>
    <row r="751">
      <c r="A751" s="27"/>
      <c r="B751" s="35"/>
      <c r="C751" s="27"/>
      <c r="D751" s="36"/>
      <c r="E751" s="34"/>
      <c r="F751" s="38"/>
      <c r="G751" s="34"/>
      <c r="H751" s="34"/>
      <c r="I751" s="27"/>
      <c r="J751" s="27"/>
      <c r="K751" s="27"/>
      <c r="L751" s="27"/>
      <c r="M751" s="27"/>
      <c r="N751" s="27"/>
      <c r="O751" s="27"/>
      <c r="P751" s="27"/>
    </row>
    <row r="752">
      <c r="A752" s="27"/>
      <c r="B752" s="35"/>
      <c r="C752" s="27"/>
      <c r="D752" s="36"/>
      <c r="E752" s="34"/>
      <c r="F752" s="38"/>
      <c r="G752" s="34"/>
      <c r="H752" s="34"/>
      <c r="I752" s="27"/>
      <c r="J752" s="27"/>
      <c r="K752" s="27"/>
      <c r="L752" s="27"/>
      <c r="M752" s="27"/>
      <c r="N752" s="27"/>
      <c r="O752" s="27"/>
      <c r="P752" s="27"/>
    </row>
    <row r="753">
      <c r="A753" s="27"/>
      <c r="B753" s="35"/>
      <c r="C753" s="27"/>
      <c r="D753" s="36"/>
      <c r="E753" s="34"/>
      <c r="F753" s="38"/>
      <c r="G753" s="34"/>
      <c r="H753" s="34"/>
      <c r="I753" s="27"/>
      <c r="J753" s="27"/>
      <c r="K753" s="27"/>
      <c r="L753" s="27"/>
      <c r="M753" s="27"/>
      <c r="N753" s="27"/>
      <c r="O753" s="27"/>
      <c r="P753" s="27"/>
    </row>
    <row r="754">
      <c r="A754" s="27"/>
      <c r="B754" s="35"/>
      <c r="C754" s="27"/>
      <c r="D754" s="36"/>
      <c r="E754" s="34"/>
      <c r="F754" s="38"/>
      <c r="G754" s="34"/>
      <c r="H754" s="34"/>
      <c r="I754" s="27"/>
      <c r="J754" s="27"/>
      <c r="K754" s="27"/>
      <c r="L754" s="27"/>
      <c r="M754" s="27"/>
      <c r="N754" s="27"/>
      <c r="O754" s="27"/>
      <c r="P754" s="27"/>
    </row>
    <row r="755">
      <c r="A755" s="27"/>
      <c r="B755" s="35"/>
      <c r="C755" s="27"/>
      <c r="D755" s="36"/>
      <c r="E755" s="34"/>
      <c r="F755" s="38"/>
      <c r="G755" s="34"/>
      <c r="H755" s="34"/>
      <c r="I755" s="27"/>
      <c r="J755" s="27"/>
      <c r="K755" s="27"/>
      <c r="L755" s="27"/>
      <c r="M755" s="27"/>
      <c r="N755" s="27"/>
      <c r="O755" s="27"/>
      <c r="P755" s="27"/>
    </row>
    <row r="756">
      <c r="A756" s="27"/>
      <c r="B756" s="35"/>
      <c r="C756" s="27"/>
      <c r="D756" s="36"/>
      <c r="E756" s="34"/>
      <c r="F756" s="38"/>
      <c r="G756" s="34"/>
      <c r="H756" s="34"/>
      <c r="I756" s="27"/>
      <c r="J756" s="27"/>
      <c r="K756" s="27"/>
      <c r="L756" s="27"/>
      <c r="M756" s="27"/>
      <c r="N756" s="27"/>
      <c r="O756" s="27"/>
      <c r="P756" s="27"/>
    </row>
    <row r="757">
      <c r="A757" s="27"/>
      <c r="B757" s="35"/>
      <c r="C757" s="27"/>
      <c r="D757" s="36"/>
      <c r="E757" s="34"/>
      <c r="F757" s="38"/>
      <c r="G757" s="34"/>
      <c r="H757" s="34"/>
      <c r="I757" s="27"/>
      <c r="J757" s="27"/>
      <c r="K757" s="27"/>
      <c r="L757" s="27"/>
      <c r="M757" s="27"/>
      <c r="N757" s="27"/>
      <c r="O757" s="27"/>
      <c r="P757" s="27"/>
    </row>
    <row r="758">
      <c r="A758" s="27"/>
      <c r="B758" s="35"/>
      <c r="C758" s="27"/>
      <c r="D758" s="36"/>
      <c r="E758" s="34"/>
      <c r="F758" s="38"/>
      <c r="G758" s="34"/>
      <c r="H758" s="34"/>
      <c r="I758" s="27"/>
      <c r="J758" s="27"/>
      <c r="K758" s="27"/>
      <c r="L758" s="27"/>
      <c r="M758" s="27"/>
      <c r="N758" s="27"/>
      <c r="O758" s="27"/>
      <c r="P758" s="27"/>
    </row>
    <row r="759">
      <c r="A759" s="27"/>
      <c r="B759" s="35"/>
      <c r="C759" s="27"/>
      <c r="D759" s="36"/>
      <c r="E759" s="34"/>
      <c r="F759" s="38"/>
      <c r="G759" s="34"/>
      <c r="H759" s="34"/>
      <c r="I759" s="27"/>
      <c r="J759" s="27"/>
      <c r="K759" s="27"/>
      <c r="L759" s="27"/>
      <c r="M759" s="27"/>
      <c r="N759" s="27"/>
      <c r="O759" s="27"/>
      <c r="P759" s="27"/>
    </row>
    <row r="760">
      <c r="A760" s="27"/>
      <c r="B760" s="35"/>
      <c r="C760" s="27"/>
      <c r="D760" s="36"/>
      <c r="E760" s="34"/>
      <c r="F760" s="38"/>
      <c r="G760" s="34"/>
      <c r="H760" s="34"/>
      <c r="I760" s="27"/>
      <c r="J760" s="27"/>
      <c r="K760" s="27"/>
      <c r="L760" s="27"/>
      <c r="M760" s="27"/>
      <c r="N760" s="27"/>
      <c r="O760" s="27"/>
      <c r="P760" s="27"/>
    </row>
    <row r="761">
      <c r="A761" s="27"/>
      <c r="B761" s="35"/>
      <c r="C761" s="27"/>
      <c r="D761" s="36"/>
      <c r="E761" s="34"/>
      <c r="F761" s="38"/>
      <c r="G761" s="34"/>
      <c r="H761" s="34"/>
      <c r="I761" s="27"/>
      <c r="J761" s="27"/>
      <c r="K761" s="27"/>
      <c r="L761" s="27"/>
      <c r="M761" s="27"/>
      <c r="N761" s="27"/>
      <c r="O761" s="27"/>
      <c r="P761" s="27"/>
    </row>
    <row r="762">
      <c r="A762" s="27"/>
      <c r="B762" s="35"/>
      <c r="C762" s="27"/>
      <c r="D762" s="36"/>
      <c r="E762" s="34"/>
      <c r="F762" s="38"/>
      <c r="G762" s="34"/>
      <c r="H762" s="34"/>
      <c r="I762" s="27"/>
      <c r="J762" s="27"/>
      <c r="K762" s="27"/>
      <c r="L762" s="27"/>
      <c r="M762" s="27"/>
      <c r="N762" s="27"/>
      <c r="O762" s="27"/>
      <c r="P762" s="27"/>
    </row>
    <row r="763">
      <c r="A763" s="27"/>
      <c r="B763" s="35"/>
      <c r="C763" s="27"/>
      <c r="D763" s="36"/>
      <c r="E763" s="34"/>
      <c r="F763" s="38"/>
      <c r="G763" s="34"/>
      <c r="H763" s="34"/>
      <c r="I763" s="27"/>
      <c r="J763" s="27"/>
      <c r="K763" s="27"/>
      <c r="L763" s="27"/>
      <c r="M763" s="27"/>
      <c r="N763" s="27"/>
      <c r="O763" s="27"/>
      <c r="P763" s="27"/>
    </row>
    <row r="764">
      <c r="A764" s="27"/>
      <c r="B764" s="35"/>
      <c r="C764" s="27"/>
      <c r="D764" s="36"/>
      <c r="E764" s="34"/>
      <c r="F764" s="38"/>
      <c r="G764" s="34"/>
      <c r="H764" s="34"/>
      <c r="I764" s="27"/>
      <c r="J764" s="27"/>
      <c r="K764" s="27"/>
      <c r="L764" s="27"/>
      <c r="M764" s="27"/>
      <c r="N764" s="27"/>
      <c r="O764" s="27"/>
      <c r="P764" s="27"/>
    </row>
    <row r="765">
      <c r="A765" s="27"/>
      <c r="B765" s="35"/>
      <c r="C765" s="27"/>
      <c r="D765" s="36"/>
      <c r="E765" s="34"/>
      <c r="F765" s="38"/>
      <c r="G765" s="34"/>
      <c r="H765" s="34"/>
      <c r="I765" s="27"/>
      <c r="J765" s="27"/>
      <c r="K765" s="27"/>
      <c r="L765" s="27"/>
      <c r="M765" s="27"/>
      <c r="N765" s="27"/>
      <c r="O765" s="27"/>
      <c r="P765" s="27"/>
    </row>
    <row r="766">
      <c r="A766" s="27"/>
      <c r="B766" s="35"/>
      <c r="C766" s="27"/>
      <c r="D766" s="36"/>
      <c r="E766" s="34"/>
      <c r="F766" s="38"/>
      <c r="G766" s="34"/>
      <c r="H766" s="34"/>
      <c r="I766" s="27"/>
      <c r="J766" s="27"/>
      <c r="K766" s="27"/>
      <c r="L766" s="27"/>
      <c r="M766" s="27"/>
      <c r="N766" s="27"/>
      <c r="O766" s="27"/>
      <c r="P766" s="27"/>
    </row>
    <row r="767">
      <c r="A767" s="27"/>
      <c r="B767" s="35"/>
      <c r="C767" s="27"/>
      <c r="D767" s="36"/>
      <c r="E767" s="34"/>
      <c r="F767" s="38"/>
      <c r="G767" s="34"/>
      <c r="H767" s="34"/>
      <c r="I767" s="27"/>
      <c r="J767" s="27"/>
      <c r="K767" s="27"/>
      <c r="L767" s="27"/>
      <c r="M767" s="27"/>
      <c r="N767" s="27"/>
      <c r="O767" s="27"/>
      <c r="P767" s="27"/>
    </row>
    <row r="768">
      <c r="A768" s="27"/>
      <c r="B768" s="35"/>
      <c r="C768" s="27"/>
      <c r="D768" s="36"/>
      <c r="E768" s="34"/>
      <c r="F768" s="38"/>
      <c r="G768" s="34"/>
      <c r="H768" s="34"/>
      <c r="I768" s="27"/>
      <c r="J768" s="27"/>
      <c r="K768" s="27"/>
      <c r="L768" s="27"/>
      <c r="M768" s="27"/>
      <c r="N768" s="27"/>
      <c r="O768" s="27"/>
      <c r="P768" s="27"/>
    </row>
    <row r="769">
      <c r="A769" s="27"/>
      <c r="B769" s="35"/>
      <c r="C769" s="27"/>
      <c r="D769" s="36"/>
      <c r="E769" s="34"/>
      <c r="F769" s="38"/>
      <c r="G769" s="34"/>
      <c r="H769" s="34"/>
      <c r="I769" s="27"/>
      <c r="J769" s="27"/>
      <c r="K769" s="27"/>
      <c r="L769" s="27"/>
      <c r="M769" s="27"/>
      <c r="N769" s="27"/>
      <c r="O769" s="27"/>
      <c r="P769" s="27"/>
    </row>
    <row r="770">
      <c r="A770" s="27"/>
      <c r="B770" s="35"/>
      <c r="C770" s="27"/>
      <c r="D770" s="36"/>
      <c r="E770" s="34"/>
      <c r="F770" s="38"/>
      <c r="G770" s="34"/>
      <c r="H770" s="34"/>
      <c r="I770" s="27"/>
      <c r="J770" s="27"/>
      <c r="K770" s="27"/>
      <c r="L770" s="27"/>
      <c r="M770" s="27"/>
      <c r="N770" s="27"/>
      <c r="O770" s="27"/>
      <c r="P770" s="27"/>
    </row>
    <row r="771">
      <c r="A771" s="27"/>
      <c r="B771" s="35"/>
      <c r="C771" s="27"/>
      <c r="D771" s="36"/>
      <c r="E771" s="34"/>
      <c r="F771" s="38"/>
      <c r="G771" s="34"/>
      <c r="H771" s="34"/>
      <c r="I771" s="27"/>
      <c r="J771" s="27"/>
      <c r="K771" s="27"/>
      <c r="L771" s="27"/>
      <c r="M771" s="27"/>
      <c r="N771" s="27"/>
      <c r="O771" s="27"/>
      <c r="P771" s="27"/>
    </row>
    <row r="772">
      <c r="A772" s="27"/>
      <c r="B772" s="35"/>
      <c r="C772" s="27"/>
      <c r="D772" s="36"/>
      <c r="E772" s="34"/>
      <c r="F772" s="38"/>
      <c r="G772" s="34"/>
      <c r="H772" s="34"/>
      <c r="I772" s="27"/>
      <c r="J772" s="27"/>
      <c r="K772" s="27"/>
      <c r="L772" s="27"/>
      <c r="M772" s="27"/>
      <c r="N772" s="27"/>
      <c r="O772" s="27"/>
      <c r="P772" s="27"/>
    </row>
    <row r="773">
      <c r="A773" s="27"/>
      <c r="B773" s="35"/>
      <c r="C773" s="27"/>
      <c r="D773" s="36"/>
      <c r="E773" s="34"/>
      <c r="F773" s="38"/>
      <c r="G773" s="34"/>
      <c r="H773" s="34"/>
      <c r="I773" s="27"/>
      <c r="J773" s="27"/>
      <c r="K773" s="27"/>
      <c r="L773" s="27"/>
      <c r="M773" s="27"/>
      <c r="N773" s="27"/>
      <c r="O773" s="27"/>
      <c r="P773" s="27"/>
    </row>
    <row r="774">
      <c r="A774" s="27"/>
      <c r="B774" s="35"/>
      <c r="C774" s="27"/>
      <c r="D774" s="36"/>
      <c r="E774" s="34"/>
      <c r="F774" s="38"/>
      <c r="G774" s="34"/>
      <c r="H774" s="34"/>
      <c r="I774" s="27"/>
      <c r="J774" s="27"/>
      <c r="K774" s="27"/>
      <c r="L774" s="27"/>
      <c r="M774" s="27"/>
      <c r="N774" s="27"/>
      <c r="O774" s="27"/>
      <c r="P774" s="27"/>
    </row>
    <row r="775">
      <c r="A775" s="27"/>
      <c r="B775" s="35"/>
      <c r="C775" s="27"/>
      <c r="D775" s="36"/>
      <c r="E775" s="34"/>
      <c r="F775" s="38"/>
      <c r="G775" s="34"/>
      <c r="H775" s="34"/>
      <c r="I775" s="27"/>
      <c r="J775" s="27"/>
      <c r="K775" s="27"/>
      <c r="L775" s="27"/>
      <c r="M775" s="27"/>
      <c r="N775" s="27"/>
      <c r="O775" s="27"/>
      <c r="P775" s="27"/>
    </row>
    <row r="776">
      <c r="A776" s="27"/>
      <c r="B776" s="35"/>
      <c r="C776" s="27"/>
      <c r="D776" s="36"/>
      <c r="E776" s="34"/>
      <c r="F776" s="38"/>
      <c r="G776" s="34"/>
      <c r="H776" s="34"/>
      <c r="I776" s="27"/>
      <c r="J776" s="27"/>
      <c r="K776" s="27"/>
      <c r="L776" s="27"/>
      <c r="M776" s="27"/>
      <c r="N776" s="27"/>
      <c r="O776" s="27"/>
      <c r="P776" s="27"/>
    </row>
    <row r="777">
      <c r="A777" s="27"/>
      <c r="B777" s="35"/>
      <c r="C777" s="27"/>
      <c r="D777" s="36"/>
      <c r="E777" s="34"/>
      <c r="F777" s="38"/>
      <c r="G777" s="34"/>
      <c r="H777" s="34"/>
      <c r="I777" s="27"/>
      <c r="J777" s="27"/>
      <c r="K777" s="27"/>
      <c r="L777" s="27"/>
      <c r="M777" s="27"/>
      <c r="N777" s="27"/>
      <c r="O777" s="27"/>
      <c r="P777" s="27"/>
    </row>
    <row r="778">
      <c r="A778" s="27"/>
      <c r="B778" s="35"/>
      <c r="C778" s="27"/>
      <c r="D778" s="36"/>
      <c r="E778" s="34"/>
      <c r="F778" s="38"/>
      <c r="G778" s="34"/>
      <c r="H778" s="34"/>
      <c r="I778" s="27"/>
      <c r="J778" s="27"/>
      <c r="K778" s="27"/>
      <c r="L778" s="27"/>
      <c r="M778" s="27"/>
      <c r="N778" s="27"/>
      <c r="O778" s="27"/>
      <c r="P778" s="27"/>
    </row>
    <row r="779">
      <c r="A779" s="27"/>
      <c r="B779" s="35"/>
      <c r="C779" s="27"/>
      <c r="D779" s="36"/>
      <c r="E779" s="34"/>
      <c r="F779" s="38"/>
      <c r="G779" s="34"/>
      <c r="H779" s="34"/>
      <c r="I779" s="27"/>
      <c r="J779" s="27"/>
      <c r="K779" s="27"/>
      <c r="L779" s="27"/>
      <c r="M779" s="27"/>
      <c r="N779" s="27"/>
      <c r="O779" s="27"/>
      <c r="P779" s="27"/>
    </row>
    <row r="780">
      <c r="A780" s="27"/>
      <c r="B780" s="35"/>
      <c r="C780" s="27"/>
      <c r="D780" s="36"/>
      <c r="E780" s="34"/>
      <c r="F780" s="38"/>
      <c r="G780" s="34"/>
      <c r="H780" s="34"/>
      <c r="I780" s="27"/>
      <c r="J780" s="27"/>
      <c r="K780" s="27"/>
      <c r="L780" s="27"/>
      <c r="M780" s="27"/>
      <c r="N780" s="27"/>
      <c r="O780" s="27"/>
      <c r="P780" s="27"/>
    </row>
    <row r="781">
      <c r="A781" s="27"/>
      <c r="B781" s="35"/>
      <c r="C781" s="27"/>
      <c r="D781" s="36"/>
      <c r="E781" s="34"/>
      <c r="F781" s="38"/>
      <c r="G781" s="34"/>
      <c r="H781" s="34"/>
      <c r="I781" s="27"/>
      <c r="J781" s="27"/>
      <c r="K781" s="27"/>
      <c r="L781" s="27"/>
      <c r="M781" s="27"/>
      <c r="N781" s="27"/>
      <c r="O781" s="27"/>
      <c r="P781" s="27"/>
    </row>
    <row r="782">
      <c r="A782" s="27"/>
      <c r="B782" s="35"/>
      <c r="C782" s="27"/>
      <c r="D782" s="36"/>
      <c r="E782" s="34"/>
      <c r="F782" s="38"/>
      <c r="G782" s="34"/>
      <c r="H782" s="34"/>
      <c r="I782" s="27"/>
      <c r="J782" s="27"/>
      <c r="K782" s="27"/>
      <c r="L782" s="27"/>
      <c r="M782" s="27"/>
      <c r="N782" s="27"/>
      <c r="O782" s="27"/>
      <c r="P782" s="27"/>
    </row>
    <row r="783">
      <c r="A783" s="27"/>
      <c r="B783" s="35"/>
      <c r="C783" s="27"/>
      <c r="D783" s="36"/>
      <c r="E783" s="34"/>
      <c r="F783" s="38"/>
      <c r="G783" s="34"/>
      <c r="H783" s="34"/>
      <c r="I783" s="27"/>
      <c r="J783" s="27"/>
      <c r="K783" s="27"/>
      <c r="L783" s="27"/>
      <c r="M783" s="27"/>
      <c r="N783" s="27"/>
      <c r="O783" s="27"/>
      <c r="P783" s="27"/>
    </row>
    <row r="784">
      <c r="A784" s="27"/>
      <c r="B784" s="35"/>
      <c r="C784" s="27"/>
      <c r="D784" s="36"/>
      <c r="E784" s="34"/>
      <c r="F784" s="38"/>
      <c r="G784" s="34"/>
      <c r="H784" s="34"/>
      <c r="I784" s="27"/>
      <c r="J784" s="27"/>
      <c r="K784" s="27"/>
      <c r="L784" s="27"/>
      <c r="M784" s="27"/>
      <c r="N784" s="27"/>
      <c r="O784" s="27"/>
      <c r="P784" s="27"/>
    </row>
    <row r="785">
      <c r="A785" s="27"/>
      <c r="B785" s="35"/>
      <c r="C785" s="27"/>
      <c r="D785" s="36"/>
      <c r="E785" s="34"/>
      <c r="F785" s="38"/>
      <c r="G785" s="34"/>
      <c r="H785" s="34"/>
      <c r="I785" s="27"/>
      <c r="J785" s="27"/>
      <c r="K785" s="27"/>
      <c r="L785" s="27"/>
      <c r="M785" s="27"/>
      <c r="N785" s="27"/>
      <c r="O785" s="27"/>
      <c r="P785" s="27"/>
    </row>
    <row r="786">
      <c r="A786" s="27"/>
      <c r="B786" s="35"/>
      <c r="C786" s="27"/>
      <c r="D786" s="36"/>
      <c r="E786" s="34"/>
      <c r="F786" s="38"/>
      <c r="G786" s="34"/>
      <c r="H786" s="34"/>
      <c r="I786" s="27"/>
      <c r="J786" s="27"/>
      <c r="K786" s="27"/>
      <c r="L786" s="27"/>
      <c r="M786" s="27"/>
      <c r="N786" s="27"/>
      <c r="O786" s="27"/>
      <c r="P786" s="27"/>
    </row>
    <row r="787">
      <c r="A787" s="27"/>
      <c r="B787" s="35"/>
      <c r="C787" s="27"/>
      <c r="D787" s="36"/>
      <c r="E787" s="34"/>
      <c r="F787" s="38"/>
      <c r="G787" s="34"/>
      <c r="H787" s="34"/>
      <c r="I787" s="27"/>
      <c r="J787" s="27"/>
      <c r="K787" s="27"/>
      <c r="L787" s="27"/>
      <c r="M787" s="27"/>
      <c r="N787" s="27"/>
      <c r="O787" s="27"/>
      <c r="P787" s="27"/>
    </row>
    <row r="788">
      <c r="A788" s="27"/>
      <c r="B788" s="35"/>
      <c r="C788" s="27"/>
      <c r="D788" s="36"/>
      <c r="E788" s="34"/>
      <c r="F788" s="38"/>
      <c r="G788" s="34"/>
      <c r="H788" s="34"/>
      <c r="I788" s="27"/>
      <c r="J788" s="27"/>
      <c r="K788" s="27"/>
      <c r="L788" s="27"/>
      <c r="M788" s="27"/>
      <c r="N788" s="27"/>
      <c r="O788" s="27"/>
      <c r="P788" s="27"/>
    </row>
    <row r="789">
      <c r="A789" s="27"/>
      <c r="B789" s="35"/>
      <c r="C789" s="27"/>
      <c r="D789" s="36"/>
      <c r="E789" s="34"/>
      <c r="F789" s="38"/>
      <c r="G789" s="34"/>
      <c r="H789" s="34"/>
      <c r="I789" s="27"/>
      <c r="J789" s="27"/>
      <c r="K789" s="27"/>
      <c r="L789" s="27"/>
      <c r="M789" s="27"/>
      <c r="N789" s="27"/>
      <c r="O789" s="27"/>
      <c r="P789" s="27"/>
    </row>
    <row r="790">
      <c r="A790" s="27"/>
      <c r="B790" s="35"/>
      <c r="C790" s="27"/>
      <c r="D790" s="36"/>
      <c r="E790" s="34"/>
      <c r="F790" s="38"/>
      <c r="G790" s="34"/>
      <c r="H790" s="34"/>
      <c r="I790" s="27"/>
      <c r="J790" s="27"/>
      <c r="K790" s="27"/>
      <c r="L790" s="27"/>
      <c r="M790" s="27"/>
      <c r="N790" s="27"/>
      <c r="O790" s="27"/>
      <c r="P790" s="27"/>
    </row>
    <row r="791">
      <c r="A791" s="27"/>
      <c r="B791" s="35"/>
      <c r="C791" s="27"/>
      <c r="D791" s="36"/>
      <c r="E791" s="34"/>
      <c r="F791" s="38"/>
      <c r="G791" s="34"/>
      <c r="H791" s="34"/>
      <c r="I791" s="27"/>
      <c r="J791" s="27"/>
      <c r="K791" s="27"/>
      <c r="L791" s="27"/>
      <c r="M791" s="27"/>
      <c r="N791" s="27"/>
      <c r="O791" s="27"/>
      <c r="P791" s="27"/>
    </row>
    <row r="792">
      <c r="A792" s="27"/>
      <c r="B792" s="35"/>
      <c r="C792" s="27"/>
      <c r="D792" s="36"/>
      <c r="E792" s="34"/>
      <c r="F792" s="38"/>
      <c r="G792" s="34"/>
      <c r="H792" s="34"/>
      <c r="I792" s="27"/>
      <c r="J792" s="27"/>
      <c r="K792" s="27"/>
      <c r="L792" s="27"/>
      <c r="M792" s="27"/>
      <c r="N792" s="27"/>
      <c r="O792" s="27"/>
      <c r="P792" s="27"/>
    </row>
    <row r="793">
      <c r="A793" s="27"/>
      <c r="B793" s="35"/>
      <c r="C793" s="27"/>
      <c r="D793" s="36"/>
      <c r="E793" s="34"/>
      <c r="F793" s="38"/>
      <c r="G793" s="34"/>
      <c r="H793" s="34"/>
      <c r="I793" s="27"/>
      <c r="J793" s="27"/>
      <c r="K793" s="27"/>
      <c r="L793" s="27"/>
      <c r="M793" s="27"/>
      <c r="N793" s="27"/>
      <c r="O793" s="27"/>
      <c r="P793" s="27"/>
    </row>
    <row r="794">
      <c r="A794" s="27"/>
      <c r="B794" s="35"/>
      <c r="C794" s="27"/>
      <c r="D794" s="36"/>
      <c r="E794" s="34"/>
      <c r="F794" s="38"/>
      <c r="G794" s="34"/>
      <c r="H794" s="34"/>
      <c r="I794" s="27"/>
      <c r="J794" s="27"/>
      <c r="K794" s="27"/>
      <c r="L794" s="27"/>
      <c r="M794" s="27"/>
      <c r="N794" s="27"/>
      <c r="O794" s="27"/>
      <c r="P794" s="27"/>
    </row>
    <row r="795">
      <c r="A795" s="27"/>
      <c r="B795" s="35"/>
      <c r="C795" s="27"/>
      <c r="D795" s="36"/>
      <c r="E795" s="34"/>
      <c r="F795" s="38"/>
      <c r="G795" s="34"/>
      <c r="H795" s="34"/>
      <c r="I795" s="27"/>
      <c r="J795" s="27"/>
      <c r="K795" s="27"/>
      <c r="L795" s="27"/>
      <c r="M795" s="27"/>
      <c r="N795" s="27"/>
      <c r="O795" s="27"/>
      <c r="P795" s="27"/>
    </row>
    <row r="796">
      <c r="A796" s="27"/>
      <c r="B796" s="35"/>
      <c r="C796" s="27"/>
      <c r="D796" s="36"/>
      <c r="E796" s="34"/>
      <c r="F796" s="38"/>
      <c r="G796" s="34"/>
      <c r="H796" s="34"/>
      <c r="I796" s="27"/>
      <c r="J796" s="27"/>
      <c r="K796" s="27"/>
      <c r="L796" s="27"/>
      <c r="M796" s="27"/>
      <c r="N796" s="27"/>
      <c r="O796" s="27"/>
      <c r="P796" s="27"/>
    </row>
    <row r="797">
      <c r="A797" s="27"/>
      <c r="B797" s="35"/>
      <c r="C797" s="27"/>
      <c r="D797" s="36"/>
      <c r="E797" s="34"/>
      <c r="F797" s="38"/>
      <c r="G797" s="34"/>
      <c r="H797" s="34"/>
      <c r="I797" s="27"/>
      <c r="J797" s="27"/>
      <c r="K797" s="27"/>
      <c r="L797" s="27"/>
      <c r="M797" s="27"/>
      <c r="N797" s="27"/>
      <c r="O797" s="27"/>
      <c r="P797" s="27"/>
    </row>
    <row r="798">
      <c r="A798" s="27"/>
      <c r="B798" s="35"/>
      <c r="C798" s="27"/>
      <c r="D798" s="36"/>
      <c r="E798" s="34"/>
      <c r="F798" s="38"/>
      <c r="G798" s="34"/>
      <c r="H798" s="34"/>
      <c r="I798" s="27"/>
      <c r="J798" s="27"/>
      <c r="K798" s="27"/>
      <c r="L798" s="27"/>
      <c r="M798" s="27"/>
      <c r="N798" s="27"/>
      <c r="O798" s="27"/>
      <c r="P798" s="27"/>
    </row>
    <row r="799">
      <c r="A799" s="27"/>
      <c r="B799" s="35"/>
      <c r="C799" s="27"/>
      <c r="D799" s="36"/>
      <c r="E799" s="34"/>
      <c r="F799" s="38"/>
      <c r="G799" s="34"/>
      <c r="H799" s="34"/>
      <c r="I799" s="27"/>
      <c r="J799" s="27"/>
      <c r="K799" s="27"/>
      <c r="L799" s="27"/>
      <c r="M799" s="27"/>
      <c r="N799" s="27"/>
      <c r="O799" s="27"/>
      <c r="P799" s="27"/>
    </row>
    <row r="800">
      <c r="A800" s="27"/>
      <c r="B800" s="35"/>
      <c r="C800" s="27"/>
      <c r="D800" s="36"/>
      <c r="E800" s="34"/>
      <c r="F800" s="38"/>
      <c r="G800" s="34"/>
      <c r="H800" s="34"/>
      <c r="I800" s="27"/>
      <c r="J800" s="27"/>
      <c r="K800" s="27"/>
      <c r="L800" s="27"/>
      <c r="M800" s="27"/>
      <c r="N800" s="27"/>
      <c r="O800" s="27"/>
      <c r="P800" s="27"/>
    </row>
    <row r="801">
      <c r="A801" s="27"/>
      <c r="B801" s="35"/>
      <c r="C801" s="27"/>
      <c r="D801" s="36"/>
      <c r="E801" s="34"/>
      <c r="F801" s="38"/>
      <c r="G801" s="34"/>
      <c r="H801" s="34"/>
      <c r="I801" s="27"/>
      <c r="J801" s="27"/>
      <c r="K801" s="27"/>
      <c r="L801" s="27"/>
      <c r="M801" s="27"/>
      <c r="N801" s="27"/>
      <c r="O801" s="27"/>
      <c r="P801" s="27"/>
    </row>
    <row r="802">
      <c r="A802" s="27"/>
      <c r="B802" s="35"/>
      <c r="C802" s="27"/>
      <c r="D802" s="36"/>
      <c r="E802" s="34"/>
      <c r="F802" s="38"/>
      <c r="G802" s="34"/>
      <c r="H802" s="34"/>
      <c r="I802" s="27"/>
      <c r="J802" s="27"/>
      <c r="K802" s="27"/>
      <c r="L802" s="27"/>
      <c r="M802" s="27"/>
      <c r="N802" s="27"/>
      <c r="O802" s="27"/>
      <c r="P802" s="27"/>
    </row>
    <row r="803">
      <c r="A803" s="27"/>
      <c r="B803" s="35"/>
      <c r="C803" s="27"/>
      <c r="D803" s="36"/>
      <c r="E803" s="34"/>
      <c r="F803" s="38"/>
      <c r="G803" s="34"/>
      <c r="H803" s="34"/>
      <c r="I803" s="27"/>
      <c r="J803" s="27"/>
      <c r="K803" s="27"/>
      <c r="L803" s="27"/>
      <c r="M803" s="27"/>
      <c r="N803" s="27"/>
      <c r="O803" s="27"/>
      <c r="P803" s="27"/>
    </row>
    <row r="804">
      <c r="A804" s="27"/>
      <c r="B804" s="35"/>
      <c r="C804" s="27"/>
      <c r="D804" s="36"/>
      <c r="E804" s="34"/>
      <c r="F804" s="38"/>
      <c r="G804" s="34"/>
      <c r="H804" s="34"/>
      <c r="I804" s="27"/>
      <c r="J804" s="27"/>
      <c r="K804" s="27"/>
      <c r="L804" s="27"/>
      <c r="M804" s="27"/>
      <c r="N804" s="27"/>
      <c r="O804" s="27"/>
      <c r="P804" s="27"/>
    </row>
    <row r="805">
      <c r="A805" s="27"/>
      <c r="B805" s="35"/>
      <c r="C805" s="27"/>
      <c r="D805" s="36"/>
      <c r="E805" s="34"/>
      <c r="F805" s="38"/>
      <c r="G805" s="34"/>
      <c r="H805" s="34"/>
      <c r="I805" s="27"/>
      <c r="J805" s="27"/>
      <c r="K805" s="27"/>
      <c r="L805" s="27"/>
      <c r="M805" s="27"/>
      <c r="N805" s="27"/>
      <c r="O805" s="27"/>
      <c r="P805" s="27"/>
    </row>
    <row r="806">
      <c r="A806" s="27"/>
      <c r="B806" s="35"/>
      <c r="C806" s="27"/>
      <c r="D806" s="36"/>
      <c r="E806" s="34"/>
      <c r="F806" s="38"/>
      <c r="G806" s="34"/>
      <c r="H806" s="34"/>
      <c r="I806" s="27"/>
      <c r="J806" s="27"/>
      <c r="K806" s="27"/>
      <c r="L806" s="27"/>
      <c r="M806" s="27"/>
      <c r="N806" s="27"/>
      <c r="O806" s="27"/>
      <c r="P806" s="27"/>
    </row>
    <row r="807">
      <c r="A807" s="27"/>
      <c r="B807" s="35"/>
      <c r="C807" s="27"/>
      <c r="D807" s="36"/>
      <c r="E807" s="34"/>
      <c r="F807" s="38"/>
      <c r="G807" s="34"/>
      <c r="H807" s="34"/>
      <c r="I807" s="27"/>
      <c r="J807" s="27"/>
      <c r="K807" s="27"/>
      <c r="L807" s="27"/>
      <c r="M807" s="27"/>
      <c r="N807" s="27"/>
      <c r="O807" s="27"/>
      <c r="P807" s="27"/>
    </row>
    <row r="808">
      <c r="A808" s="27"/>
      <c r="B808" s="35"/>
      <c r="C808" s="27"/>
      <c r="D808" s="36"/>
      <c r="E808" s="34"/>
      <c r="F808" s="38"/>
      <c r="G808" s="34"/>
      <c r="H808" s="34"/>
      <c r="I808" s="27"/>
      <c r="J808" s="27"/>
      <c r="K808" s="27"/>
      <c r="L808" s="27"/>
      <c r="M808" s="27"/>
      <c r="N808" s="27"/>
      <c r="O808" s="27"/>
      <c r="P808" s="27"/>
    </row>
    <row r="809">
      <c r="A809" s="27"/>
      <c r="B809" s="35"/>
      <c r="C809" s="27"/>
      <c r="D809" s="36"/>
      <c r="E809" s="34"/>
      <c r="F809" s="38"/>
      <c r="G809" s="34"/>
      <c r="H809" s="34"/>
      <c r="I809" s="27"/>
      <c r="J809" s="27"/>
      <c r="K809" s="27"/>
      <c r="L809" s="27"/>
      <c r="M809" s="27"/>
      <c r="N809" s="27"/>
      <c r="O809" s="27"/>
      <c r="P809" s="27"/>
    </row>
    <row r="810">
      <c r="A810" s="27"/>
      <c r="B810" s="35"/>
      <c r="C810" s="27"/>
      <c r="D810" s="36"/>
      <c r="E810" s="34"/>
      <c r="F810" s="38"/>
      <c r="G810" s="34"/>
      <c r="H810" s="34"/>
      <c r="I810" s="27"/>
      <c r="J810" s="27"/>
      <c r="K810" s="27"/>
      <c r="L810" s="27"/>
      <c r="M810" s="27"/>
      <c r="N810" s="27"/>
      <c r="O810" s="27"/>
      <c r="P810" s="27"/>
    </row>
    <row r="811">
      <c r="A811" s="27"/>
      <c r="B811" s="35"/>
      <c r="C811" s="27"/>
      <c r="D811" s="36"/>
      <c r="E811" s="34"/>
      <c r="F811" s="38"/>
      <c r="G811" s="34"/>
      <c r="H811" s="34"/>
      <c r="I811" s="27"/>
      <c r="J811" s="27"/>
      <c r="K811" s="27"/>
      <c r="L811" s="27"/>
      <c r="M811" s="27"/>
      <c r="N811" s="27"/>
      <c r="O811" s="27"/>
      <c r="P811" s="27"/>
    </row>
    <row r="812">
      <c r="A812" s="27"/>
      <c r="B812" s="35"/>
      <c r="C812" s="27"/>
      <c r="D812" s="36"/>
      <c r="E812" s="34"/>
      <c r="F812" s="38"/>
      <c r="G812" s="34"/>
      <c r="H812" s="34"/>
      <c r="I812" s="27"/>
      <c r="J812" s="27"/>
      <c r="K812" s="27"/>
      <c r="L812" s="27"/>
      <c r="M812" s="27"/>
      <c r="N812" s="27"/>
      <c r="O812" s="27"/>
      <c r="P812" s="27"/>
    </row>
    <row r="813">
      <c r="A813" s="27"/>
      <c r="B813" s="35"/>
      <c r="C813" s="27"/>
      <c r="D813" s="36"/>
      <c r="E813" s="34"/>
      <c r="F813" s="38"/>
      <c r="G813" s="34"/>
      <c r="H813" s="34"/>
      <c r="I813" s="27"/>
      <c r="J813" s="27"/>
      <c r="K813" s="27"/>
      <c r="L813" s="27"/>
      <c r="M813" s="27"/>
      <c r="N813" s="27"/>
      <c r="O813" s="27"/>
      <c r="P813" s="27"/>
    </row>
    <row r="814">
      <c r="A814" s="27"/>
      <c r="B814" s="35"/>
      <c r="C814" s="27"/>
      <c r="D814" s="36"/>
      <c r="E814" s="34"/>
      <c r="F814" s="38"/>
      <c r="G814" s="34"/>
      <c r="H814" s="34"/>
      <c r="I814" s="27"/>
      <c r="J814" s="27"/>
      <c r="K814" s="27"/>
      <c r="L814" s="27"/>
      <c r="M814" s="27"/>
      <c r="N814" s="27"/>
      <c r="O814" s="27"/>
      <c r="P814" s="27"/>
    </row>
    <row r="815">
      <c r="A815" s="27"/>
      <c r="B815" s="35"/>
      <c r="C815" s="27"/>
      <c r="D815" s="36"/>
      <c r="E815" s="34"/>
      <c r="F815" s="38"/>
      <c r="G815" s="34"/>
      <c r="H815" s="34"/>
      <c r="I815" s="27"/>
      <c r="J815" s="27"/>
      <c r="K815" s="27"/>
      <c r="L815" s="27"/>
      <c r="M815" s="27"/>
      <c r="N815" s="27"/>
      <c r="O815" s="27"/>
      <c r="P815" s="27"/>
    </row>
    <row r="816">
      <c r="A816" s="27"/>
      <c r="B816" s="35"/>
      <c r="C816" s="27"/>
      <c r="D816" s="36"/>
      <c r="E816" s="34"/>
      <c r="F816" s="38"/>
      <c r="G816" s="34"/>
      <c r="H816" s="34"/>
      <c r="I816" s="27"/>
      <c r="J816" s="27"/>
      <c r="K816" s="27"/>
      <c r="L816" s="27"/>
      <c r="M816" s="27"/>
      <c r="N816" s="27"/>
      <c r="O816" s="27"/>
      <c r="P816" s="27"/>
    </row>
    <row r="817">
      <c r="A817" s="27"/>
      <c r="B817" s="35"/>
      <c r="C817" s="27"/>
      <c r="D817" s="36"/>
      <c r="E817" s="34"/>
      <c r="F817" s="38"/>
      <c r="G817" s="34"/>
      <c r="H817" s="34"/>
      <c r="I817" s="27"/>
      <c r="J817" s="27"/>
      <c r="K817" s="27"/>
      <c r="L817" s="27"/>
      <c r="M817" s="27"/>
      <c r="N817" s="27"/>
      <c r="O817" s="27"/>
      <c r="P817" s="27"/>
    </row>
    <row r="818">
      <c r="A818" s="27"/>
      <c r="B818" s="35"/>
      <c r="C818" s="27"/>
      <c r="D818" s="36"/>
      <c r="E818" s="34"/>
      <c r="F818" s="38"/>
      <c r="G818" s="34"/>
      <c r="H818" s="34"/>
      <c r="I818" s="27"/>
      <c r="J818" s="27"/>
      <c r="K818" s="27"/>
      <c r="L818" s="27"/>
      <c r="M818" s="27"/>
      <c r="N818" s="27"/>
      <c r="O818" s="27"/>
      <c r="P818" s="27"/>
    </row>
    <row r="819">
      <c r="A819" s="27"/>
      <c r="B819" s="35"/>
      <c r="C819" s="27"/>
      <c r="D819" s="36"/>
      <c r="E819" s="34"/>
      <c r="F819" s="38"/>
      <c r="G819" s="34"/>
      <c r="H819" s="34"/>
      <c r="I819" s="27"/>
      <c r="J819" s="27"/>
      <c r="K819" s="27"/>
      <c r="L819" s="27"/>
      <c r="M819" s="27"/>
      <c r="N819" s="27"/>
      <c r="O819" s="27"/>
      <c r="P819" s="27"/>
    </row>
    <row r="820">
      <c r="A820" s="27"/>
      <c r="B820" s="35"/>
      <c r="C820" s="27"/>
      <c r="D820" s="36"/>
      <c r="E820" s="34"/>
      <c r="F820" s="38"/>
      <c r="G820" s="34"/>
      <c r="H820" s="34"/>
      <c r="I820" s="27"/>
      <c r="J820" s="27"/>
      <c r="K820" s="27"/>
      <c r="L820" s="27"/>
      <c r="M820" s="27"/>
      <c r="N820" s="27"/>
      <c r="O820" s="27"/>
      <c r="P820" s="27"/>
    </row>
    <row r="821">
      <c r="A821" s="27"/>
      <c r="B821" s="35"/>
      <c r="C821" s="27"/>
      <c r="D821" s="36"/>
      <c r="E821" s="34"/>
      <c r="F821" s="38"/>
      <c r="G821" s="34"/>
      <c r="H821" s="34"/>
      <c r="I821" s="27"/>
      <c r="J821" s="27"/>
      <c r="K821" s="27"/>
      <c r="L821" s="27"/>
      <c r="M821" s="27"/>
      <c r="N821" s="27"/>
      <c r="O821" s="27"/>
      <c r="P821" s="27"/>
    </row>
    <row r="822">
      <c r="A822" s="27"/>
      <c r="B822" s="35"/>
      <c r="C822" s="27"/>
      <c r="D822" s="36"/>
      <c r="E822" s="34"/>
      <c r="F822" s="38"/>
      <c r="G822" s="34"/>
      <c r="H822" s="34"/>
      <c r="I822" s="27"/>
      <c r="J822" s="27"/>
      <c r="K822" s="27"/>
      <c r="L822" s="27"/>
      <c r="M822" s="27"/>
      <c r="N822" s="27"/>
      <c r="O822" s="27"/>
      <c r="P822" s="27"/>
    </row>
    <row r="823">
      <c r="A823" s="27"/>
      <c r="B823" s="35"/>
      <c r="C823" s="27"/>
      <c r="D823" s="36"/>
      <c r="E823" s="34"/>
      <c r="F823" s="38"/>
      <c r="G823" s="34"/>
      <c r="H823" s="34"/>
      <c r="I823" s="27"/>
      <c r="J823" s="27"/>
      <c r="K823" s="27"/>
      <c r="L823" s="27"/>
      <c r="M823" s="27"/>
      <c r="N823" s="27"/>
      <c r="O823" s="27"/>
      <c r="P823" s="27"/>
    </row>
    <row r="824">
      <c r="A824" s="27"/>
      <c r="B824" s="35"/>
      <c r="C824" s="27"/>
      <c r="D824" s="36"/>
      <c r="E824" s="34"/>
      <c r="F824" s="38"/>
      <c r="G824" s="34"/>
      <c r="H824" s="34"/>
      <c r="I824" s="27"/>
      <c r="J824" s="27"/>
      <c r="K824" s="27"/>
      <c r="L824" s="27"/>
      <c r="M824" s="27"/>
      <c r="N824" s="27"/>
      <c r="O824" s="27"/>
      <c r="P824" s="27"/>
    </row>
    <row r="825">
      <c r="A825" s="27"/>
      <c r="B825" s="35"/>
      <c r="C825" s="27"/>
      <c r="D825" s="36"/>
      <c r="E825" s="34"/>
      <c r="F825" s="38"/>
      <c r="G825" s="34"/>
      <c r="H825" s="34"/>
      <c r="I825" s="27"/>
      <c r="J825" s="27"/>
      <c r="K825" s="27"/>
      <c r="L825" s="27"/>
      <c r="M825" s="27"/>
      <c r="N825" s="27"/>
      <c r="O825" s="27"/>
      <c r="P825" s="27"/>
    </row>
    <row r="826">
      <c r="A826" s="27"/>
      <c r="B826" s="35"/>
      <c r="C826" s="27"/>
      <c r="D826" s="36"/>
      <c r="E826" s="34"/>
      <c r="F826" s="38"/>
      <c r="G826" s="34"/>
      <c r="H826" s="34"/>
      <c r="I826" s="27"/>
      <c r="J826" s="27"/>
      <c r="K826" s="27"/>
      <c r="L826" s="27"/>
      <c r="M826" s="27"/>
      <c r="N826" s="27"/>
      <c r="O826" s="27"/>
      <c r="P826" s="27"/>
    </row>
    <row r="827">
      <c r="A827" s="27"/>
      <c r="B827" s="35"/>
      <c r="C827" s="27"/>
      <c r="D827" s="36"/>
      <c r="E827" s="34"/>
      <c r="F827" s="38"/>
      <c r="G827" s="34"/>
      <c r="H827" s="34"/>
      <c r="I827" s="27"/>
      <c r="J827" s="27"/>
      <c r="K827" s="27"/>
      <c r="L827" s="27"/>
      <c r="M827" s="27"/>
      <c r="N827" s="27"/>
      <c r="O827" s="27"/>
      <c r="P827" s="27"/>
    </row>
    <row r="828">
      <c r="A828" s="27"/>
      <c r="B828" s="35"/>
      <c r="C828" s="27"/>
      <c r="D828" s="36"/>
      <c r="E828" s="34"/>
      <c r="F828" s="38"/>
      <c r="G828" s="34"/>
      <c r="H828" s="34"/>
      <c r="I828" s="27"/>
      <c r="J828" s="27"/>
      <c r="K828" s="27"/>
      <c r="L828" s="27"/>
      <c r="M828" s="27"/>
      <c r="N828" s="27"/>
      <c r="O828" s="27"/>
      <c r="P828" s="27"/>
    </row>
    <row r="829">
      <c r="A829" s="27"/>
      <c r="B829" s="35"/>
      <c r="C829" s="27"/>
      <c r="D829" s="36"/>
      <c r="E829" s="34"/>
      <c r="F829" s="38"/>
      <c r="G829" s="34"/>
      <c r="H829" s="34"/>
      <c r="I829" s="27"/>
      <c r="J829" s="27"/>
      <c r="K829" s="27"/>
      <c r="L829" s="27"/>
      <c r="M829" s="27"/>
      <c r="N829" s="27"/>
      <c r="O829" s="27"/>
      <c r="P829" s="27"/>
    </row>
    <row r="830">
      <c r="A830" s="27"/>
      <c r="B830" s="35"/>
      <c r="C830" s="27"/>
      <c r="D830" s="36"/>
      <c r="E830" s="34"/>
      <c r="F830" s="38"/>
      <c r="G830" s="34"/>
      <c r="H830" s="34"/>
      <c r="I830" s="27"/>
      <c r="J830" s="27"/>
      <c r="K830" s="27"/>
      <c r="L830" s="27"/>
      <c r="M830" s="27"/>
      <c r="N830" s="27"/>
      <c r="O830" s="27"/>
      <c r="P830" s="27"/>
    </row>
    <row r="831">
      <c r="A831" s="27"/>
      <c r="B831" s="35"/>
      <c r="C831" s="27"/>
      <c r="D831" s="36"/>
      <c r="E831" s="34"/>
      <c r="F831" s="38"/>
      <c r="G831" s="34"/>
      <c r="H831" s="34"/>
      <c r="I831" s="27"/>
      <c r="J831" s="27"/>
      <c r="K831" s="27"/>
      <c r="L831" s="27"/>
      <c r="M831" s="27"/>
      <c r="N831" s="27"/>
      <c r="O831" s="27"/>
      <c r="P831" s="27"/>
    </row>
    <row r="832">
      <c r="A832" s="27"/>
      <c r="B832" s="35"/>
      <c r="C832" s="27"/>
      <c r="D832" s="36"/>
      <c r="E832" s="34"/>
      <c r="F832" s="38"/>
      <c r="G832" s="34"/>
      <c r="H832" s="34"/>
      <c r="I832" s="27"/>
      <c r="J832" s="27"/>
      <c r="K832" s="27"/>
      <c r="L832" s="27"/>
      <c r="M832" s="27"/>
      <c r="N832" s="27"/>
      <c r="O832" s="27"/>
      <c r="P832" s="27"/>
    </row>
    <row r="833">
      <c r="A833" s="27"/>
      <c r="B833" s="35"/>
      <c r="C833" s="27"/>
      <c r="D833" s="36"/>
      <c r="E833" s="34"/>
      <c r="F833" s="38"/>
      <c r="G833" s="34"/>
      <c r="H833" s="34"/>
      <c r="I833" s="27"/>
      <c r="J833" s="27"/>
      <c r="K833" s="27"/>
      <c r="L833" s="27"/>
      <c r="M833" s="27"/>
      <c r="N833" s="27"/>
      <c r="O833" s="27"/>
      <c r="P833" s="27"/>
    </row>
    <row r="834">
      <c r="A834" s="27"/>
      <c r="B834" s="35"/>
      <c r="C834" s="27"/>
      <c r="D834" s="36"/>
      <c r="E834" s="34"/>
      <c r="F834" s="38"/>
      <c r="G834" s="34"/>
      <c r="H834" s="34"/>
      <c r="I834" s="27"/>
      <c r="J834" s="27"/>
      <c r="K834" s="27"/>
      <c r="L834" s="27"/>
      <c r="M834" s="27"/>
      <c r="N834" s="27"/>
      <c r="O834" s="27"/>
      <c r="P834" s="27"/>
    </row>
    <row r="835">
      <c r="A835" s="27"/>
      <c r="B835" s="35"/>
      <c r="C835" s="27"/>
      <c r="D835" s="36"/>
      <c r="E835" s="34"/>
      <c r="F835" s="38"/>
      <c r="G835" s="34"/>
      <c r="H835" s="34"/>
      <c r="I835" s="27"/>
      <c r="J835" s="27"/>
      <c r="K835" s="27"/>
      <c r="L835" s="27"/>
      <c r="M835" s="27"/>
      <c r="N835" s="27"/>
      <c r="O835" s="27"/>
      <c r="P835" s="27"/>
    </row>
    <row r="836">
      <c r="A836" s="27"/>
      <c r="B836" s="35"/>
      <c r="C836" s="27"/>
      <c r="D836" s="36"/>
      <c r="E836" s="34"/>
      <c r="F836" s="38"/>
      <c r="G836" s="34"/>
      <c r="H836" s="34"/>
      <c r="I836" s="27"/>
      <c r="J836" s="27"/>
      <c r="K836" s="27"/>
      <c r="L836" s="27"/>
      <c r="M836" s="27"/>
      <c r="N836" s="27"/>
      <c r="O836" s="27"/>
      <c r="P836" s="27"/>
    </row>
    <row r="837">
      <c r="A837" s="27"/>
      <c r="B837" s="35"/>
      <c r="C837" s="27"/>
      <c r="D837" s="36"/>
      <c r="E837" s="34"/>
      <c r="F837" s="38"/>
      <c r="G837" s="34"/>
      <c r="H837" s="34"/>
      <c r="I837" s="27"/>
      <c r="J837" s="27"/>
      <c r="K837" s="27"/>
      <c r="L837" s="27"/>
      <c r="M837" s="27"/>
      <c r="N837" s="27"/>
      <c r="O837" s="27"/>
      <c r="P837" s="27"/>
    </row>
    <row r="838">
      <c r="A838" s="27"/>
      <c r="B838" s="35"/>
      <c r="C838" s="27"/>
      <c r="D838" s="36"/>
      <c r="E838" s="34"/>
      <c r="F838" s="38"/>
      <c r="G838" s="34"/>
      <c r="H838" s="34"/>
      <c r="I838" s="27"/>
      <c r="J838" s="27"/>
      <c r="K838" s="27"/>
      <c r="L838" s="27"/>
      <c r="M838" s="27"/>
      <c r="N838" s="27"/>
      <c r="O838" s="27"/>
      <c r="P838" s="27"/>
    </row>
    <row r="839">
      <c r="A839" s="27"/>
      <c r="B839" s="35"/>
      <c r="C839" s="27"/>
      <c r="D839" s="36"/>
      <c r="E839" s="34"/>
      <c r="F839" s="38"/>
      <c r="G839" s="34"/>
      <c r="H839" s="34"/>
      <c r="I839" s="27"/>
      <c r="J839" s="27"/>
      <c r="K839" s="27"/>
      <c r="L839" s="27"/>
      <c r="M839" s="27"/>
      <c r="N839" s="27"/>
      <c r="O839" s="27"/>
      <c r="P839" s="27"/>
    </row>
    <row r="840">
      <c r="A840" s="27"/>
      <c r="B840" s="35"/>
      <c r="C840" s="27"/>
      <c r="D840" s="36"/>
      <c r="E840" s="34"/>
      <c r="F840" s="38"/>
      <c r="G840" s="34"/>
      <c r="H840" s="34"/>
      <c r="I840" s="27"/>
      <c r="J840" s="27"/>
      <c r="K840" s="27"/>
      <c r="L840" s="27"/>
      <c r="M840" s="27"/>
      <c r="N840" s="27"/>
      <c r="O840" s="27"/>
      <c r="P840" s="27"/>
    </row>
    <row r="841">
      <c r="A841" s="27"/>
      <c r="B841" s="35"/>
      <c r="C841" s="27"/>
      <c r="D841" s="36"/>
      <c r="E841" s="34"/>
      <c r="F841" s="38"/>
      <c r="G841" s="34"/>
      <c r="H841" s="34"/>
      <c r="I841" s="27"/>
      <c r="J841" s="27"/>
      <c r="K841" s="27"/>
      <c r="L841" s="27"/>
      <c r="M841" s="27"/>
      <c r="N841" s="27"/>
      <c r="O841" s="27"/>
      <c r="P841" s="27"/>
    </row>
    <row r="842">
      <c r="A842" s="27"/>
      <c r="B842" s="35"/>
      <c r="C842" s="27"/>
      <c r="D842" s="36"/>
      <c r="E842" s="34"/>
      <c r="F842" s="38"/>
      <c r="G842" s="34"/>
      <c r="H842" s="34"/>
      <c r="I842" s="27"/>
      <c r="J842" s="27"/>
      <c r="K842" s="27"/>
      <c r="L842" s="27"/>
      <c r="M842" s="27"/>
      <c r="N842" s="27"/>
      <c r="O842" s="27"/>
      <c r="P842" s="27"/>
    </row>
    <row r="843">
      <c r="A843" s="27"/>
      <c r="B843" s="35"/>
      <c r="C843" s="27"/>
      <c r="D843" s="36"/>
      <c r="E843" s="34"/>
      <c r="F843" s="38"/>
      <c r="G843" s="34"/>
      <c r="H843" s="34"/>
      <c r="I843" s="27"/>
      <c r="J843" s="27"/>
      <c r="K843" s="27"/>
      <c r="L843" s="27"/>
      <c r="M843" s="27"/>
      <c r="N843" s="27"/>
      <c r="O843" s="27"/>
      <c r="P843" s="27"/>
    </row>
    <row r="844">
      <c r="A844" s="27"/>
      <c r="B844" s="35"/>
      <c r="C844" s="27"/>
      <c r="D844" s="36"/>
      <c r="E844" s="34"/>
      <c r="F844" s="38"/>
      <c r="G844" s="34"/>
      <c r="H844" s="34"/>
      <c r="I844" s="27"/>
      <c r="J844" s="27"/>
      <c r="K844" s="27"/>
      <c r="L844" s="27"/>
      <c r="M844" s="27"/>
      <c r="N844" s="27"/>
      <c r="O844" s="27"/>
      <c r="P844" s="27"/>
    </row>
    <row r="845">
      <c r="A845" s="27"/>
      <c r="B845" s="35"/>
      <c r="C845" s="27"/>
      <c r="D845" s="36"/>
      <c r="E845" s="34"/>
      <c r="F845" s="38"/>
      <c r="G845" s="34"/>
      <c r="H845" s="34"/>
      <c r="I845" s="27"/>
      <c r="J845" s="27"/>
      <c r="K845" s="27"/>
      <c r="L845" s="27"/>
      <c r="M845" s="27"/>
      <c r="N845" s="27"/>
      <c r="O845" s="27"/>
      <c r="P845" s="27"/>
    </row>
    <row r="846">
      <c r="A846" s="27"/>
      <c r="B846" s="35"/>
      <c r="C846" s="27"/>
      <c r="D846" s="36"/>
      <c r="E846" s="34"/>
      <c r="F846" s="38"/>
      <c r="G846" s="34"/>
      <c r="H846" s="34"/>
      <c r="I846" s="27"/>
      <c r="J846" s="27"/>
      <c r="K846" s="27"/>
      <c r="L846" s="27"/>
      <c r="M846" s="27"/>
      <c r="N846" s="27"/>
      <c r="O846" s="27"/>
      <c r="P846" s="27"/>
    </row>
    <row r="847">
      <c r="A847" s="27"/>
      <c r="B847" s="35"/>
      <c r="C847" s="27"/>
      <c r="D847" s="36"/>
      <c r="E847" s="34"/>
      <c r="F847" s="38"/>
      <c r="G847" s="34"/>
      <c r="H847" s="34"/>
      <c r="I847" s="27"/>
      <c r="J847" s="27"/>
      <c r="K847" s="27"/>
      <c r="L847" s="27"/>
      <c r="M847" s="27"/>
      <c r="N847" s="27"/>
      <c r="O847" s="27"/>
      <c r="P847" s="27"/>
    </row>
    <row r="848">
      <c r="A848" s="27"/>
      <c r="B848" s="35"/>
      <c r="C848" s="27"/>
      <c r="D848" s="36"/>
      <c r="E848" s="34"/>
      <c r="F848" s="38"/>
      <c r="G848" s="34"/>
      <c r="H848" s="34"/>
      <c r="I848" s="27"/>
      <c r="J848" s="27"/>
      <c r="K848" s="27"/>
      <c r="L848" s="27"/>
      <c r="M848" s="27"/>
      <c r="N848" s="27"/>
      <c r="O848" s="27"/>
      <c r="P848" s="27"/>
    </row>
    <row r="849">
      <c r="A849" s="27"/>
      <c r="B849" s="35"/>
      <c r="C849" s="27"/>
      <c r="D849" s="36"/>
      <c r="E849" s="34"/>
      <c r="F849" s="38"/>
      <c r="G849" s="34"/>
      <c r="H849" s="34"/>
      <c r="I849" s="27"/>
      <c r="J849" s="27"/>
      <c r="K849" s="27"/>
      <c r="L849" s="27"/>
      <c r="M849" s="27"/>
      <c r="N849" s="27"/>
      <c r="O849" s="27"/>
      <c r="P849" s="27"/>
    </row>
    <row r="850">
      <c r="A850" s="27"/>
      <c r="B850" s="35"/>
      <c r="C850" s="27"/>
      <c r="D850" s="36"/>
      <c r="E850" s="34"/>
      <c r="F850" s="38"/>
      <c r="G850" s="34"/>
      <c r="H850" s="34"/>
      <c r="I850" s="27"/>
      <c r="J850" s="27"/>
      <c r="K850" s="27"/>
      <c r="L850" s="27"/>
      <c r="M850" s="27"/>
      <c r="N850" s="27"/>
      <c r="O850" s="27"/>
      <c r="P850" s="27"/>
    </row>
    <row r="851">
      <c r="A851" s="27"/>
      <c r="B851" s="35"/>
      <c r="C851" s="27"/>
      <c r="D851" s="36"/>
      <c r="E851" s="34"/>
      <c r="F851" s="38"/>
      <c r="G851" s="34"/>
      <c r="H851" s="34"/>
      <c r="I851" s="27"/>
      <c r="J851" s="27"/>
      <c r="K851" s="27"/>
      <c r="L851" s="27"/>
      <c r="M851" s="27"/>
      <c r="N851" s="27"/>
      <c r="O851" s="27"/>
      <c r="P851" s="27"/>
    </row>
    <row r="852">
      <c r="A852" s="27"/>
      <c r="B852" s="35"/>
      <c r="C852" s="27"/>
      <c r="D852" s="36"/>
      <c r="E852" s="34"/>
      <c r="F852" s="38"/>
      <c r="G852" s="34"/>
      <c r="H852" s="34"/>
      <c r="I852" s="27"/>
      <c r="J852" s="27"/>
      <c r="K852" s="27"/>
      <c r="L852" s="27"/>
      <c r="M852" s="27"/>
      <c r="N852" s="27"/>
      <c r="O852" s="27"/>
      <c r="P852" s="27"/>
    </row>
    <row r="853">
      <c r="A853" s="27"/>
      <c r="B853" s="35"/>
      <c r="C853" s="27"/>
      <c r="D853" s="36"/>
      <c r="E853" s="34"/>
      <c r="F853" s="38"/>
      <c r="G853" s="34"/>
      <c r="H853" s="34"/>
      <c r="I853" s="27"/>
      <c r="J853" s="27"/>
      <c r="K853" s="27"/>
      <c r="L853" s="27"/>
      <c r="M853" s="27"/>
      <c r="N853" s="27"/>
      <c r="O853" s="27"/>
      <c r="P853" s="27"/>
    </row>
    <row r="854">
      <c r="A854" s="27"/>
      <c r="B854" s="35"/>
      <c r="C854" s="27"/>
      <c r="D854" s="36"/>
      <c r="E854" s="34"/>
      <c r="F854" s="38"/>
      <c r="G854" s="34"/>
      <c r="H854" s="34"/>
      <c r="I854" s="27"/>
      <c r="J854" s="27"/>
      <c r="K854" s="27"/>
      <c r="L854" s="27"/>
      <c r="M854" s="27"/>
      <c r="N854" s="27"/>
      <c r="O854" s="27"/>
      <c r="P854" s="27"/>
    </row>
    <row r="855">
      <c r="A855" s="27"/>
      <c r="B855" s="35"/>
      <c r="C855" s="27"/>
      <c r="D855" s="36"/>
      <c r="E855" s="34"/>
      <c r="F855" s="38"/>
      <c r="G855" s="34"/>
      <c r="H855" s="34"/>
      <c r="I855" s="27"/>
      <c r="J855" s="27"/>
      <c r="K855" s="27"/>
      <c r="L855" s="27"/>
      <c r="M855" s="27"/>
      <c r="N855" s="27"/>
      <c r="O855" s="27"/>
      <c r="P855" s="27"/>
    </row>
    <row r="856">
      <c r="A856" s="27"/>
      <c r="B856" s="35"/>
      <c r="C856" s="27"/>
      <c r="D856" s="36"/>
      <c r="E856" s="34"/>
      <c r="F856" s="38"/>
      <c r="G856" s="34"/>
      <c r="H856" s="34"/>
      <c r="I856" s="27"/>
      <c r="J856" s="27"/>
      <c r="K856" s="27"/>
      <c r="L856" s="27"/>
      <c r="M856" s="27"/>
      <c r="N856" s="27"/>
      <c r="O856" s="27"/>
      <c r="P856" s="27"/>
    </row>
    <row r="857">
      <c r="A857" s="27"/>
      <c r="B857" s="35"/>
      <c r="C857" s="27"/>
      <c r="D857" s="36"/>
      <c r="E857" s="34"/>
      <c r="F857" s="38"/>
      <c r="G857" s="34"/>
      <c r="H857" s="34"/>
      <c r="I857" s="27"/>
      <c r="J857" s="27"/>
      <c r="K857" s="27"/>
      <c r="L857" s="27"/>
      <c r="M857" s="27"/>
      <c r="N857" s="27"/>
      <c r="O857" s="27"/>
      <c r="P857" s="27"/>
    </row>
    <row r="858">
      <c r="A858" s="27"/>
      <c r="B858" s="35"/>
      <c r="C858" s="27"/>
      <c r="D858" s="36"/>
      <c r="E858" s="34"/>
      <c r="F858" s="38"/>
      <c r="G858" s="34"/>
      <c r="H858" s="34"/>
      <c r="I858" s="27"/>
      <c r="J858" s="27"/>
      <c r="K858" s="27"/>
      <c r="L858" s="27"/>
      <c r="M858" s="27"/>
      <c r="N858" s="27"/>
      <c r="O858" s="27"/>
      <c r="P858" s="27"/>
    </row>
    <row r="859">
      <c r="A859" s="27"/>
      <c r="B859" s="35"/>
      <c r="C859" s="27"/>
      <c r="D859" s="36"/>
      <c r="E859" s="34"/>
      <c r="F859" s="38"/>
      <c r="G859" s="34"/>
      <c r="H859" s="34"/>
      <c r="I859" s="27"/>
      <c r="J859" s="27"/>
      <c r="K859" s="27"/>
      <c r="L859" s="27"/>
      <c r="M859" s="27"/>
      <c r="N859" s="27"/>
      <c r="O859" s="27"/>
      <c r="P859" s="27"/>
    </row>
    <row r="860">
      <c r="A860" s="27"/>
      <c r="B860" s="35"/>
      <c r="C860" s="27"/>
      <c r="D860" s="36"/>
      <c r="E860" s="34"/>
      <c r="F860" s="38"/>
      <c r="G860" s="34"/>
      <c r="H860" s="34"/>
      <c r="I860" s="27"/>
      <c r="J860" s="27"/>
      <c r="K860" s="27"/>
      <c r="L860" s="27"/>
      <c r="M860" s="27"/>
      <c r="N860" s="27"/>
      <c r="O860" s="27"/>
      <c r="P860" s="27"/>
    </row>
    <row r="861">
      <c r="A861" s="27"/>
      <c r="B861" s="35"/>
      <c r="C861" s="27"/>
      <c r="D861" s="36"/>
      <c r="E861" s="34"/>
      <c r="F861" s="38"/>
      <c r="G861" s="34"/>
      <c r="H861" s="34"/>
      <c r="I861" s="27"/>
      <c r="J861" s="27"/>
      <c r="K861" s="27"/>
      <c r="L861" s="27"/>
      <c r="M861" s="27"/>
      <c r="N861" s="27"/>
      <c r="O861" s="27"/>
      <c r="P861" s="27"/>
    </row>
    <row r="862">
      <c r="A862" s="27"/>
      <c r="B862" s="35"/>
      <c r="C862" s="27"/>
      <c r="D862" s="36"/>
      <c r="E862" s="34"/>
      <c r="F862" s="38"/>
      <c r="G862" s="34"/>
      <c r="H862" s="34"/>
      <c r="I862" s="27"/>
      <c r="J862" s="27"/>
      <c r="K862" s="27"/>
      <c r="L862" s="27"/>
      <c r="M862" s="27"/>
      <c r="N862" s="27"/>
      <c r="O862" s="27"/>
      <c r="P862" s="27"/>
    </row>
    <row r="863">
      <c r="A863" s="27"/>
      <c r="B863" s="35"/>
      <c r="C863" s="27"/>
      <c r="D863" s="36"/>
      <c r="E863" s="34"/>
      <c r="F863" s="38"/>
      <c r="G863" s="34"/>
      <c r="H863" s="34"/>
      <c r="I863" s="27"/>
      <c r="J863" s="27"/>
      <c r="K863" s="27"/>
      <c r="L863" s="27"/>
      <c r="M863" s="27"/>
      <c r="N863" s="27"/>
      <c r="O863" s="27"/>
      <c r="P863" s="27"/>
    </row>
    <row r="864">
      <c r="A864" s="27"/>
      <c r="B864" s="35"/>
      <c r="C864" s="27"/>
      <c r="D864" s="36"/>
      <c r="E864" s="34"/>
      <c r="F864" s="38"/>
      <c r="G864" s="34"/>
      <c r="H864" s="34"/>
      <c r="I864" s="27"/>
      <c r="J864" s="27"/>
      <c r="K864" s="27"/>
      <c r="L864" s="27"/>
      <c r="M864" s="27"/>
      <c r="N864" s="27"/>
      <c r="O864" s="27"/>
      <c r="P864" s="27"/>
    </row>
    <row r="865">
      <c r="A865" s="27"/>
      <c r="B865" s="35"/>
      <c r="C865" s="27"/>
      <c r="D865" s="36"/>
      <c r="E865" s="34"/>
      <c r="F865" s="38"/>
      <c r="G865" s="34"/>
      <c r="H865" s="34"/>
      <c r="I865" s="27"/>
      <c r="J865" s="27"/>
      <c r="K865" s="27"/>
      <c r="L865" s="27"/>
      <c r="M865" s="27"/>
      <c r="N865" s="27"/>
      <c r="O865" s="27"/>
      <c r="P865" s="27"/>
    </row>
    <row r="866">
      <c r="A866" s="27"/>
      <c r="B866" s="35"/>
      <c r="C866" s="27"/>
      <c r="D866" s="36"/>
      <c r="E866" s="34"/>
      <c r="F866" s="38"/>
      <c r="G866" s="34"/>
      <c r="H866" s="34"/>
      <c r="I866" s="27"/>
      <c r="J866" s="27"/>
      <c r="K866" s="27"/>
      <c r="L866" s="27"/>
      <c r="M866" s="27"/>
      <c r="N866" s="27"/>
      <c r="O866" s="27"/>
      <c r="P866" s="27"/>
    </row>
    <row r="867">
      <c r="A867" s="27"/>
      <c r="B867" s="35"/>
      <c r="C867" s="27"/>
      <c r="D867" s="36"/>
      <c r="E867" s="34"/>
      <c r="F867" s="38"/>
      <c r="G867" s="34"/>
      <c r="H867" s="34"/>
      <c r="I867" s="27"/>
      <c r="J867" s="27"/>
      <c r="K867" s="27"/>
      <c r="L867" s="27"/>
      <c r="M867" s="27"/>
      <c r="N867" s="27"/>
      <c r="O867" s="27"/>
      <c r="P867" s="27"/>
    </row>
    <row r="868">
      <c r="A868" s="27"/>
      <c r="B868" s="35"/>
      <c r="C868" s="27"/>
      <c r="D868" s="36"/>
      <c r="E868" s="34"/>
      <c r="F868" s="38"/>
      <c r="G868" s="34"/>
      <c r="H868" s="34"/>
      <c r="I868" s="27"/>
      <c r="J868" s="27"/>
      <c r="K868" s="27"/>
      <c r="L868" s="27"/>
      <c r="M868" s="27"/>
      <c r="N868" s="27"/>
      <c r="O868" s="27"/>
      <c r="P868" s="27"/>
    </row>
    <row r="869">
      <c r="A869" s="27"/>
      <c r="B869" s="35"/>
      <c r="C869" s="27"/>
      <c r="D869" s="36"/>
      <c r="E869" s="34"/>
      <c r="F869" s="38"/>
      <c r="G869" s="34"/>
      <c r="H869" s="34"/>
      <c r="I869" s="27"/>
      <c r="J869" s="27"/>
      <c r="K869" s="27"/>
      <c r="L869" s="27"/>
      <c r="M869" s="27"/>
      <c r="N869" s="27"/>
      <c r="O869" s="27"/>
      <c r="P869" s="27"/>
    </row>
    <row r="870">
      <c r="A870" s="27"/>
      <c r="B870" s="35"/>
      <c r="C870" s="27"/>
      <c r="D870" s="36"/>
      <c r="E870" s="34"/>
      <c r="F870" s="38"/>
      <c r="G870" s="34"/>
      <c r="H870" s="34"/>
      <c r="I870" s="27"/>
      <c r="J870" s="27"/>
      <c r="K870" s="27"/>
      <c r="L870" s="27"/>
      <c r="M870" s="27"/>
      <c r="N870" s="27"/>
      <c r="O870" s="27"/>
      <c r="P870" s="27"/>
    </row>
    <row r="871">
      <c r="A871" s="27"/>
      <c r="B871" s="35"/>
      <c r="C871" s="27"/>
      <c r="D871" s="36"/>
      <c r="E871" s="34"/>
      <c r="F871" s="38"/>
      <c r="G871" s="34"/>
      <c r="H871" s="34"/>
      <c r="I871" s="27"/>
      <c r="J871" s="27"/>
      <c r="K871" s="27"/>
      <c r="L871" s="27"/>
      <c r="M871" s="27"/>
      <c r="N871" s="27"/>
      <c r="O871" s="27"/>
      <c r="P871" s="27"/>
    </row>
    <row r="872">
      <c r="A872" s="27"/>
      <c r="B872" s="35"/>
      <c r="C872" s="27"/>
      <c r="D872" s="36"/>
      <c r="E872" s="34"/>
      <c r="F872" s="38"/>
      <c r="G872" s="34"/>
      <c r="H872" s="34"/>
      <c r="I872" s="27"/>
      <c r="J872" s="27"/>
      <c r="K872" s="27"/>
      <c r="L872" s="27"/>
      <c r="M872" s="27"/>
      <c r="N872" s="27"/>
      <c r="O872" s="27"/>
      <c r="P872" s="27"/>
    </row>
    <row r="873">
      <c r="A873" s="27"/>
      <c r="B873" s="35"/>
      <c r="C873" s="27"/>
      <c r="D873" s="36"/>
      <c r="E873" s="34"/>
      <c r="F873" s="38"/>
      <c r="G873" s="34"/>
      <c r="H873" s="34"/>
      <c r="I873" s="27"/>
      <c r="J873" s="27"/>
      <c r="K873" s="27"/>
      <c r="L873" s="27"/>
      <c r="M873" s="27"/>
      <c r="N873" s="27"/>
      <c r="O873" s="27"/>
      <c r="P873" s="27"/>
    </row>
    <row r="874">
      <c r="A874" s="27"/>
      <c r="B874" s="35"/>
      <c r="C874" s="27"/>
      <c r="D874" s="36"/>
      <c r="E874" s="34"/>
      <c r="F874" s="38"/>
      <c r="G874" s="34"/>
      <c r="H874" s="34"/>
      <c r="I874" s="27"/>
      <c r="J874" s="27"/>
      <c r="K874" s="27"/>
      <c r="L874" s="27"/>
      <c r="M874" s="27"/>
      <c r="N874" s="27"/>
      <c r="O874" s="27"/>
      <c r="P874" s="27"/>
    </row>
    <row r="875">
      <c r="A875" s="27"/>
      <c r="B875" s="35"/>
      <c r="C875" s="27"/>
      <c r="D875" s="36"/>
      <c r="E875" s="34"/>
      <c r="F875" s="38"/>
      <c r="G875" s="34"/>
      <c r="H875" s="34"/>
      <c r="I875" s="27"/>
      <c r="J875" s="27"/>
      <c r="K875" s="27"/>
      <c r="L875" s="27"/>
      <c r="M875" s="27"/>
      <c r="N875" s="27"/>
      <c r="O875" s="27"/>
      <c r="P875" s="27"/>
    </row>
    <row r="876">
      <c r="A876" s="27"/>
      <c r="B876" s="35"/>
      <c r="C876" s="27"/>
      <c r="D876" s="36"/>
      <c r="E876" s="34"/>
      <c r="F876" s="38"/>
      <c r="G876" s="34"/>
      <c r="H876" s="34"/>
      <c r="I876" s="27"/>
      <c r="J876" s="27"/>
      <c r="K876" s="27"/>
      <c r="L876" s="27"/>
      <c r="M876" s="27"/>
      <c r="N876" s="27"/>
      <c r="O876" s="27"/>
      <c r="P876" s="27"/>
    </row>
    <row r="877">
      <c r="A877" s="27"/>
      <c r="B877" s="35"/>
      <c r="C877" s="27"/>
      <c r="D877" s="36"/>
      <c r="E877" s="34"/>
      <c r="F877" s="38"/>
      <c r="G877" s="34"/>
      <c r="H877" s="34"/>
      <c r="I877" s="27"/>
      <c r="J877" s="27"/>
      <c r="K877" s="27"/>
      <c r="L877" s="27"/>
      <c r="M877" s="27"/>
      <c r="N877" s="27"/>
      <c r="O877" s="27"/>
      <c r="P877" s="27"/>
    </row>
    <row r="878">
      <c r="A878" s="27"/>
      <c r="B878" s="35"/>
      <c r="C878" s="27"/>
      <c r="D878" s="36"/>
      <c r="E878" s="34"/>
      <c r="F878" s="38"/>
      <c r="G878" s="34"/>
      <c r="H878" s="34"/>
      <c r="I878" s="27"/>
      <c r="J878" s="27"/>
      <c r="K878" s="27"/>
      <c r="L878" s="27"/>
      <c r="M878" s="27"/>
      <c r="N878" s="27"/>
      <c r="O878" s="27"/>
      <c r="P878" s="27"/>
    </row>
    <row r="879">
      <c r="B879" s="40"/>
      <c r="D879" s="36"/>
      <c r="E879" s="43"/>
      <c r="F879" s="38"/>
      <c r="G879" s="43"/>
      <c r="H879" s="43"/>
      <c r="I879" s="27"/>
    </row>
    <row r="880">
      <c r="B880" s="40"/>
      <c r="D880" s="36"/>
      <c r="E880" s="43"/>
      <c r="F880" s="38"/>
      <c r="G880" s="43"/>
      <c r="H880" s="43"/>
      <c r="I880" s="27"/>
    </row>
    <row r="881">
      <c r="B881" s="40"/>
      <c r="D881" s="36"/>
      <c r="E881" s="43"/>
      <c r="F881" s="38"/>
      <c r="G881" s="43"/>
      <c r="H881" s="43"/>
      <c r="I881" s="27"/>
    </row>
    <row r="882">
      <c r="B882" s="40"/>
      <c r="D882" s="36"/>
      <c r="E882" s="43"/>
      <c r="F882" s="38"/>
      <c r="G882" s="43"/>
      <c r="H882" s="43"/>
      <c r="I882" s="27"/>
    </row>
    <row r="883">
      <c r="B883" s="40"/>
      <c r="D883" s="36"/>
      <c r="E883" s="43"/>
      <c r="F883" s="38"/>
      <c r="G883" s="43"/>
      <c r="H883" s="43"/>
      <c r="I883" s="27"/>
    </row>
    <row r="884">
      <c r="B884" s="40"/>
      <c r="D884" s="36"/>
      <c r="E884" s="43"/>
      <c r="F884" s="38"/>
      <c r="G884" s="43"/>
      <c r="H884" s="43"/>
      <c r="I884" s="27"/>
    </row>
    <row r="885">
      <c r="B885" s="40"/>
      <c r="D885" s="36"/>
      <c r="E885" s="43"/>
      <c r="F885" s="38"/>
      <c r="G885" s="43"/>
      <c r="H885" s="43"/>
      <c r="I885" s="27"/>
    </row>
    <row r="886">
      <c r="B886" s="40"/>
      <c r="D886" s="36"/>
      <c r="E886" s="43"/>
      <c r="F886" s="38"/>
      <c r="G886" s="43"/>
      <c r="H886" s="43"/>
      <c r="I886" s="27"/>
    </row>
    <row r="887">
      <c r="B887" s="40"/>
      <c r="D887" s="36"/>
      <c r="E887" s="43"/>
      <c r="F887" s="38"/>
      <c r="G887" s="43"/>
      <c r="H887" s="43"/>
      <c r="I887" s="27"/>
    </row>
    <row r="888">
      <c r="B888" s="40"/>
      <c r="D888" s="36"/>
      <c r="E888" s="43"/>
      <c r="F888" s="38"/>
      <c r="G888" s="43"/>
      <c r="H888" s="43"/>
      <c r="I888" s="27"/>
    </row>
    <row r="889">
      <c r="B889" s="40"/>
      <c r="D889" s="36"/>
      <c r="E889" s="43"/>
      <c r="F889" s="38"/>
      <c r="G889" s="43"/>
      <c r="H889" s="43"/>
      <c r="I889" s="27"/>
    </row>
    <row r="890">
      <c r="B890" s="40"/>
      <c r="D890" s="36"/>
      <c r="E890" s="43"/>
      <c r="F890" s="38"/>
      <c r="G890" s="43"/>
      <c r="H890" s="43"/>
      <c r="I890" s="27"/>
    </row>
    <row r="891">
      <c r="B891" s="40"/>
      <c r="D891" s="36"/>
      <c r="E891" s="43"/>
      <c r="F891" s="38"/>
      <c r="G891" s="43"/>
      <c r="H891" s="43"/>
      <c r="I891" s="27"/>
    </row>
    <row r="892">
      <c r="B892" s="40"/>
      <c r="D892" s="36"/>
      <c r="E892" s="43"/>
      <c r="F892" s="38"/>
      <c r="G892" s="43"/>
      <c r="H892" s="43"/>
      <c r="I892" s="27"/>
    </row>
    <row r="893">
      <c r="B893" s="40"/>
      <c r="D893" s="36"/>
      <c r="E893" s="43"/>
      <c r="F893" s="38"/>
      <c r="G893" s="43"/>
      <c r="H893" s="43"/>
      <c r="I893" s="27"/>
    </row>
    <row r="894">
      <c r="B894" s="40"/>
      <c r="D894" s="36"/>
      <c r="E894" s="43"/>
      <c r="F894" s="38"/>
      <c r="G894" s="43"/>
      <c r="H894" s="43"/>
      <c r="I894" s="27"/>
    </row>
    <row r="895">
      <c r="B895" s="40"/>
      <c r="D895" s="36"/>
      <c r="E895" s="43"/>
      <c r="F895" s="38"/>
      <c r="G895" s="43"/>
      <c r="H895" s="43"/>
      <c r="I895" s="27"/>
    </row>
    <row r="896">
      <c r="B896" s="40"/>
      <c r="D896" s="36"/>
      <c r="E896" s="43"/>
      <c r="F896" s="38"/>
      <c r="G896" s="43"/>
      <c r="H896" s="43"/>
      <c r="I896" s="27"/>
    </row>
    <row r="897">
      <c r="B897" s="40"/>
      <c r="D897" s="36"/>
      <c r="E897" s="43"/>
      <c r="F897" s="38"/>
      <c r="G897" s="43"/>
      <c r="H897" s="43"/>
      <c r="I897" s="27"/>
    </row>
    <row r="898">
      <c r="B898" s="40"/>
      <c r="D898" s="36"/>
      <c r="E898" s="43"/>
      <c r="F898" s="38"/>
      <c r="G898" s="43"/>
      <c r="H898" s="43"/>
      <c r="I898" s="27"/>
    </row>
    <row r="899">
      <c r="B899" s="40"/>
      <c r="D899" s="36"/>
      <c r="E899" s="43"/>
      <c r="F899" s="38"/>
      <c r="G899" s="43"/>
      <c r="H899" s="43"/>
      <c r="I899" s="27"/>
    </row>
    <row r="900">
      <c r="B900" s="40"/>
      <c r="D900" s="36"/>
      <c r="E900" s="43"/>
      <c r="F900" s="38"/>
      <c r="G900" s="43"/>
      <c r="H900" s="43"/>
      <c r="I900" s="27"/>
    </row>
    <row r="901">
      <c r="B901" s="40"/>
      <c r="D901" s="36"/>
      <c r="E901" s="43"/>
      <c r="F901" s="38"/>
      <c r="G901" s="43"/>
      <c r="H901" s="43"/>
      <c r="I901" s="27"/>
    </row>
    <row r="902">
      <c r="B902" s="40"/>
      <c r="D902" s="36"/>
      <c r="E902" s="43"/>
      <c r="F902" s="38"/>
      <c r="G902" s="43"/>
      <c r="H902" s="43"/>
      <c r="I902" s="27"/>
    </row>
    <row r="903">
      <c r="B903" s="40"/>
      <c r="D903" s="36"/>
      <c r="E903" s="43"/>
      <c r="F903" s="38"/>
      <c r="G903" s="43"/>
      <c r="H903" s="43"/>
      <c r="I903" s="27"/>
    </row>
    <row r="904">
      <c r="B904" s="40"/>
      <c r="D904" s="36"/>
      <c r="E904" s="43"/>
      <c r="F904" s="38"/>
      <c r="G904" s="43"/>
      <c r="H904" s="43"/>
      <c r="I904" s="27"/>
    </row>
    <row r="905">
      <c r="B905" s="40"/>
      <c r="D905" s="36"/>
      <c r="E905" s="43"/>
      <c r="F905" s="38"/>
      <c r="G905" s="43"/>
      <c r="H905" s="43"/>
      <c r="I905" s="27"/>
    </row>
    <row r="906">
      <c r="B906" s="40"/>
      <c r="D906" s="36"/>
      <c r="E906" s="43"/>
      <c r="F906" s="38"/>
      <c r="G906" s="43"/>
      <c r="H906" s="43"/>
      <c r="I906" s="27"/>
    </row>
    <row r="907">
      <c r="B907" s="40"/>
      <c r="D907" s="36"/>
      <c r="E907" s="43"/>
      <c r="F907" s="38"/>
      <c r="G907" s="43"/>
      <c r="H907" s="43"/>
      <c r="I907" s="27"/>
    </row>
    <row r="908">
      <c r="B908" s="40"/>
      <c r="D908" s="36"/>
      <c r="E908" s="43"/>
      <c r="F908" s="38"/>
      <c r="G908" s="43"/>
      <c r="H908" s="43"/>
      <c r="I908" s="27"/>
    </row>
    <row r="909">
      <c r="B909" s="40"/>
      <c r="D909" s="36"/>
      <c r="E909" s="43"/>
      <c r="F909" s="38"/>
      <c r="G909" s="43"/>
      <c r="H909" s="43"/>
      <c r="I909" s="27"/>
    </row>
    <row r="910">
      <c r="B910" s="40"/>
      <c r="D910" s="36"/>
      <c r="E910" s="43"/>
      <c r="F910" s="38"/>
      <c r="G910" s="43"/>
      <c r="H910" s="43"/>
      <c r="I910" s="27"/>
    </row>
    <row r="911">
      <c r="B911" s="40"/>
      <c r="D911" s="36"/>
      <c r="E911" s="43"/>
      <c r="F911" s="38"/>
      <c r="G911" s="43"/>
      <c r="H911" s="43"/>
      <c r="I911" s="27"/>
    </row>
    <row r="912">
      <c r="B912" s="40"/>
      <c r="D912" s="36"/>
      <c r="E912" s="43"/>
      <c r="F912" s="38"/>
      <c r="G912" s="43"/>
      <c r="H912" s="43"/>
      <c r="I912" s="27"/>
    </row>
    <row r="913">
      <c r="B913" s="40"/>
      <c r="D913" s="36"/>
      <c r="E913" s="43"/>
      <c r="F913" s="38"/>
      <c r="G913" s="43"/>
      <c r="H913" s="43"/>
      <c r="I913" s="27"/>
    </row>
    <row r="914">
      <c r="B914" s="40"/>
      <c r="D914" s="36"/>
      <c r="E914" s="43"/>
      <c r="F914" s="38"/>
      <c r="G914" s="43"/>
      <c r="H914" s="43"/>
      <c r="I914" s="27"/>
    </row>
    <row r="915">
      <c r="B915" s="40"/>
      <c r="D915" s="36"/>
      <c r="E915" s="43"/>
      <c r="F915" s="38"/>
      <c r="G915" s="43"/>
      <c r="H915" s="43"/>
      <c r="I915" s="27"/>
    </row>
    <row r="916">
      <c r="B916" s="40"/>
      <c r="D916" s="36"/>
      <c r="E916" s="43"/>
      <c r="F916" s="38"/>
      <c r="G916" s="43"/>
      <c r="H916" s="43"/>
      <c r="I916" s="27"/>
    </row>
    <row r="917">
      <c r="B917" s="40"/>
      <c r="D917" s="36"/>
      <c r="E917" s="43"/>
      <c r="F917" s="38"/>
      <c r="G917" s="43"/>
      <c r="H917" s="43"/>
      <c r="I917" s="27"/>
    </row>
    <row r="918">
      <c r="B918" s="40"/>
      <c r="D918" s="36"/>
      <c r="E918" s="43"/>
      <c r="F918" s="38"/>
      <c r="G918" s="43"/>
      <c r="H918" s="43"/>
      <c r="I918" s="27"/>
    </row>
    <row r="919">
      <c r="B919" s="40"/>
      <c r="D919" s="36"/>
      <c r="E919" s="43"/>
      <c r="F919" s="38"/>
      <c r="G919" s="43"/>
      <c r="H919" s="43"/>
      <c r="I919" s="27"/>
    </row>
    <row r="920">
      <c r="B920" s="40"/>
      <c r="D920" s="36"/>
      <c r="E920" s="43"/>
      <c r="F920" s="38"/>
      <c r="G920" s="43"/>
      <c r="H920" s="43"/>
      <c r="I920" s="27"/>
    </row>
    <row r="921">
      <c r="B921" s="40"/>
      <c r="D921" s="36"/>
      <c r="E921" s="43"/>
      <c r="F921" s="38"/>
      <c r="G921" s="43"/>
      <c r="H921" s="43"/>
      <c r="I921" s="27"/>
    </row>
    <row r="922">
      <c r="B922" s="40"/>
      <c r="D922" s="36"/>
      <c r="E922" s="43"/>
      <c r="F922" s="38"/>
      <c r="G922" s="43"/>
      <c r="H922" s="43"/>
      <c r="I922" s="27"/>
    </row>
    <row r="923">
      <c r="B923" s="40"/>
      <c r="D923" s="36"/>
      <c r="E923" s="43"/>
      <c r="F923" s="38"/>
      <c r="G923" s="43"/>
      <c r="H923" s="43"/>
      <c r="I923" s="27"/>
    </row>
    <row r="924">
      <c r="B924" s="40"/>
      <c r="D924" s="36"/>
      <c r="E924" s="43"/>
      <c r="F924" s="38"/>
      <c r="G924" s="43"/>
      <c r="H924" s="43"/>
      <c r="I924" s="27"/>
    </row>
    <row r="925">
      <c r="B925" s="40"/>
      <c r="D925" s="36"/>
      <c r="E925" s="43"/>
      <c r="F925" s="38"/>
      <c r="G925" s="43"/>
      <c r="H925" s="43"/>
      <c r="I925" s="27"/>
    </row>
    <row r="926">
      <c r="B926" s="40"/>
      <c r="D926" s="36"/>
      <c r="E926" s="43"/>
      <c r="F926" s="38"/>
      <c r="G926" s="43"/>
      <c r="H926" s="43"/>
      <c r="I926" s="27"/>
    </row>
    <row r="927">
      <c r="B927" s="40"/>
      <c r="D927" s="36"/>
      <c r="E927" s="43"/>
      <c r="F927" s="38"/>
      <c r="G927" s="43"/>
      <c r="H927" s="43"/>
      <c r="I927" s="27"/>
    </row>
    <row r="928">
      <c r="B928" s="40"/>
      <c r="D928" s="36"/>
      <c r="E928" s="43"/>
      <c r="F928" s="38"/>
      <c r="G928" s="43"/>
      <c r="H928" s="43"/>
      <c r="I928" s="27"/>
    </row>
    <row r="929">
      <c r="B929" s="40"/>
      <c r="D929" s="36"/>
      <c r="E929" s="43"/>
      <c r="F929" s="38"/>
      <c r="G929" s="43"/>
      <c r="H929" s="43"/>
      <c r="I929" s="27"/>
    </row>
    <row r="930">
      <c r="B930" s="40"/>
      <c r="D930" s="36"/>
      <c r="E930" s="43"/>
      <c r="F930" s="38"/>
      <c r="G930" s="43"/>
      <c r="H930" s="43"/>
      <c r="I930" s="27"/>
    </row>
    <row r="931">
      <c r="B931" s="40"/>
      <c r="D931" s="36"/>
      <c r="E931" s="43"/>
      <c r="F931" s="38"/>
      <c r="G931" s="43"/>
      <c r="H931" s="43"/>
      <c r="I931" s="27"/>
    </row>
    <row r="932">
      <c r="B932" s="40"/>
      <c r="D932" s="36"/>
      <c r="E932" s="43"/>
      <c r="F932" s="38"/>
      <c r="G932" s="43"/>
      <c r="H932" s="43"/>
      <c r="I932" s="27"/>
    </row>
    <row r="933">
      <c r="B933" s="40"/>
      <c r="D933" s="36"/>
      <c r="E933" s="43"/>
      <c r="F933" s="38"/>
      <c r="G933" s="43"/>
      <c r="H933" s="43"/>
      <c r="I933" s="27"/>
    </row>
    <row r="934">
      <c r="B934" s="40"/>
      <c r="D934" s="36"/>
      <c r="E934" s="43"/>
      <c r="F934" s="38"/>
      <c r="G934" s="43"/>
      <c r="H934" s="43"/>
      <c r="I934" s="27"/>
    </row>
    <row r="935">
      <c r="B935" s="40"/>
      <c r="D935" s="36"/>
      <c r="E935" s="43"/>
      <c r="F935" s="38"/>
      <c r="G935" s="43"/>
      <c r="H935" s="43"/>
      <c r="I935" s="27"/>
    </row>
    <row r="936">
      <c r="B936" s="40"/>
      <c r="D936" s="36"/>
      <c r="E936" s="43"/>
      <c r="F936" s="38"/>
      <c r="G936" s="43"/>
      <c r="H936" s="43"/>
      <c r="I936" s="27"/>
    </row>
    <row r="937">
      <c r="B937" s="40"/>
      <c r="D937" s="36"/>
      <c r="E937" s="43"/>
      <c r="F937" s="38"/>
      <c r="G937" s="43"/>
      <c r="H937" s="43"/>
      <c r="I937" s="27"/>
    </row>
    <row r="938">
      <c r="B938" s="40"/>
      <c r="D938" s="36"/>
      <c r="E938" s="43"/>
      <c r="F938" s="38"/>
      <c r="G938" s="43"/>
      <c r="H938" s="43"/>
      <c r="I938" s="27"/>
    </row>
    <row r="939">
      <c r="B939" s="40"/>
      <c r="D939" s="36"/>
      <c r="E939" s="43"/>
      <c r="F939" s="38"/>
      <c r="G939" s="43"/>
      <c r="H939" s="43"/>
      <c r="I939" s="27"/>
    </row>
    <row r="940">
      <c r="B940" s="40"/>
      <c r="D940" s="36"/>
      <c r="E940" s="43"/>
      <c r="F940" s="38"/>
      <c r="G940" s="43"/>
      <c r="H940" s="43"/>
      <c r="I940" s="27"/>
    </row>
    <row r="941">
      <c r="B941" s="40"/>
      <c r="D941" s="36"/>
      <c r="E941" s="43"/>
      <c r="F941" s="38"/>
      <c r="G941" s="43"/>
      <c r="H941" s="43"/>
      <c r="I941" s="27"/>
    </row>
    <row r="942">
      <c r="B942" s="40"/>
      <c r="D942" s="36"/>
      <c r="E942" s="43"/>
      <c r="F942" s="38"/>
      <c r="G942" s="43"/>
      <c r="H942" s="43"/>
      <c r="I942" s="27"/>
    </row>
    <row r="943">
      <c r="B943" s="40"/>
      <c r="D943" s="36"/>
      <c r="E943" s="43"/>
      <c r="F943" s="38"/>
      <c r="G943" s="43"/>
      <c r="H943" s="43"/>
      <c r="I943" s="27"/>
    </row>
    <row r="944">
      <c r="B944" s="40"/>
      <c r="D944" s="36"/>
      <c r="E944" s="43"/>
      <c r="F944" s="38"/>
      <c r="G944" s="43"/>
      <c r="H944" s="43"/>
      <c r="I944" s="27"/>
    </row>
    <row r="945">
      <c r="B945" s="40"/>
      <c r="D945" s="36"/>
      <c r="E945" s="43"/>
      <c r="F945" s="38"/>
      <c r="G945" s="43"/>
      <c r="H945" s="43"/>
      <c r="I945" s="27"/>
    </row>
    <row r="946">
      <c r="B946" s="40"/>
      <c r="D946" s="36"/>
      <c r="E946" s="43"/>
      <c r="F946" s="38"/>
      <c r="G946" s="43"/>
      <c r="H946" s="43"/>
      <c r="I946" s="27"/>
    </row>
    <row r="947">
      <c r="B947" s="40"/>
      <c r="D947" s="36"/>
      <c r="E947" s="43"/>
      <c r="F947" s="38"/>
      <c r="G947" s="43"/>
      <c r="H947" s="43"/>
      <c r="I947" s="27"/>
    </row>
    <row r="948">
      <c r="B948" s="40"/>
      <c r="D948" s="36"/>
      <c r="E948" s="43"/>
      <c r="F948" s="38"/>
      <c r="G948" s="43"/>
      <c r="H948" s="43"/>
      <c r="I948" s="27"/>
    </row>
    <row r="949">
      <c r="B949" s="40"/>
      <c r="D949" s="36"/>
      <c r="E949" s="43"/>
      <c r="F949" s="38"/>
      <c r="G949" s="43"/>
      <c r="H949" s="43"/>
      <c r="I949" s="27"/>
    </row>
    <row r="950">
      <c r="B950" s="40"/>
      <c r="D950" s="36"/>
      <c r="E950" s="43"/>
      <c r="F950" s="38"/>
      <c r="G950" s="43"/>
      <c r="H950" s="43"/>
      <c r="I950" s="27"/>
    </row>
    <row r="951">
      <c r="B951" s="40"/>
      <c r="D951" s="36"/>
      <c r="E951" s="43"/>
      <c r="F951" s="38"/>
      <c r="G951" s="43"/>
      <c r="H951" s="43"/>
      <c r="I951" s="27"/>
    </row>
    <row r="952">
      <c r="B952" s="40"/>
      <c r="D952" s="36"/>
      <c r="E952" s="43"/>
      <c r="F952" s="38"/>
      <c r="G952" s="43"/>
      <c r="H952" s="43"/>
      <c r="I952" s="27"/>
    </row>
    <row r="953">
      <c r="B953" s="40"/>
      <c r="D953" s="36"/>
      <c r="E953" s="43"/>
      <c r="F953" s="38"/>
      <c r="G953" s="43"/>
      <c r="H953" s="43"/>
      <c r="I953" s="27"/>
    </row>
    <row r="954">
      <c r="B954" s="40"/>
      <c r="D954" s="36"/>
      <c r="E954" s="43"/>
      <c r="F954" s="38"/>
      <c r="G954" s="43"/>
      <c r="H954" s="43"/>
      <c r="I954" s="27"/>
    </row>
    <row r="955">
      <c r="B955" s="40"/>
      <c r="D955" s="36"/>
      <c r="E955" s="43"/>
      <c r="F955" s="38"/>
      <c r="G955" s="43"/>
      <c r="H955" s="43"/>
      <c r="I955" s="27"/>
    </row>
    <row r="956">
      <c r="B956" s="40"/>
      <c r="D956" s="36"/>
      <c r="E956" s="43"/>
      <c r="F956" s="38"/>
      <c r="G956" s="43"/>
      <c r="H956" s="43"/>
      <c r="I956" s="27"/>
    </row>
    <row r="957">
      <c r="B957" s="40"/>
      <c r="D957" s="36"/>
      <c r="E957" s="43"/>
      <c r="F957" s="38"/>
      <c r="G957" s="43"/>
      <c r="H957" s="43"/>
      <c r="I957" s="27"/>
    </row>
    <row r="958">
      <c r="B958" s="40"/>
      <c r="D958" s="36"/>
      <c r="E958" s="43"/>
      <c r="F958" s="38"/>
      <c r="G958" s="43"/>
      <c r="H958" s="43"/>
      <c r="I958" s="27"/>
    </row>
    <row r="959">
      <c r="B959" s="40"/>
      <c r="D959" s="36"/>
      <c r="E959" s="43"/>
      <c r="F959" s="38"/>
      <c r="G959" s="43"/>
      <c r="H959" s="43"/>
      <c r="I959" s="27"/>
    </row>
    <row r="960">
      <c r="B960" s="40"/>
      <c r="D960" s="36"/>
      <c r="E960" s="43"/>
      <c r="F960" s="38"/>
      <c r="G960" s="43"/>
      <c r="H960" s="43"/>
      <c r="I960" s="27"/>
    </row>
    <row r="961">
      <c r="B961" s="40"/>
      <c r="D961" s="36"/>
      <c r="E961" s="43"/>
      <c r="F961" s="38"/>
      <c r="G961" s="43"/>
      <c r="H961" s="43"/>
      <c r="I961" s="27"/>
    </row>
    <row r="962">
      <c r="B962" s="40"/>
      <c r="D962" s="36"/>
      <c r="E962" s="43"/>
      <c r="F962" s="38"/>
      <c r="G962" s="43"/>
      <c r="H962" s="43"/>
      <c r="I962" s="27"/>
    </row>
    <row r="963">
      <c r="B963" s="40"/>
      <c r="D963" s="36"/>
      <c r="E963" s="43"/>
      <c r="F963" s="38"/>
      <c r="G963" s="43"/>
      <c r="H963" s="43"/>
      <c r="I963" s="27"/>
    </row>
    <row r="964">
      <c r="B964" s="40"/>
      <c r="D964" s="36"/>
      <c r="E964" s="43"/>
      <c r="F964" s="38"/>
      <c r="G964" s="43"/>
      <c r="H964" s="43"/>
      <c r="I964" s="27"/>
    </row>
    <row r="965">
      <c r="B965" s="40"/>
      <c r="D965" s="36"/>
      <c r="E965" s="43"/>
      <c r="F965" s="38"/>
      <c r="G965" s="43"/>
      <c r="H965" s="43"/>
      <c r="I965" s="27"/>
    </row>
    <row r="966">
      <c r="B966" s="40"/>
      <c r="D966" s="36"/>
      <c r="E966" s="43"/>
      <c r="F966" s="38"/>
      <c r="G966" s="43"/>
      <c r="H966" s="43"/>
      <c r="I966" s="27"/>
    </row>
    <row r="967">
      <c r="B967" s="40"/>
      <c r="D967" s="36"/>
      <c r="E967" s="43"/>
      <c r="F967" s="38"/>
      <c r="G967" s="43"/>
      <c r="H967" s="43"/>
      <c r="I967" s="27"/>
    </row>
    <row r="968">
      <c r="B968" s="40"/>
      <c r="D968" s="36"/>
      <c r="E968" s="43"/>
      <c r="F968" s="38"/>
      <c r="G968" s="43"/>
      <c r="H968" s="43"/>
      <c r="I968" s="27"/>
    </row>
    <row r="969">
      <c r="B969" s="40"/>
      <c r="D969" s="36"/>
      <c r="E969" s="43"/>
      <c r="F969" s="38"/>
      <c r="G969" s="43"/>
      <c r="H969" s="43"/>
      <c r="I969" s="27"/>
    </row>
    <row r="970">
      <c r="B970" s="40"/>
      <c r="D970" s="36"/>
      <c r="E970" s="43"/>
      <c r="F970" s="38"/>
      <c r="G970" s="43"/>
      <c r="H970" s="43"/>
      <c r="I970" s="27"/>
    </row>
    <row r="971">
      <c r="B971" s="40"/>
      <c r="D971" s="36"/>
      <c r="E971" s="43"/>
      <c r="F971" s="38"/>
      <c r="G971" s="43"/>
      <c r="H971" s="43"/>
      <c r="I971" s="27"/>
    </row>
    <row r="972">
      <c r="B972" s="40"/>
      <c r="D972" s="36"/>
      <c r="E972" s="43"/>
      <c r="F972" s="38"/>
      <c r="G972" s="43"/>
      <c r="H972" s="43"/>
      <c r="I972" s="27"/>
    </row>
    <row r="973">
      <c r="B973" s="40"/>
      <c r="D973" s="36"/>
      <c r="E973" s="43"/>
      <c r="F973" s="38"/>
      <c r="G973" s="43"/>
      <c r="H973" s="43"/>
      <c r="I973" s="27"/>
    </row>
    <row r="974">
      <c r="B974" s="40"/>
      <c r="D974" s="36"/>
      <c r="E974" s="43"/>
      <c r="F974" s="38"/>
      <c r="G974" s="43"/>
      <c r="H974" s="43"/>
      <c r="I974" s="27"/>
    </row>
    <row r="975">
      <c r="B975" s="40"/>
      <c r="D975" s="36"/>
      <c r="E975" s="43"/>
      <c r="F975" s="38"/>
      <c r="G975" s="43"/>
      <c r="H975" s="43"/>
      <c r="I975" s="27"/>
    </row>
    <row r="976">
      <c r="B976" s="40"/>
      <c r="D976" s="36"/>
      <c r="E976" s="43"/>
      <c r="F976" s="38"/>
      <c r="G976" s="43"/>
      <c r="H976" s="43"/>
      <c r="I976" s="27"/>
    </row>
    <row r="977">
      <c r="B977" s="40"/>
      <c r="D977" s="36"/>
      <c r="E977" s="43"/>
      <c r="F977" s="38"/>
      <c r="G977" s="43"/>
      <c r="H977" s="43"/>
      <c r="I977" s="27"/>
    </row>
    <row r="978">
      <c r="B978" s="40"/>
      <c r="D978" s="36"/>
      <c r="E978" s="43"/>
      <c r="F978" s="38"/>
      <c r="G978" s="43"/>
      <c r="H978" s="43"/>
      <c r="I978" s="27"/>
    </row>
    <row r="979">
      <c r="B979" s="40"/>
      <c r="D979" s="36"/>
      <c r="E979" s="43"/>
      <c r="F979" s="38"/>
      <c r="G979" s="43"/>
      <c r="H979" s="43"/>
      <c r="I979" s="27"/>
    </row>
    <row r="980">
      <c r="B980" s="40"/>
      <c r="D980" s="36"/>
      <c r="E980" s="43"/>
      <c r="F980" s="38"/>
      <c r="G980" s="43"/>
      <c r="H980" s="43"/>
      <c r="I980" s="27"/>
    </row>
    <row r="981">
      <c r="B981" s="40"/>
      <c r="D981" s="36"/>
      <c r="E981" s="43"/>
      <c r="F981" s="38"/>
      <c r="G981" s="43"/>
      <c r="H981" s="43"/>
      <c r="I981" s="27"/>
    </row>
    <row r="982">
      <c r="B982" s="40"/>
      <c r="D982" s="36"/>
      <c r="E982" s="43"/>
      <c r="F982" s="38"/>
      <c r="G982" s="43"/>
      <c r="H982" s="43"/>
      <c r="I982" s="27"/>
    </row>
    <row r="983">
      <c r="B983" s="40"/>
      <c r="D983" s="36"/>
      <c r="E983" s="43"/>
      <c r="F983" s="38"/>
      <c r="G983" s="43"/>
      <c r="H983" s="43"/>
      <c r="I983" s="27"/>
    </row>
    <row r="984">
      <c r="B984" s="40"/>
      <c r="D984" s="36"/>
      <c r="E984" s="43"/>
      <c r="F984" s="38"/>
      <c r="G984" s="43"/>
      <c r="H984" s="43"/>
      <c r="I984" s="27"/>
    </row>
    <row r="985">
      <c r="B985" s="40"/>
      <c r="D985" s="36"/>
      <c r="E985" s="43"/>
      <c r="F985" s="38"/>
      <c r="G985" s="43"/>
      <c r="H985" s="43"/>
      <c r="I985" s="27"/>
    </row>
    <row r="986">
      <c r="B986" s="40"/>
      <c r="D986" s="36"/>
      <c r="E986" s="43"/>
      <c r="F986" s="38"/>
      <c r="G986" s="43"/>
      <c r="H986" s="43"/>
      <c r="I986" s="27"/>
    </row>
    <row r="987">
      <c r="B987" s="40"/>
      <c r="D987" s="36"/>
      <c r="E987" s="43"/>
      <c r="F987" s="38"/>
      <c r="G987" s="43"/>
      <c r="H987" s="43"/>
      <c r="I987" s="27"/>
    </row>
    <row r="988">
      <c r="B988" s="40"/>
      <c r="D988" s="36"/>
      <c r="E988" s="43"/>
      <c r="F988" s="38"/>
      <c r="G988" s="43"/>
      <c r="H988" s="43"/>
      <c r="I988" s="27"/>
    </row>
    <row r="989">
      <c r="B989" s="40"/>
      <c r="D989" s="36"/>
      <c r="E989" s="43"/>
      <c r="F989" s="38"/>
      <c r="G989" s="43"/>
      <c r="H989" s="43"/>
      <c r="I989" s="27"/>
    </row>
    <row r="990">
      <c r="B990" s="40"/>
      <c r="D990" s="36"/>
      <c r="E990" s="43"/>
      <c r="F990" s="38"/>
      <c r="G990" s="43"/>
      <c r="H990" s="43"/>
      <c r="I990" s="27"/>
    </row>
    <row r="991">
      <c r="B991" s="40"/>
      <c r="D991" s="36"/>
      <c r="E991" s="43"/>
      <c r="F991" s="38"/>
      <c r="G991" s="43"/>
      <c r="H991" s="43"/>
      <c r="I991" s="27"/>
    </row>
    <row r="992">
      <c r="B992" s="40"/>
      <c r="D992" s="36"/>
      <c r="E992" s="43"/>
      <c r="F992" s="38"/>
      <c r="G992" s="43"/>
      <c r="H992" s="43"/>
      <c r="I992" s="27"/>
    </row>
    <row r="993">
      <c r="B993" s="40"/>
      <c r="D993" s="36"/>
      <c r="E993" s="43"/>
      <c r="F993" s="38"/>
      <c r="G993" s="43"/>
      <c r="H993" s="43"/>
      <c r="I993" s="27"/>
    </row>
    <row r="994">
      <c r="B994" s="40"/>
      <c r="D994" s="36"/>
      <c r="E994" s="43"/>
      <c r="F994" s="38"/>
      <c r="G994" s="43"/>
      <c r="H994" s="43"/>
      <c r="I994" s="27"/>
    </row>
    <row r="995">
      <c r="B995" s="40"/>
      <c r="D995" s="36"/>
      <c r="E995" s="43"/>
      <c r="F995" s="38"/>
      <c r="G995" s="43"/>
      <c r="H995" s="43"/>
      <c r="I995" s="27"/>
    </row>
    <row r="996">
      <c r="B996" s="40"/>
      <c r="D996" s="36"/>
      <c r="E996" s="43"/>
      <c r="F996" s="38"/>
      <c r="G996" s="43"/>
      <c r="H996" s="43"/>
      <c r="I996" s="27"/>
    </row>
    <row r="997">
      <c r="B997" s="40"/>
      <c r="D997" s="36"/>
      <c r="E997" s="43"/>
      <c r="F997" s="38"/>
      <c r="G997" s="43"/>
      <c r="H997" s="43"/>
      <c r="I997" s="27"/>
    </row>
    <row r="998">
      <c r="B998" s="40"/>
      <c r="D998" s="36"/>
      <c r="E998" s="43"/>
      <c r="F998" s="38"/>
      <c r="G998" s="43"/>
      <c r="H998" s="43"/>
      <c r="I998" s="27"/>
    </row>
    <row r="999">
      <c r="B999" s="40"/>
      <c r="D999" s="36"/>
      <c r="E999" s="43"/>
      <c r="F999" s="38"/>
      <c r="G999" s="43"/>
      <c r="H999" s="43"/>
      <c r="I999" s="27"/>
    </row>
    <row r="1000">
      <c r="B1000" s="40"/>
      <c r="D1000" s="36"/>
      <c r="E1000" s="43"/>
      <c r="F1000" s="38"/>
      <c r="G1000" s="43"/>
      <c r="H1000" s="43"/>
      <c r="I1000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1" t="s">
        <v>8</v>
      </c>
    </row>
    <row r="2">
      <c r="A2" s="9">
        <v>45983.0</v>
      </c>
      <c r="B2" s="2"/>
      <c r="C2" s="1"/>
      <c r="D2" s="10"/>
      <c r="E2" s="11" t="str">
        <f t="shared" ref="E2:E65" si="1">IF(OR(B2="", C2=""), "", ROUNDUP(B2*C2, 0))</f>
        <v/>
      </c>
      <c r="F2" s="10" t="str">
        <f t="shared" ref="F2:F56" si="2">IF(D2=0, "", (E2-D2))</f>
        <v/>
      </c>
      <c r="G2" s="5"/>
      <c r="H2" s="5">
        <v>166936.0</v>
      </c>
      <c r="I2" s="8"/>
      <c r="J2" s="27"/>
      <c r="K2" s="27"/>
      <c r="L2" s="27"/>
      <c r="M2" s="27"/>
      <c r="N2" s="27"/>
      <c r="O2" s="27"/>
      <c r="P2" s="27"/>
    </row>
    <row r="3">
      <c r="A3" s="9">
        <v>45986.0</v>
      </c>
      <c r="B3" s="2">
        <v>3500.0</v>
      </c>
      <c r="C3" s="1">
        <v>4.53</v>
      </c>
      <c r="D3" s="10"/>
      <c r="E3" s="11">
        <f t="shared" si="1"/>
        <v>15855</v>
      </c>
      <c r="F3" s="10" t="str">
        <f t="shared" si="2"/>
        <v/>
      </c>
      <c r="G3" s="5"/>
      <c r="H3" s="11">
        <f t="shared" ref="H3:H59" si="3">IF(ISBLANK(A3), "", H2 + E3 - G3)</f>
        <v>182791</v>
      </c>
      <c r="I3" s="8"/>
      <c r="J3" s="27"/>
      <c r="K3" s="27"/>
      <c r="L3" s="27"/>
      <c r="M3" s="27"/>
      <c r="N3" s="27"/>
      <c r="O3" s="27"/>
      <c r="P3" s="27"/>
    </row>
    <row r="4">
      <c r="A4" s="9">
        <v>45986.0</v>
      </c>
      <c r="B4" s="2">
        <v>2300.0</v>
      </c>
      <c r="C4" s="1">
        <v>4.53</v>
      </c>
      <c r="D4" s="10"/>
      <c r="E4" s="11">
        <f t="shared" si="1"/>
        <v>10419</v>
      </c>
      <c r="F4" s="10" t="str">
        <f t="shared" si="2"/>
        <v/>
      </c>
      <c r="G4" s="5"/>
      <c r="H4" s="11">
        <f t="shared" si="3"/>
        <v>193210</v>
      </c>
      <c r="I4" s="8"/>
      <c r="J4" s="27"/>
      <c r="K4" s="27"/>
      <c r="L4" s="27"/>
      <c r="M4" s="27"/>
      <c r="N4" s="27"/>
      <c r="O4" s="27"/>
      <c r="P4" s="27"/>
    </row>
    <row r="5">
      <c r="A5" s="9">
        <v>45987.0</v>
      </c>
      <c r="B5" s="13"/>
      <c r="C5" s="8"/>
      <c r="D5" s="10"/>
      <c r="E5" s="11" t="str">
        <f t="shared" si="1"/>
        <v/>
      </c>
      <c r="F5" s="10" t="str">
        <f t="shared" si="2"/>
        <v/>
      </c>
      <c r="G5" s="5">
        <v>60000.0</v>
      </c>
      <c r="H5" s="11">
        <f t="shared" si="3"/>
        <v>133210</v>
      </c>
      <c r="I5" s="8"/>
      <c r="J5" s="27"/>
      <c r="K5" s="27"/>
      <c r="L5" s="27"/>
      <c r="M5" s="27"/>
      <c r="N5" s="27"/>
      <c r="O5" s="27"/>
      <c r="P5" s="27"/>
    </row>
    <row r="6">
      <c r="A6" s="9">
        <v>45991.0</v>
      </c>
      <c r="B6" s="13"/>
      <c r="C6" s="8"/>
      <c r="D6" s="4"/>
      <c r="E6" s="11" t="str">
        <f t="shared" si="1"/>
        <v/>
      </c>
      <c r="F6" s="10" t="str">
        <f t="shared" si="2"/>
        <v/>
      </c>
      <c r="G6" s="5">
        <v>83000.0</v>
      </c>
      <c r="H6" s="11">
        <f t="shared" si="3"/>
        <v>50210</v>
      </c>
      <c r="I6" s="1" t="s">
        <v>97</v>
      </c>
      <c r="J6" s="27"/>
      <c r="K6" s="27"/>
      <c r="L6" s="27"/>
      <c r="M6" s="27"/>
      <c r="N6" s="27"/>
      <c r="O6" s="27"/>
      <c r="P6" s="27"/>
    </row>
    <row r="7">
      <c r="A7" s="9">
        <v>45999.0</v>
      </c>
      <c r="B7" s="13"/>
      <c r="C7" s="8"/>
      <c r="D7" s="4"/>
      <c r="E7" s="11" t="str">
        <f t="shared" si="1"/>
        <v/>
      </c>
      <c r="F7" s="10" t="str">
        <f t="shared" si="2"/>
        <v/>
      </c>
      <c r="G7" s="5">
        <v>50000.0</v>
      </c>
      <c r="H7" s="11">
        <f t="shared" si="3"/>
        <v>210</v>
      </c>
      <c r="I7" s="1" t="s">
        <v>17</v>
      </c>
      <c r="J7" s="27"/>
      <c r="K7" s="27"/>
      <c r="L7" s="27"/>
      <c r="M7" s="27"/>
      <c r="N7" s="27"/>
      <c r="O7" s="27"/>
      <c r="P7" s="27"/>
    </row>
    <row r="8">
      <c r="A8" s="9">
        <v>46000.0</v>
      </c>
      <c r="B8" s="2">
        <v>12000.0</v>
      </c>
      <c r="C8" s="1">
        <v>4.53</v>
      </c>
      <c r="D8" s="4"/>
      <c r="E8" s="11">
        <f t="shared" si="1"/>
        <v>54360</v>
      </c>
      <c r="F8" s="10" t="str">
        <f t="shared" si="2"/>
        <v/>
      </c>
      <c r="G8" s="5"/>
      <c r="H8" s="11">
        <f t="shared" si="3"/>
        <v>54570</v>
      </c>
      <c r="I8" s="5"/>
      <c r="J8" s="29"/>
      <c r="K8" s="27"/>
      <c r="L8" s="27"/>
      <c r="M8" s="27"/>
      <c r="N8" s="27"/>
      <c r="O8" s="27"/>
      <c r="P8" s="27"/>
    </row>
    <row r="9">
      <c r="A9" s="9">
        <v>46003.0</v>
      </c>
      <c r="B9" s="2">
        <v>19000.0</v>
      </c>
      <c r="C9" s="1">
        <v>4.55</v>
      </c>
      <c r="D9" s="10"/>
      <c r="E9" s="11">
        <f t="shared" si="1"/>
        <v>86450</v>
      </c>
      <c r="F9" s="10" t="str">
        <f t="shared" si="2"/>
        <v/>
      </c>
      <c r="G9" s="11"/>
      <c r="H9" s="11">
        <f t="shared" si="3"/>
        <v>141020</v>
      </c>
      <c r="I9" s="8"/>
      <c r="J9" s="27"/>
      <c r="K9" s="27"/>
      <c r="L9" s="27"/>
      <c r="M9" s="27"/>
      <c r="N9" s="27"/>
      <c r="O9" s="27"/>
      <c r="P9" s="27"/>
    </row>
    <row r="10">
      <c r="A10" s="9">
        <v>46005.0</v>
      </c>
      <c r="B10" s="2">
        <v>12300.0</v>
      </c>
      <c r="C10" s="1">
        <v>4.55</v>
      </c>
      <c r="D10" s="10"/>
      <c r="E10" s="11">
        <f t="shared" si="1"/>
        <v>55965</v>
      </c>
      <c r="F10" s="10" t="str">
        <f t="shared" si="2"/>
        <v/>
      </c>
      <c r="G10" s="11"/>
      <c r="H10" s="11">
        <f t="shared" si="3"/>
        <v>196985</v>
      </c>
      <c r="I10" s="8"/>
      <c r="J10" s="27"/>
      <c r="K10" s="27"/>
      <c r="L10" s="27"/>
      <c r="M10" s="27"/>
      <c r="N10" s="27"/>
      <c r="O10" s="27"/>
      <c r="P10" s="27"/>
    </row>
    <row r="11">
      <c r="A11" s="9">
        <v>46009.0</v>
      </c>
      <c r="B11" s="2">
        <v>2700.0</v>
      </c>
      <c r="C11" s="1">
        <v>4.6</v>
      </c>
      <c r="D11" s="10"/>
      <c r="E11" s="11">
        <f t="shared" si="1"/>
        <v>12420</v>
      </c>
      <c r="F11" s="10" t="str">
        <f t="shared" si="2"/>
        <v/>
      </c>
      <c r="G11" s="11"/>
      <c r="H11" s="11">
        <f t="shared" si="3"/>
        <v>209405</v>
      </c>
      <c r="I11" s="8"/>
      <c r="J11" s="27"/>
      <c r="K11" s="27"/>
      <c r="L11" s="27"/>
      <c r="M11" s="27"/>
      <c r="N11" s="27"/>
      <c r="O11" s="27"/>
      <c r="P11" s="27"/>
    </row>
    <row r="12">
      <c r="A12" s="9">
        <v>46009.0</v>
      </c>
      <c r="B12" s="2">
        <v>5000.0</v>
      </c>
      <c r="C12" s="1">
        <v>4.6</v>
      </c>
      <c r="D12" s="10"/>
      <c r="E12" s="11">
        <f t="shared" si="1"/>
        <v>23000</v>
      </c>
      <c r="F12" s="10" t="str">
        <f t="shared" si="2"/>
        <v/>
      </c>
      <c r="G12" s="11"/>
      <c r="H12" s="11">
        <f t="shared" si="3"/>
        <v>232405</v>
      </c>
      <c r="I12" s="8"/>
      <c r="J12" s="27"/>
      <c r="K12" s="27"/>
      <c r="L12" s="27"/>
      <c r="M12" s="27"/>
      <c r="N12" s="27"/>
      <c r="O12" s="27"/>
      <c r="P12" s="27"/>
    </row>
    <row r="13">
      <c r="A13" s="9">
        <v>46011.0</v>
      </c>
      <c r="B13" s="2">
        <v>37850.0</v>
      </c>
      <c r="C13" s="1">
        <v>4.6</v>
      </c>
      <c r="D13" s="10"/>
      <c r="E13" s="11">
        <f t="shared" si="1"/>
        <v>174110</v>
      </c>
      <c r="F13" s="10" t="str">
        <f t="shared" si="2"/>
        <v/>
      </c>
      <c r="G13" s="11"/>
      <c r="H13" s="11">
        <f t="shared" si="3"/>
        <v>406515</v>
      </c>
      <c r="I13" s="8"/>
      <c r="J13" s="27"/>
      <c r="K13" s="27"/>
      <c r="L13" s="27"/>
      <c r="M13" s="27"/>
      <c r="N13" s="27"/>
      <c r="O13" s="27"/>
      <c r="P13" s="27"/>
    </row>
    <row r="14">
      <c r="A14" s="9">
        <v>46013.0</v>
      </c>
      <c r="B14" s="13"/>
      <c r="C14" s="8"/>
      <c r="D14" s="4"/>
      <c r="E14" s="11" t="str">
        <f t="shared" si="1"/>
        <v/>
      </c>
      <c r="F14" s="10" t="str">
        <f t="shared" si="2"/>
        <v/>
      </c>
      <c r="G14" s="5">
        <v>200000.0</v>
      </c>
      <c r="H14" s="11">
        <f t="shared" si="3"/>
        <v>206515</v>
      </c>
      <c r="I14" s="1" t="s">
        <v>17</v>
      </c>
      <c r="J14" s="27"/>
      <c r="K14" s="27"/>
      <c r="L14" s="27"/>
      <c r="M14" s="27"/>
      <c r="N14" s="27"/>
      <c r="O14" s="27"/>
      <c r="P14" s="27"/>
    </row>
    <row r="15">
      <c r="A15" s="9">
        <v>46013.0</v>
      </c>
      <c r="B15" s="2">
        <v>400.0</v>
      </c>
      <c r="C15" s="1">
        <v>4.6</v>
      </c>
      <c r="D15" s="10"/>
      <c r="E15" s="11">
        <f t="shared" si="1"/>
        <v>1840</v>
      </c>
      <c r="F15" s="10" t="str">
        <f t="shared" si="2"/>
        <v/>
      </c>
      <c r="G15" s="11"/>
      <c r="H15" s="11">
        <f t="shared" si="3"/>
        <v>208355</v>
      </c>
      <c r="I15" s="8"/>
      <c r="J15" s="27"/>
      <c r="K15" s="27"/>
      <c r="L15" s="27"/>
      <c r="M15" s="27"/>
      <c r="N15" s="27"/>
      <c r="O15" s="27"/>
      <c r="P15" s="27"/>
    </row>
    <row r="16">
      <c r="A16" s="9">
        <v>46015.0</v>
      </c>
      <c r="B16" s="2">
        <v>3299.0</v>
      </c>
      <c r="C16" s="1">
        <v>4.6</v>
      </c>
      <c r="D16" s="10"/>
      <c r="E16" s="11">
        <f t="shared" si="1"/>
        <v>15176</v>
      </c>
      <c r="F16" s="10" t="str">
        <f t="shared" si="2"/>
        <v/>
      </c>
      <c r="G16" s="11"/>
      <c r="H16" s="11">
        <f t="shared" si="3"/>
        <v>223531</v>
      </c>
      <c r="I16" s="8"/>
      <c r="J16" s="27"/>
      <c r="K16" s="27"/>
      <c r="L16" s="27"/>
      <c r="M16" s="27"/>
      <c r="N16" s="27"/>
      <c r="O16" s="27"/>
      <c r="P16" s="27"/>
    </row>
    <row r="17">
      <c r="A17" s="9">
        <v>46016.0</v>
      </c>
      <c r="B17" s="2">
        <v>5000.0</v>
      </c>
      <c r="C17" s="1">
        <v>4.6</v>
      </c>
      <c r="D17" s="10"/>
      <c r="E17" s="11">
        <f t="shared" si="1"/>
        <v>23000</v>
      </c>
      <c r="F17" s="10" t="str">
        <f t="shared" si="2"/>
        <v/>
      </c>
      <c r="G17" s="11"/>
      <c r="H17" s="11">
        <f t="shared" si="3"/>
        <v>246531</v>
      </c>
      <c r="I17" s="8"/>
      <c r="J17" s="27"/>
      <c r="K17" s="27"/>
      <c r="L17" s="27"/>
      <c r="M17" s="27"/>
      <c r="N17" s="27"/>
      <c r="O17" s="27"/>
      <c r="P17" s="27"/>
    </row>
    <row r="18">
      <c r="A18" s="9">
        <v>46018.0</v>
      </c>
      <c r="B18" s="2">
        <v>5500.0</v>
      </c>
      <c r="C18" s="1">
        <v>4.62</v>
      </c>
      <c r="D18" s="10"/>
      <c r="E18" s="11">
        <f t="shared" si="1"/>
        <v>25410</v>
      </c>
      <c r="F18" s="10" t="str">
        <f t="shared" si="2"/>
        <v/>
      </c>
      <c r="G18" s="11"/>
      <c r="H18" s="11">
        <f t="shared" si="3"/>
        <v>271941</v>
      </c>
      <c r="I18" s="8"/>
      <c r="J18" s="27"/>
      <c r="K18" s="27"/>
      <c r="L18" s="27"/>
      <c r="M18" s="27"/>
      <c r="N18" s="27"/>
      <c r="O18" s="27"/>
      <c r="P18" s="27"/>
    </row>
    <row r="19">
      <c r="A19" s="9">
        <v>46018.0</v>
      </c>
      <c r="B19" s="2">
        <v>19100.0</v>
      </c>
      <c r="C19" s="1">
        <v>4.62</v>
      </c>
      <c r="D19" s="10"/>
      <c r="E19" s="11">
        <f t="shared" si="1"/>
        <v>88242</v>
      </c>
      <c r="F19" s="10" t="str">
        <f t="shared" si="2"/>
        <v/>
      </c>
      <c r="G19" s="11"/>
      <c r="H19" s="11">
        <f t="shared" si="3"/>
        <v>360183</v>
      </c>
      <c r="I19" s="8"/>
      <c r="J19" s="27"/>
      <c r="K19" s="27"/>
      <c r="L19" s="27"/>
      <c r="M19" s="27"/>
      <c r="N19" s="27"/>
      <c r="O19" s="27"/>
      <c r="P19" s="27"/>
    </row>
    <row r="20">
      <c r="A20" s="9">
        <v>46019.0</v>
      </c>
      <c r="B20" s="13"/>
      <c r="C20" s="8"/>
      <c r="D20" s="10"/>
      <c r="E20" s="11" t="str">
        <f t="shared" si="1"/>
        <v/>
      </c>
      <c r="F20" s="10" t="str">
        <f t="shared" si="2"/>
        <v/>
      </c>
      <c r="G20" s="5">
        <v>200000.0</v>
      </c>
      <c r="H20" s="11">
        <f t="shared" si="3"/>
        <v>160183</v>
      </c>
      <c r="I20" s="8"/>
      <c r="J20" s="27"/>
      <c r="K20" s="27"/>
      <c r="L20" s="27"/>
      <c r="M20" s="27"/>
      <c r="N20" s="27"/>
      <c r="O20" s="27"/>
      <c r="P20" s="27"/>
    </row>
    <row r="21">
      <c r="A21" s="9">
        <v>46020.0</v>
      </c>
      <c r="B21" s="13"/>
      <c r="C21" s="8"/>
      <c r="D21" s="4"/>
      <c r="E21" s="11" t="str">
        <f t="shared" si="1"/>
        <v/>
      </c>
      <c r="F21" s="10" t="str">
        <f t="shared" si="2"/>
        <v/>
      </c>
      <c r="G21" s="5">
        <v>51350.0</v>
      </c>
      <c r="H21" s="11">
        <f t="shared" si="3"/>
        <v>108833</v>
      </c>
      <c r="I21" s="1" t="s">
        <v>98</v>
      </c>
      <c r="J21" s="27"/>
      <c r="K21" s="27"/>
      <c r="L21" s="27"/>
      <c r="M21" s="27"/>
      <c r="N21" s="27"/>
      <c r="O21" s="27"/>
      <c r="P21" s="27"/>
    </row>
    <row r="22">
      <c r="A22" s="9">
        <v>46387.0</v>
      </c>
      <c r="B22" s="2">
        <v>7500.0</v>
      </c>
      <c r="C22" s="1">
        <v>4.61</v>
      </c>
      <c r="D22" s="10"/>
      <c r="E22" s="11">
        <f t="shared" si="1"/>
        <v>34575</v>
      </c>
      <c r="F22" s="10" t="str">
        <f t="shared" si="2"/>
        <v/>
      </c>
      <c r="G22" s="11"/>
      <c r="H22" s="11">
        <f t="shared" si="3"/>
        <v>143408</v>
      </c>
      <c r="I22" s="8"/>
      <c r="J22" s="27"/>
      <c r="K22" s="27"/>
      <c r="L22" s="27"/>
      <c r="M22" s="27"/>
      <c r="N22" s="27"/>
      <c r="O22" s="27"/>
      <c r="P22" s="27"/>
    </row>
    <row r="23">
      <c r="A23" s="9">
        <v>46028.0</v>
      </c>
      <c r="B23" s="2">
        <v>8300.0</v>
      </c>
      <c r="C23" s="1">
        <v>4.65</v>
      </c>
      <c r="D23" s="10"/>
      <c r="E23" s="11">
        <f t="shared" si="1"/>
        <v>38595</v>
      </c>
      <c r="F23" s="10" t="str">
        <f t="shared" si="2"/>
        <v/>
      </c>
      <c r="G23" s="11"/>
      <c r="H23" s="11">
        <f t="shared" si="3"/>
        <v>182003</v>
      </c>
      <c r="I23" s="8"/>
      <c r="J23" s="27"/>
      <c r="K23" s="27"/>
      <c r="L23" s="27"/>
      <c r="M23" s="27"/>
      <c r="N23" s="27"/>
      <c r="O23" s="27"/>
      <c r="P23" s="27"/>
    </row>
    <row r="24">
      <c r="A24" s="9">
        <v>46028.0</v>
      </c>
      <c r="B24" s="2">
        <v>16300.0</v>
      </c>
      <c r="C24" s="1">
        <v>4.65</v>
      </c>
      <c r="D24" s="10"/>
      <c r="E24" s="11">
        <f t="shared" si="1"/>
        <v>75795</v>
      </c>
      <c r="F24" s="10" t="str">
        <f t="shared" si="2"/>
        <v/>
      </c>
      <c r="G24" s="11"/>
      <c r="H24" s="11">
        <f t="shared" si="3"/>
        <v>257798</v>
      </c>
      <c r="I24" s="8"/>
      <c r="J24" s="27"/>
      <c r="K24" s="27"/>
      <c r="L24" s="27"/>
      <c r="M24" s="27"/>
      <c r="N24" s="27"/>
      <c r="O24" s="27"/>
      <c r="P24" s="27"/>
    </row>
    <row r="25">
      <c r="A25" s="9">
        <v>46030.0</v>
      </c>
      <c r="B25" s="2">
        <v>14000.0</v>
      </c>
      <c r="C25" s="1">
        <v>4.67</v>
      </c>
      <c r="D25" s="10"/>
      <c r="E25" s="11">
        <f t="shared" si="1"/>
        <v>65380</v>
      </c>
      <c r="F25" s="10" t="str">
        <f t="shared" si="2"/>
        <v/>
      </c>
      <c r="G25" s="11"/>
      <c r="H25" s="11">
        <f t="shared" si="3"/>
        <v>323178</v>
      </c>
      <c r="I25" s="8"/>
      <c r="J25" s="27"/>
      <c r="K25" s="27"/>
      <c r="L25" s="27"/>
      <c r="M25" s="27"/>
      <c r="N25" s="27"/>
      <c r="O25" s="27"/>
      <c r="P25" s="27"/>
    </row>
    <row r="26">
      <c r="A26" s="9">
        <v>46030.0</v>
      </c>
      <c r="B26" s="13"/>
      <c r="C26" s="8"/>
      <c r="D26" s="10"/>
      <c r="E26" s="11" t="str">
        <f t="shared" si="1"/>
        <v/>
      </c>
      <c r="F26" s="10" t="str">
        <f t="shared" si="2"/>
        <v/>
      </c>
      <c r="G26" s="5">
        <v>200000.0</v>
      </c>
      <c r="H26" s="11">
        <f t="shared" si="3"/>
        <v>123178</v>
      </c>
      <c r="I26" s="8"/>
      <c r="J26" s="27"/>
      <c r="K26" s="27"/>
      <c r="L26" s="27"/>
      <c r="M26" s="27"/>
      <c r="N26" s="27"/>
      <c r="O26" s="27"/>
      <c r="P26" s="27"/>
    </row>
    <row r="27">
      <c r="A27" s="9">
        <v>46035.0</v>
      </c>
      <c r="B27" s="2">
        <v>2700.0</v>
      </c>
      <c r="C27" s="1">
        <v>4.69</v>
      </c>
      <c r="D27" s="10"/>
      <c r="E27" s="11">
        <f t="shared" si="1"/>
        <v>12663</v>
      </c>
      <c r="F27" s="10" t="str">
        <f t="shared" si="2"/>
        <v/>
      </c>
      <c r="G27" s="11"/>
      <c r="H27" s="11">
        <f t="shared" si="3"/>
        <v>135841</v>
      </c>
      <c r="I27" s="8"/>
      <c r="J27" s="27"/>
      <c r="K27" s="27"/>
      <c r="L27" s="27"/>
      <c r="M27" s="27"/>
      <c r="N27" s="27"/>
      <c r="O27" s="27"/>
      <c r="P27" s="27"/>
    </row>
    <row r="28">
      <c r="A28" s="9">
        <v>46035.0</v>
      </c>
      <c r="B28" s="2">
        <v>13700.0</v>
      </c>
      <c r="C28" s="1">
        <v>4.69</v>
      </c>
      <c r="D28" s="10"/>
      <c r="E28" s="11">
        <f t="shared" si="1"/>
        <v>64253</v>
      </c>
      <c r="F28" s="10" t="str">
        <f t="shared" si="2"/>
        <v/>
      </c>
      <c r="G28" s="11"/>
      <c r="H28" s="11">
        <f t="shared" si="3"/>
        <v>200094</v>
      </c>
      <c r="I28" s="8"/>
      <c r="J28" s="27"/>
      <c r="K28" s="27"/>
      <c r="L28" s="27"/>
      <c r="M28" s="27"/>
      <c r="N28" s="27"/>
      <c r="O28" s="27"/>
      <c r="P28" s="27"/>
    </row>
    <row r="29">
      <c r="A29" s="9">
        <v>46037.0</v>
      </c>
      <c r="B29" s="2">
        <v>16000.0</v>
      </c>
      <c r="C29" s="1">
        <v>4.69</v>
      </c>
      <c r="D29" s="10"/>
      <c r="E29" s="11">
        <f t="shared" si="1"/>
        <v>75040</v>
      </c>
      <c r="F29" s="10" t="str">
        <f t="shared" si="2"/>
        <v/>
      </c>
      <c r="G29" s="11"/>
      <c r="H29" s="11">
        <f t="shared" si="3"/>
        <v>275134</v>
      </c>
      <c r="I29" s="8"/>
      <c r="J29" s="27"/>
      <c r="K29" s="27"/>
      <c r="L29" s="27"/>
      <c r="M29" s="27"/>
      <c r="N29" s="27"/>
      <c r="O29" s="27"/>
      <c r="P29" s="27"/>
    </row>
    <row r="30">
      <c r="A30" s="9">
        <v>46040.0</v>
      </c>
      <c r="B30" s="13"/>
      <c r="C30" s="8"/>
      <c r="D30" s="10"/>
      <c r="E30" s="11" t="str">
        <f t="shared" si="1"/>
        <v/>
      </c>
      <c r="F30" s="10" t="str">
        <f t="shared" si="2"/>
        <v/>
      </c>
      <c r="G30" s="5">
        <v>240000.0</v>
      </c>
      <c r="H30" s="11">
        <f t="shared" si="3"/>
        <v>35134</v>
      </c>
      <c r="I30" s="8"/>
      <c r="J30" s="27"/>
      <c r="K30" s="27"/>
      <c r="L30" s="27"/>
      <c r="M30" s="27"/>
      <c r="N30" s="27"/>
      <c r="O30" s="27"/>
      <c r="P30" s="27"/>
    </row>
    <row r="31">
      <c r="A31" s="9">
        <v>46042.0</v>
      </c>
      <c r="B31" s="2">
        <v>2700.0</v>
      </c>
      <c r="C31" s="1">
        <v>4.67</v>
      </c>
      <c r="D31" s="10"/>
      <c r="E31" s="11">
        <f t="shared" si="1"/>
        <v>12609</v>
      </c>
      <c r="F31" s="10" t="str">
        <f t="shared" si="2"/>
        <v/>
      </c>
      <c r="G31" s="11"/>
      <c r="H31" s="11">
        <f t="shared" si="3"/>
        <v>47743</v>
      </c>
      <c r="I31" s="8"/>
      <c r="J31" s="27"/>
      <c r="K31" s="27"/>
      <c r="L31" s="27"/>
      <c r="M31" s="27"/>
      <c r="N31" s="27"/>
      <c r="O31" s="27"/>
      <c r="P31" s="27"/>
    </row>
    <row r="32">
      <c r="A32" s="9">
        <v>46042.0</v>
      </c>
      <c r="B32" s="2">
        <v>3200.0</v>
      </c>
      <c r="C32" s="1">
        <v>4.67</v>
      </c>
      <c r="D32" s="10"/>
      <c r="E32" s="11">
        <f t="shared" si="1"/>
        <v>14944</v>
      </c>
      <c r="F32" s="10" t="str">
        <f t="shared" si="2"/>
        <v/>
      </c>
      <c r="G32" s="11"/>
      <c r="H32" s="11">
        <f t="shared" si="3"/>
        <v>62687</v>
      </c>
      <c r="I32" s="8"/>
      <c r="J32" s="27"/>
      <c r="K32" s="27"/>
      <c r="L32" s="27"/>
      <c r="M32" s="27"/>
      <c r="N32" s="27"/>
      <c r="O32" s="27"/>
      <c r="P32" s="27"/>
    </row>
    <row r="33">
      <c r="A33" s="9">
        <v>46042.0</v>
      </c>
      <c r="B33" s="2">
        <v>3000.0</v>
      </c>
      <c r="C33" s="1">
        <v>4.67</v>
      </c>
      <c r="D33" s="10"/>
      <c r="E33" s="11">
        <f t="shared" si="1"/>
        <v>14010</v>
      </c>
      <c r="F33" s="10" t="str">
        <f t="shared" si="2"/>
        <v/>
      </c>
      <c r="G33" s="11"/>
      <c r="H33" s="11">
        <f t="shared" si="3"/>
        <v>76697</v>
      </c>
      <c r="I33" s="8"/>
      <c r="J33" s="27"/>
      <c r="K33" s="27"/>
      <c r="L33" s="27"/>
      <c r="M33" s="27"/>
      <c r="N33" s="27"/>
      <c r="O33" s="27"/>
      <c r="P33" s="27"/>
    </row>
    <row r="34">
      <c r="A34" s="9">
        <v>46042.0</v>
      </c>
      <c r="B34" s="2">
        <v>20750.0</v>
      </c>
      <c r="C34" s="1">
        <v>4.67</v>
      </c>
      <c r="D34" s="10"/>
      <c r="E34" s="11">
        <f t="shared" si="1"/>
        <v>96903</v>
      </c>
      <c r="F34" s="10" t="str">
        <f t="shared" si="2"/>
        <v/>
      </c>
      <c r="G34" s="11"/>
      <c r="H34" s="11">
        <f t="shared" si="3"/>
        <v>173600</v>
      </c>
      <c r="I34" s="8"/>
      <c r="J34" s="27"/>
      <c r="K34" s="27"/>
      <c r="L34" s="27"/>
      <c r="M34" s="27"/>
      <c r="N34" s="27"/>
      <c r="O34" s="27"/>
      <c r="P34" s="27"/>
    </row>
    <row r="35">
      <c r="A35" s="9">
        <v>46042.0</v>
      </c>
      <c r="B35" s="2">
        <v>8000.0</v>
      </c>
      <c r="C35" s="1">
        <v>4.67</v>
      </c>
      <c r="D35" s="10"/>
      <c r="E35" s="11">
        <f t="shared" si="1"/>
        <v>37360</v>
      </c>
      <c r="F35" s="10" t="str">
        <f t="shared" si="2"/>
        <v/>
      </c>
      <c r="G35" s="11"/>
      <c r="H35" s="11">
        <f t="shared" si="3"/>
        <v>210960</v>
      </c>
      <c r="I35" s="8"/>
      <c r="J35" s="27"/>
      <c r="K35" s="27"/>
      <c r="L35" s="27"/>
      <c r="M35" s="27"/>
      <c r="N35" s="27"/>
      <c r="O35" s="27"/>
      <c r="P35" s="27"/>
    </row>
    <row r="36">
      <c r="A36" s="9">
        <v>46043.0</v>
      </c>
      <c r="B36" s="13"/>
      <c r="C36" s="8"/>
      <c r="D36" s="4"/>
      <c r="E36" s="11" t="str">
        <f t="shared" si="1"/>
        <v/>
      </c>
      <c r="F36" s="10" t="str">
        <f t="shared" si="2"/>
        <v/>
      </c>
      <c r="G36" s="5">
        <v>200000.0</v>
      </c>
      <c r="H36" s="11">
        <f t="shared" si="3"/>
        <v>10960</v>
      </c>
      <c r="I36" s="1" t="s">
        <v>99</v>
      </c>
      <c r="J36" s="27"/>
      <c r="K36" s="27"/>
      <c r="L36" s="27"/>
      <c r="M36" s="27"/>
      <c r="N36" s="27"/>
      <c r="O36" s="27"/>
      <c r="P36" s="27"/>
    </row>
    <row r="37">
      <c r="A37" s="9">
        <v>46045.0</v>
      </c>
      <c r="B37" s="2">
        <v>5800.0</v>
      </c>
      <c r="C37" s="1">
        <v>4.67</v>
      </c>
      <c r="D37" s="10"/>
      <c r="E37" s="11">
        <f t="shared" si="1"/>
        <v>27086</v>
      </c>
      <c r="F37" s="10" t="str">
        <f t="shared" si="2"/>
        <v/>
      </c>
      <c r="G37" s="11"/>
      <c r="H37" s="11">
        <f t="shared" si="3"/>
        <v>38046</v>
      </c>
      <c r="I37" s="8"/>
      <c r="J37" s="27"/>
      <c r="K37" s="27"/>
      <c r="L37" s="27"/>
      <c r="M37" s="27"/>
      <c r="N37" s="27"/>
      <c r="O37" s="27"/>
      <c r="P37" s="27"/>
    </row>
    <row r="38">
      <c r="A38" s="9">
        <v>46045.0</v>
      </c>
      <c r="B38" s="2">
        <v>5000.0</v>
      </c>
      <c r="C38" s="1">
        <v>4.67</v>
      </c>
      <c r="D38" s="10"/>
      <c r="E38" s="11">
        <f t="shared" si="1"/>
        <v>23350</v>
      </c>
      <c r="F38" s="10" t="str">
        <f t="shared" si="2"/>
        <v/>
      </c>
      <c r="G38" s="11"/>
      <c r="H38" s="11">
        <f t="shared" si="3"/>
        <v>61396</v>
      </c>
      <c r="I38" s="8"/>
      <c r="J38" s="27"/>
      <c r="K38" s="27"/>
      <c r="L38" s="27"/>
      <c r="M38" s="27"/>
      <c r="N38" s="27"/>
      <c r="O38" s="27"/>
      <c r="P38" s="27"/>
    </row>
    <row r="39">
      <c r="A39" s="9">
        <v>46045.0</v>
      </c>
      <c r="B39" s="2">
        <v>13200.0</v>
      </c>
      <c r="C39" s="1">
        <v>4.67</v>
      </c>
      <c r="D39" s="10"/>
      <c r="E39" s="11">
        <f t="shared" si="1"/>
        <v>61644</v>
      </c>
      <c r="F39" s="10" t="str">
        <f t="shared" si="2"/>
        <v/>
      </c>
      <c r="G39" s="11"/>
      <c r="H39" s="11">
        <f t="shared" si="3"/>
        <v>123040</v>
      </c>
      <c r="I39" s="8"/>
      <c r="J39" s="27"/>
      <c r="K39" s="27"/>
      <c r="L39" s="27"/>
      <c r="M39" s="27"/>
      <c r="N39" s="27"/>
      <c r="O39" s="27"/>
      <c r="P39" s="27"/>
    </row>
    <row r="40">
      <c r="A40" s="9">
        <v>46049.0</v>
      </c>
      <c r="B40" s="2">
        <v>4900.0</v>
      </c>
      <c r="C40" s="1">
        <v>4.67</v>
      </c>
      <c r="D40" s="10"/>
      <c r="E40" s="11">
        <f t="shared" si="1"/>
        <v>22883</v>
      </c>
      <c r="F40" s="10" t="str">
        <f t="shared" si="2"/>
        <v/>
      </c>
      <c r="G40" s="11"/>
      <c r="H40" s="11">
        <f t="shared" si="3"/>
        <v>145923</v>
      </c>
      <c r="I40" s="8"/>
      <c r="J40" s="27"/>
      <c r="K40" s="27"/>
      <c r="L40" s="27"/>
      <c r="M40" s="27"/>
      <c r="N40" s="27"/>
      <c r="O40" s="27"/>
      <c r="P40" s="27"/>
    </row>
    <row r="41">
      <c r="A41" s="9">
        <v>46050.0</v>
      </c>
      <c r="B41" s="2">
        <v>3800.0</v>
      </c>
      <c r="C41" s="1">
        <v>4.67</v>
      </c>
      <c r="D41" s="10"/>
      <c r="E41" s="11">
        <f t="shared" si="1"/>
        <v>17746</v>
      </c>
      <c r="F41" s="10" t="str">
        <f t="shared" si="2"/>
        <v/>
      </c>
      <c r="G41" s="11"/>
      <c r="H41" s="11">
        <f t="shared" si="3"/>
        <v>163669</v>
      </c>
      <c r="I41" s="8"/>
      <c r="J41" s="27"/>
      <c r="K41" s="27"/>
      <c r="L41" s="27"/>
      <c r="M41" s="27"/>
      <c r="N41" s="27"/>
      <c r="O41" s="27"/>
      <c r="P41" s="27"/>
    </row>
    <row r="42">
      <c r="A42" s="9">
        <v>46050.0</v>
      </c>
      <c r="B42" s="2">
        <v>2380.0</v>
      </c>
      <c r="C42" s="1">
        <v>4.67</v>
      </c>
      <c r="D42" s="10"/>
      <c r="E42" s="11">
        <f t="shared" si="1"/>
        <v>11115</v>
      </c>
      <c r="F42" s="10" t="str">
        <f t="shared" si="2"/>
        <v/>
      </c>
      <c r="G42" s="11"/>
      <c r="H42" s="11">
        <f t="shared" si="3"/>
        <v>174784</v>
      </c>
      <c r="I42" s="8"/>
      <c r="J42" s="27"/>
      <c r="K42" s="27"/>
      <c r="L42" s="25"/>
      <c r="M42" s="27"/>
      <c r="N42" s="27"/>
      <c r="O42" s="27"/>
      <c r="P42" s="27"/>
    </row>
    <row r="43">
      <c r="A43" s="9">
        <v>46050.0</v>
      </c>
      <c r="B43" s="2">
        <v>27600.0</v>
      </c>
      <c r="C43" s="1">
        <v>4.67</v>
      </c>
      <c r="D43" s="10"/>
      <c r="E43" s="11">
        <f t="shared" si="1"/>
        <v>128892</v>
      </c>
      <c r="F43" s="10" t="str">
        <f t="shared" si="2"/>
        <v/>
      </c>
      <c r="G43" s="11"/>
      <c r="H43" s="11">
        <f t="shared" si="3"/>
        <v>303676</v>
      </c>
      <c r="I43" s="8"/>
      <c r="J43" s="27"/>
      <c r="K43" s="27"/>
      <c r="L43" s="25"/>
      <c r="M43" s="27"/>
      <c r="N43" s="27"/>
      <c r="O43" s="27"/>
      <c r="P43" s="27"/>
    </row>
    <row r="44">
      <c r="A44" s="9">
        <v>46055.0</v>
      </c>
      <c r="B44" s="2">
        <v>39500.0</v>
      </c>
      <c r="C44" s="1">
        <v>4.68</v>
      </c>
      <c r="D44" s="10"/>
      <c r="E44" s="11">
        <f t="shared" si="1"/>
        <v>184860</v>
      </c>
      <c r="F44" s="10" t="str">
        <f t="shared" si="2"/>
        <v/>
      </c>
      <c r="G44" s="11"/>
      <c r="H44" s="11">
        <f t="shared" si="3"/>
        <v>488536</v>
      </c>
      <c r="I44" s="8"/>
      <c r="J44" s="27"/>
      <c r="K44" s="27"/>
      <c r="L44" s="25"/>
      <c r="M44" s="27"/>
      <c r="N44" s="27"/>
      <c r="O44" s="27"/>
      <c r="P44" s="27"/>
    </row>
    <row r="45">
      <c r="A45" s="9">
        <v>46056.0</v>
      </c>
      <c r="B45" s="2">
        <v>26900.0</v>
      </c>
      <c r="C45" s="1">
        <v>4.68</v>
      </c>
      <c r="D45" s="10"/>
      <c r="E45" s="11">
        <f t="shared" si="1"/>
        <v>125892</v>
      </c>
      <c r="F45" s="10" t="str">
        <f t="shared" si="2"/>
        <v/>
      </c>
      <c r="G45" s="11"/>
      <c r="H45" s="11">
        <f t="shared" si="3"/>
        <v>614428</v>
      </c>
      <c r="I45" s="8"/>
      <c r="J45" s="27"/>
      <c r="K45" s="27"/>
      <c r="L45" s="27"/>
      <c r="M45" s="27"/>
      <c r="N45" s="27"/>
      <c r="O45" s="27"/>
      <c r="P45" s="27"/>
    </row>
    <row r="46">
      <c r="A46" s="9">
        <v>46056.0</v>
      </c>
      <c r="B46" s="13"/>
      <c r="C46" s="8"/>
      <c r="D46" s="4"/>
      <c r="E46" s="11" t="str">
        <f t="shared" si="1"/>
        <v/>
      </c>
      <c r="F46" s="10" t="str">
        <f t="shared" si="2"/>
        <v/>
      </c>
      <c r="G46" s="5">
        <v>219000.0</v>
      </c>
      <c r="H46" s="11">
        <f t="shared" si="3"/>
        <v>395428</v>
      </c>
      <c r="I46" s="1" t="s">
        <v>100</v>
      </c>
      <c r="J46" s="27"/>
      <c r="K46" s="27"/>
      <c r="L46" s="27"/>
      <c r="M46" s="27"/>
      <c r="N46" s="27"/>
      <c r="O46" s="27"/>
      <c r="P46" s="27"/>
    </row>
    <row r="47">
      <c r="A47" s="9">
        <v>46057.0</v>
      </c>
      <c r="B47" s="2">
        <v>3800.0</v>
      </c>
      <c r="C47" s="1">
        <v>4.68</v>
      </c>
      <c r="D47" s="10"/>
      <c r="E47" s="11">
        <f t="shared" si="1"/>
        <v>17784</v>
      </c>
      <c r="F47" s="10" t="str">
        <f t="shared" si="2"/>
        <v/>
      </c>
      <c r="G47" s="11"/>
      <c r="H47" s="11">
        <f t="shared" si="3"/>
        <v>413212</v>
      </c>
      <c r="I47" s="8"/>
      <c r="J47" s="27"/>
      <c r="K47" s="27"/>
      <c r="L47" s="27"/>
      <c r="M47" s="27"/>
      <c r="N47" s="27"/>
      <c r="O47" s="27"/>
      <c r="P47" s="27"/>
    </row>
    <row r="48">
      <c r="A48" s="9">
        <v>46057.0</v>
      </c>
      <c r="B48" s="2">
        <v>3600.0</v>
      </c>
      <c r="C48" s="1">
        <v>4.68</v>
      </c>
      <c r="D48" s="10"/>
      <c r="E48" s="11">
        <f t="shared" si="1"/>
        <v>16848</v>
      </c>
      <c r="F48" s="10" t="str">
        <f t="shared" si="2"/>
        <v/>
      </c>
      <c r="G48" s="11"/>
      <c r="H48" s="11">
        <f t="shared" si="3"/>
        <v>430060</v>
      </c>
      <c r="I48" s="8"/>
      <c r="J48" s="27"/>
      <c r="K48" s="27"/>
      <c r="L48" s="27"/>
      <c r="M48" s="27"/>
      <c r="N48" s="27"/>
      <c r="O48" s="27"/>
      <c r="P48" s="27"/>
    </row>
    <row r="49">
      <c r="A49" s="9">
        <v>46059.0</v>
      </c>
      <c r="B49" s="2">
        <v>7500.0</v>
      </c>
      <c r="C49" s="1">
        <v>4.68</v>
      </c>
      <c r="D49" s="10"/>
      <c r="E49" s="11">
        <f t="shared" si="1"/>
        <v>35100</v>
      </c>
      <c r="F49" s="10" t="str">
        <f t="shared" si="2"/>
        <v/>
      </c>
      <c r="G49" s="11"/>
      <c r="H49" s="11">
        <f t="shared" si="3"/>
        <v>465160</v>
      </c>
      <c r="I49" s="8"/>
      <c r="J49" s="27"/>
      <c r="K49" s="27"/>
      <c r="L49" s="27"/>
      <c r="M49" s="27"/>
      <c r="N49" s="27"/>
      <c r="O49" s="27"/>
      <c r="P49" s="27"/>
    </row>
    <row r="50">
      <c r="A50" s="9">
        <v>46059.0</v>
      </c>
      <c r="B50" s="13"/>
      <c r="C50" s="8"/>
      <c r="D50" s="4"/>
      <c r="E50" s="11" t="str">
        <f t="shared" si="1"/>
        <v/>
      </c>
      <c r="F50" s="10" t="str">
        <f t="shared" si="2"/>
        <v/>
      </c>
      <c r="G50" s="5">
        <v>100000.0</v>
      </c>
      <c r="H50" s="11">
        <f t="shared" si="3"/>
        <v>365160</v>
      </c>
      <c r="I50" s="1" t="s">
        <v>22</v>
      </c>
      <c r="J50" s="27"/>
      <c r="K50" s="27"/>
      <c r="L50" s="27"/>
      <c r="M50" s="27"/>
      <c r="N50" s="27"/>
      <c r="O50" s="27"/>
      <c r="P50" s="27"/>
    </row>
    <row r="51">
      <c r="A51" s="9">
        <v>46063.0</v>
      </c>
      <c r="B51" s="13"/>
      <c r="C51" s="8"/>
      <c r="D51" s="4"/>
      <c r="E51" s="11" t="str">
        <f t="shared" si="1"/>
        <v/>
      </c>
      <c r="F51" s="10" t="str">
        <f t="shared" si="2"/>
        <v/>
      </c>
      <c r="G51" s="5">
        <v>100000.0</v>
      </c>
      <c r="H51" s="11">
        <f t="shared" si="3"/>
        <v>265160</v>
      </c>
      <c r="I51" s="1" t="s">
        <v>22</v>
      </c>
      <c r="J51" s="27"/>
      <c r="K51" s="27"/>
      <c r="L51" s="27"/>
      <c r="M51" s="27"/>
      <c r="N51" s="27"/>
      <c r="O51" s="27"/>
      <c r="P51" s="27"/>
    </row>
    <row r="52">
      <c r="A52" s="9">
        <v>46063.0</v>
      </c>
      <c r="B52" s="2">
        <v>2700.0</v>
      </c>
      <c r="C52" s="1">
        <v>4.7</v>
      </c>
      <c r="D52" s="4">
        <v>12501.0</v>
      </c>
      <c r="E52" s="11">
        <f t="shared" si="1"/>
        <v>12690</v>
      </c>
      <c r="F52" s="10">
        <f t="shared" si="2"/>
        <v>189</v>
      </c>
      <c r="G52" s="11"/>
      <c r="H52" s="11">
        <f t="shared" si="3"/>
        <v>277850</v>
      </c>
      <c r="I52" s="8"/>
      <c r="J52" s="27"/>
      <c r="K52" s="27"/>
      <c r="L52" s="27"/>
      <c r="M52" s="27"/>
      <c r="N52" s="27"/>
      <c r="O52" s="27"/>
      <c r="P52" s="27"/>
    </row>
    <row r="53">
      <c r="A53" s="9">
        <v>46064.0</v>
      </c>
      <c r="B53" s="2">
        <v>6400.0</v>
      </c>
      <c r="C53" s="1">
        <v>4.7</v>
      </c>
      <c r="D53" s="4">
        <v>29632.0</v>
      </c>
      <c r="E53" s="11">
        <f t="shared" si="1"/>
        <v>30080</v>
      </c>
      <c r="F53" s="10">
        <f t="shared" si="2"/>
        <v>448</v>
      </c>
      <c r="G53" s="11"/>
      <c r="H53" s="11">
        <f t="shared" si="3"/>
        <v>307930</v>
      </c>
      <c r="I53" s="8"/>
      <c r="J53" s="27"/>
      <c r="K53" s="25"/>
      <c r="L53" s="27"/>
      <c r="M53" s="27"/>
      <c r="N53" s="27"/>
      <c r="O53" s="27"/>
      <c r="P53" s="27"/>
    </row>
    <row r="54">
      <c r="A54" s="9">
        <v>46064.0</v>
      </c>
      <c r="B54" s="2">
        <v>14500.0</v>
      </c>
      <c r="C54" s="1">
        <v>4.7</v>
      </c>
      <c r="D54" s="4">
        <v>67135.0</v>
      </c>
      <c r="E54" s="11">
        <f t="shared" si="1"/>
        <v>68150</v>
      </c>
      <c r="F54" s="10">
        <f t="shared" si="2"/>
        <v>1015</v>
      </c>
      <c r="G54" s="11"/>
      <c r="H54" s="11">
        <f t="shared" si="3"/>
        <v>376080</v>
      </c>
      <c r="I54" s="8"/>
      <c r="J54" s="27"/>
      <c r="K54" s="25"/>
      <c r="L54" s="27"/>
      <c r="M54" s="27"/>
      <c r="N54" s="27"/>
      <c r="O54" s="27"/>
      <c r="P54" s="27"/>
    </row>
    <row r="55">
      <c r="A55" s="9">
        <v>46064.0</v>
      </c>
      <c r="B55" s="2">
        <v>22000.0</v>
      </c>
      <c r="C55" s="1">
        <v>4.7</v>
      </c>
      <c r="D55" s="4">
        <v>101860.0</v>
      </c>
      <c r="E55" s="11">
        <f t="shared" si="1"/>
        <v>103400</v>
      </c>
      <c r="F55" s="10">
        <f t="shared" si="2"/>
        <v>1540</v>
      </c>
      <c r="G55" s="11"/>
      <c r="H55" s="11">
        <f t="shared" si="3"/>
        <v>479480</v>
      </c>
      <c r="I55" s="8"/>
      <c r="J55" s="27"/>
      <c r="K55" s="25"/>
      <c r="L55" s="27"/>
      <c r="M55" s="27"/>
      <c r="N55" s="27"/>
      <c r="O55" s="27"/>
      <c r="P55" s="27"/>
    </row>
    <row r="56">
      <c r="A56" s="9">
        <v>46065.0</v>
      </c>
      <c r="B56" s="13"/>
      <c r="C56" s="8"/>
      <c r="D56" s="4"/>
      <c r="E56" s="11" t="str">
        <f t="shared" si="1"/>
        <v/>
      </c>
      <c r="F56" s="10" t="str">
        <f t="shared" si="2"/>
        <v/>
      </c>
      <c r="G56" s="5">
        <v>300000.0</v>
      </c>
      <c r="H56" s="11">
        <f t="shared" si="3"/>
        <v>179480</v>
      </c>
      <c r="I56" s="1" t="s">
        <v>17</v>
      </c>
      <c r="J56" s="27"/>
      <c r="K56" s="25"/>
      <c r="L56" s="27"/>
      <c r="M56" s="27"/>
      <c r="N56" s="27"/>
      <c r="O56" s="27"/>
      <c r="P56" s="27"/>
    </row>
    <row r="57">
      <c r="A57" s="9">
        <v>46067.0</v>
      </c>
      <c r="B57" s="13"/>
      <c r="C57" s="8"/>
      <c r="D57" s="10"/>
      <c r="E57" s="11" t="str">
        <f t="shared" si="1"/>
        <v/>
      </c>
      <c r="F57" s="10" t="str">
        <f t="shared" ref="F57:F58" si="4">IF(D57=0, "", (C57-D57)*B57)</f>
        <v/>
      </c>
      <c r="G57" s="5">
        <v>170000.0</v>
      </c>
      <c r="H57" s="11">
        <f t="shared" si="3"/>
        <v>9480</v>
      </c>
      <c r="I57" s="1" t="s">
        <v>17</v>
      </c>
      <c r="J57" s="27"/>
      <c r="K57" s="25"/>
      <c r="L57" s="27"/>
      <c r="M57" s="27"/>
      <c r="N57" s="27"/>
      <c r="O57" s="27"/>
      <c r="P57" s="27"/>
    </row>
    <row r="58">
      <c r="A58" s="16">
        <v>46074.0</v>
      </c>
      <c r="B58" s="2">
        <v>23900.0</v>
      </c>
      <c r="C58" s="1">
        <v>4.7</v>
      </c>
      <c r="D58" s="4">
        <v>4.64</v>
      </c>
      <c r="E58" s="11">
        <f t="shared" si="1"/>
        <v>112330</v>
      </c>
      <c r="F58" s="10">
        <f t="shared" si="4"/>
        <v>1434</v>
      </c>
      <c r="G58" s="11"/>
      <c r="H58" s="11">
        <f t="shared" si="3"/>
        <v>121810</v>
      </c>
      <c r="I58" s="8"/>
      <c r="J58" s="27"/>
      <c r="K58" s="25"/>
      <c r="L58" s="27"/>
      <c r="M58" s="27"/>
      <c r="N58" s="27"/>
      <c r="O58" s="27"/>
      <c r="P58" s="27"/>
    </row>
    <row r="59">
      <c r="A59" s="9">
        <v>46077.0</v>
      </c>
      <c r="B59" s="2">
        <v>9700.0</v>
      </c>
      <c r="C59" s="1">
        <v>4.7</v>
      </c>
      <c r="D59" s="4">
        <v>4.64</v>
      </c>
      <c r="E59" s="11">
        <f t="shared" si="1"/>
        <v>45590</v>
      </c>
      <c r="F59" s="10"/>
      <c r="G59" s="11"/>
      <c r="H59" s="11">
        <f t="shared" si="3"/>
        <v>167400</v>
      </c>
      <c r="I59" s="8"/>
      <c r="J59" s="27"/>
      <c r="K59" s="27"/>
      <c r="L59" s="27"/>
      <c r="M59" s="27"/>
      <c r="N59" s="27"/>
      <c r="O59" s="27"/>
      <c r="P59" s="27"/>
    </row>
    <row r="60">
      <c r="A60" s="47" t="s">
        <v>43</v>
      </c>
      <c r="B60" s="48"/>
      <c r="C60" s="49"/>
      <c r="D60" s="50"/>
      <c r="E60" s="11" t="str">
        <f t="shared" si="1"/>
        <v/>
      </c>
      <c r="F60" s="50"/>
      <c r="G60" s="51">
        <v>100000.0</v>
      </c>
      <c r="H60" s="51">
        <v>67400.0</v>
      </c>
      <c r="I60" s="8"/>
      <c r="J60" s="27"/>
      <c r="K60" s="52"/>
      <c r="L60" s="27"/>
      <c r="M60" s="27"/>
      <c r="N60" s="27"/>
      <c r="O60" s="27"/>
      <c r="P60" s="27"/>
    </row>
    <row r="61">
      <c r="A61" s="47" t="s">
        <v>43</v>
      </c>
      <c r="B61" s="48"/>
      <c r="C61" s="49"/>
      <c r="D61" s="50"/>
      <c r="E61" s="11" t="str">
        <f t="shared" si="1"/>
        <v/>
      </c>
      <c r="F61" s="50"/>
      <c r="G61" s="51">
        <v>170000.0</v>
      </c>
      <c r="H61" s="51">
        <v>-102600.0</v>
      </c>
      <c r="I61" s="8"/>
      <c r="J61" s="27"/>
      <c r="K61" s="52"/>
      <c r="L61" s="27"/>
      <c r="M61" s="27"/>
      <c r="N61" s="27"/>
      <c r="O61" s="27"/>
      <c r="P61" s="27"/>
    </row>
    <row r="62">
      <c r="A62" s="47" t="s">
        <v>44</v>
      </c>
      <c r="B62" s="48">
        <v>7300.0</v>
      </c>
      <c r="C62" s="53">
        <v>4.7</v>
      </c>
      <c r="D62" s="54">
        <v>4.67</v>
      </c>
      <c r="E62" s="11">
        <f t="shared" si="1"/>
        <v>34310</v>
      </c>
      <c r="F62" s="54">
        <v>219.00000000000182</v>
      </c>
      <c r="G62" s="51"/>
      <c r="H62" s="51">
        <v>-68290.0</v>
      </c>
      <c r="I62" s="8"/>
      <c r="J62" s="27"/>
      <c r="K62" s="52"/>
      <c r="L62" s="27"/>
      <c r="M62" s="27"/>
      <c r="N62" s="27"/>
      <c r="O62" s="27"/>
      <c r="P62" s="27"/>
    </row>
    <row r="63">
      <c r="A63" s="47" t="s">
        <v>44</v>
      </c>
      <c r="B63" s="48">
        <v>24500.0</v>
      </c>
      <c r="C63" s="53">
        <v>4.7</v>
      </c>
      <c r="D63" s="54">
        <v>4.67</v>
      </c>
      <c r="E63" s="11">
        <f t="shared" si="1"/>
        <v>115150</v>
      </c>
      <c r="F63" s="54">
        <v>735.0000000000061</v>
      </c>
      <c r="G63" s="51"/>
      <c r="H63" s="51">
        <v>46860.0</v>
      </c>
      <c r="I63" s="8"/>
      <c r="J63" s="27"/>
      <c r="K63" s="52"/>
      <c r="L63" s="27"/>
      <c r="M63" s="27"/>
      <c r="N63" s="27"/>
      <c r="O63" s="27"/>
      <c r="P63" s="27"/>
    </row>
    <row r="64">
      <c r="A64" s="47" t="s">
        <v>45</v>
      </c>
      <c r="B64" s="48">
        <v>41500.0</v>
      </c>
      <c r="C64" s="53">
        <v>4.72</v>
      </c>
      <c r="D64" s="54">
        <v>4.67</v>
      </c>
      <c r="E64" s="11">
        <f t="shared" si="1"/>
        <v>195880</v>
      </c>
      <c r="F64" s="54">
        <v>2074.9999999999927</v>
      </c>
      <c r="G64" s="51"/>
      <c r="H64" s="51">
        <v>242740.0</v>
      </c>
      <c r="I64" s="8"/>
      <c r="J64" s="27"/>
      <c r="K64" s="52"/>
      <c r="L64" s="27"/>
      <c r="M64" s="27"/>
      <c r="N64" s="27"/>
      <c r="O64" s="27"/>
      <c r="P64" s="27"/>
    </row>
    <row r="65">
      <c r="A65" s="47" t="s">
        <v>45</v>
      </c>
      <c r="B65" s="48"/>
      <c r="C65" s="53"/>
      <c r="D65" s="54"/>
      <c r="E65" s="11" t="str">
        <f t="shared" si="1"/>
        <v/>
      </c>
      <c r="F65" s="54"/>
      <c r="G65" s="51">
        <v>100000.0</v>
      </c>
      <c r="H65" s="51">
        <v>142740.0</v>
      </c>
      <c r="I65" s="8"/>
      <c r="J65" s="27"/>
      <c r="K65" s="52"/>
      <c r="L65" s="27"/>
      <c r="M65" s="27"/>
      <c r="N65" s="27"/>
      <c r="O65" s="27"/>
      <c r="P65" s="27"/>
    </row>
    <row r="66">
      <c r="A66" s="47" t="s">
        <v>50</v>
      </c>
      <c r="B66" s="48">
        <v>11400.0</v>
      </c>
      <c r="C66" s="53">
        <v>4.72</v>
      </c>
      <c r="D66" s="54">
        <v>4.65</v>
      </c>
      <c r="E66" s="5">
        <v>53808.0</v>
      </c>
      <c r="F66" s="54">
        <v>797.9999999999931</v>
      </c>
      <c r="G66" s="51"/>
      <c r="H66" s="51">
        <v>196548.0</v>
      </c>
      <c r="I66" s="8"/>
      <c r="J66" s="27"/>
      <c r="K66" s="52"/>
      <c r="L66" s="27"/>
      <c r="M66" s="27"/>
      <c r="N66" s="27"/>
      <c r="O66" s="27"/>
      <c r="P66" s="27"/>
    </row>
    <row r="67">
      <c r="A67" s="47" t="s">
        <v>50</v>
      </c>
      <c r="B67" s="48"/>
      <c r="C67" s="53"/>
      <c r="D67" s="54"/>
      <c r="E67" s="5"/>
      <c r="F67" s="54"/>
      <c r="G67" s="51">
        <v>21265.0</v>
      </c>
      <c r="H67" s="51">
        <v>175283.0</v>
      </c>
      <c r="I67" s="8"/>
      <c r="J67" s="27"/>
      <c r="K67" s="52"/>
      <c r="L67" s="27"/>
      <c r="M67" s="27"/>
      <c r="N67" s="27"/>
      <c r="O67" s="27"/>
      <c r="P67" s="27"/>
    </row>
    <row r="68">
      <c r="A68" s="47" t="s">
        <v>54</v>
      </c>
      <c r="B68" s="48"/>
      <c r="C68" s="53"/>
      <c r="D68" s="54"/>
      <c r="E68" s="5"/>
      <c r="F68" s="54"/>
      <c r="G68" s="51">
        <v>135446.0</v>
      </c>
      <c r="H68" s="51">
        <v>39837.0</v>
      </c>
      <c r="I68" s="8"/>
      <c r="J68" s="27"/>
      <c r="K68" s="52"/>
      <c r="L68" s="27"/>
      <c r="M68" s="27"/>
      <c r="N68" s="27"/>
      <c r="O68" s="27"/>
      <c r="P68" s="27"/>
    </row>
    <row r="69">
      <c r="A69" s="47" t="s">
        <v>54</v>
      </c>
      <c r="B69" s="48">
        <v>37000.0</v>
      </c>
      <c r="C69" s="53">
        <v>4.71</v>
      </c>
      <c r="D69" s="54">
        <v>4.66</v>
      </c>
      <c r="E69" s="5">
        <v>174270.0</v>
      </c>
      <c r="F69" s="54">
        <v>1849.9999999999934</v>
      </c>
      <c r="G69" s="51"/>
      <c r="H69" s="51">
        <v>214107.0</v>
      </c>
      <c r="I69" s="8"/>
      <c r="J69" s="27"/>
      <c r="K69" s="52"/>
      <c r="L69" s="27"/>
      <c r="M69" s="27"/>
      <c r="N69" s="27"/>
      <c r="O69" s="27"/>
      <c r="P69" s="27"/>
    </row>
    <row r="70">
      <c r="A70" s="47" t="s">
        <v>94</v>
      </c>
      <c r="B70" s="48">
        <v>15500.0</v>
      </c>
      <c r="C70" s="53">
        <v>4.71</v>
      </c>
      <c r="D70" s="54">
        <v>4.66</v>
      </c>
      <c r="E70" s="5">
        <v>73005.0</v>
      </c>
      <c r="F70" s="54">
        <v>774.9999999999973</v>
      </c>
      <c r="G70" s="51"/>
      <c r="H70" s="51">
        <v>287112.0</v>
      </c>
      <c r="I70" s="8"/>
      <c r="J70" s="27"/>
      <c r="K70" s="52"/>
      <c r="L70" s="27"/>
      <c r="M70" s="27"/>
      <c r="N70" s="27"/>
      <c r="O70" s="27"/>
      <c r="P70" s="27"/>
    </row>
    <row r="71">
      <c r="A71" s="47" t="s">
        <v>59</v>
      </c>
      <c r="B71" s="48"/>
      <c r="C71" s="53"/>
      <c r="D71" s="54"/>
      <c r="E71" s="5"/>
      <c r="F71" s="54"/>
      <c r="G71" s="51">
        <v>100000.0</v>
      </c>
      <c r="H71" s="51">
        <v>187112.0</v>
      </c>
      <c r="I71" s="8"/>
      <c r="J71" s="27"/>
      <c r="K71" s="52"/>
      <c r="L71" s="27"/>
      <c r="M71" s="27"/>
      <c r="N71" s="27"/>
      <c r="O71" s="27"/>
      <c r="P71" s="27"/>
    </row>
    <row r="72">
      <c r="A72" s="47" t="s">
        <v>59</v>
      </c>
      <c r="B72" s="48">
        <v>18300.0</v>
      </c>
      <c r="C72" s="53">
        <v>4.73</v>
      </c>
      <c r="D72" s="54">
        <v>4.68</v>
      </c>
      <c r="E72" s="5">
        <v>86559.00000000001</v>
      </c>
      <c r="F72" s="54">
        <v>915.000000000013</v>
      </c>
      <c r="G72" s="51"/>
      <c r="H72" s="51">
        <v>273671.0</v>
      </c>
      <c r="I72" s="8"/>
      <c r="J72" s="27"/>
      <c r="K72" s="52"/>
      <c r="L72" s="27"/>
      <c r="M72" s="27"/>
      <c r="N72" s="27"/>
      <c r="O72" s="27"/>
      <c r="P72" s="27"/>
    </row>
    <row r="73">
      <c r="A73" s="47" t="s">
        <v>59</v>
      </c>
      <c r="B73" s="48">
        <v>8500.0</v>
      </c>
      <c r="C73" s="53">
        <v>4.73</v>
      </c>
      <c r="D73" s="54">
        <v>4.68</v>
      </c>
      <c r="E73" s="5">
        <v>40205.0</v>
      </c>
      <c r="F73" s="54">
        <v>425.000000000006</v>
      </c>
      <c r="G73" s="51"/>
      <c r="H73" s="51">
        <v>313876.0</v>
      </c>
      <c r="I73" s="8"/>
      <c r="J73" s="27"/>
      <c r="K73" s="52"/>
      <c r="L73" s="27"/>
      <c r="M73" s="27"/>
      <c r="N73" s="27"/>
      <c r="O73" s="27"/>
      <c r="P73" s="27"/>
    </row>
    <row r="74">
      <c r="A74" s="47" t="s">
        <v>61</v>
      </c>
      <c r="B74" s="48">
        <v>19600.0</v>
      </c>
      <c r="C74" s="53">
        <v>4.73</v>
      </c>
      <c r="D74" s="54">
        <v>4.68</v>
      </c>
      <c r="E74" s="5">
        <v>92708.00000000001</v>
      </c>
      <c r="F74" s="54">
        <v>980.0000000000139</v>
      </c>
      <c r="G74" s="51"/>
      <c r="H74" s="51">
        <v>406584.0</v>
      </c>
      <c r="I74" s="8"/>
      <c r="J74" s="27"/>
      <c r="K74" s="52"/>
      <c r="L74" s="27"/>
      <c r="M74" s="27"/>
      <c r="N74" s="27"/>
      <c r="O74" s="27"/>
      <c r="P74" s="27"/>
    </row>
    <row r="75">
      <c r="A75" s="47" t="s">
        <v>61</v>
      </c>
      <c r="B75" s="48">
        <v>3950.0</v>
      </c>
      <c r="C75" s="53">
        <v>4.73</v>
      </c>
      <c r="D75" s="54">
        <v>4.68</v>
      </c>
      <c r="E75" s="5">
        <v>18683.5</v>
      </c>
      <c r="F75" s="54">
        <v>197.5000000000028</v>
      </c>
      <c r="G75" s="51"/>
      <c r="H75" s="51">
        <v>425267.5</v>
      </c>
      <c r="I75" s="8"/>
      <c r="J75" s="27"/>
      <c r="K75" s="52"/>
      <c r="L75" s="27"/>
      <c r="M75" s="27"/>
      <c r="N75" s="27"/>
      <c r="O75" s="27"/>
      <c r="P75" s="27"/>
    </row>
    <row r="76">
      <c r="A76" s="47" t="s">
        <v>61</v>
      </c>
      <c r="B76" s="48"/>
      <c r="C76" s="53"/>
      <c r="D76" s="54"/>
      <c r="E76" s="5"/>
      <c r="F76" s="54"/>
      <c r="G76" s="51">
        <v>310000.0</v>
      </c>
      <c r="H76" s="51">
        <v>115267.5</v>
      </c>
      <c r="I76" s="8"/>
      <c r="J76" s="27"/>
      <c r="K76" s="52"/>
      <c r="L76" s="27"/>
      <c r="M76" s="27"/>
      <c r="N76" s="27"/>
      <c r="O76" s="27"/>
      <c r="P76" s="27"/>
    </row>
    <row r="77">
      <c r="A77" s="47" t="s">
        <v>61</v>
      </c>
      <c r="B77" s="48">
        <v>17700.0</v>
      </c>
      <c r="C77" s="53">
        <v>4.73</v>
      </c>
      <c r="D77" s="54">
        <v>4.68</v>
      </c>
      <c r="E77" s="5">
        <v>83721.00000000001</v>
      </c>
      <c r="F77" s="54">
        <v>885.0000000000126</v>
      </c>
      <c r="G77" s="51"/>
      <c r="H77" s="51">
        <v>198988.5</v>
      </c>
      <c r="I77" s="8"/>
      <c r="J77" s="27"/>
      <c r="K77" s="52"/>
      <c r="L77" s="27"/>
      <c r="M77" s="27"/>
      <c r="N77" s="27"/>
      <c r="O77" s="27"/>
      <c r="P77" s="27"/>
    </row>
    <row r="78">
      <c r="A78" s="47" t="s">
        <v>67</v>
      </c>
      <c r="B78" s="48">
        <v>800.0</v>
      </c>
      <c r="C78" s="53">
        <v>4.73</v>
      </c>
      <c r="D78" s="54">
        <v>4.67</v>
      </c>
      <c r="E78" s="5">
        <v>3784.0000000000005</v>
      </c>
      <c r="F78" s="54">
        <v>48.0000000000004</v>
      </c>
      <c r="G78" s="51"/>
      <c r="H78" s="51">
        <v>202772.5</v>
      </c>
      <c r="I78" s="8"/>
      <c r="J78" s="27"/>
      <c r="K78" s="52"/>
      <c r="L78" s="27"/>
      <c r="M78" s="27"/>
      <c r="N78" s="27"/>
      <c r="O78" s="27"/>
      <c r="P78" s="27"/>
    </row>
    <row r="79">
      <c r="A79" s="47" t="s">
        <v>67</v>
      </c>
      <c r="B79" s="48">
        <v>15300.0</v>
      </c>
      <c r="C79" s="53">
        <v>4.73</v>
      </c>
      <c r="D79" s="54">
        <v>4.67</v>
      </c>
      <c r="E79" s="5">
        <v>72369.0</v>
      </c>
      <c r="F79" s="54">
        <v>918.0000000000076</v>
      </c>
      <c r="G79" s="51"/>
      <c r="H79" s="51">
        <v>275141.5</v>
      </c>
      <c r="I79" s="8"/>
      <c r="J79" s="27"/>
      <c r="K79" s="52"/>
      <c r="L79" s="27"/>
      <c r="M79" s="27"/>
      <c r="N79" s="27"/>
      <c r="O79" s="27"/>
      <c r="P79" s="27"/>
    </row>
    <row r="80">
      <c r="A80" s="47" t="s">
        <v>68</v>
      </c>
      <c r="B80" s="48">
        <v>3000.0</v>
      </c>
      <c r="C80" s="53">
        <v>4.73</v>
      </c>
      <c r="D80" s="54">
        <v>4.66</v>
      </c>
      <c r="E80" s="5">
        <v>14190.000000000002</v>
      </c>
      <c r="F80" s="54">
        <v>210.00000000000085</v>
      </c>
      <c r="G80" s="51"/>
      <c r="H80" s="51">
        <v>289331.5</v>
      </c>
      <c r="I80" s="8"/>
      <c r="J80" s="27"/>
      <c r="K80" s="52"/>
      <c r="L80" s="27"/>
      <c r="M80" s="27"/>
      <c r="N80" s="27"/>
      <c r="O80" s="27"/>
      <c r="P80" s="27"/>
    </row>
    <row r="81">
      <c r="A81" s="47" t="s">
        <v>68</v>
      </c>
      <c r="B81" s="48">
        <v>4450.0</v>
      </c>
      <c r="C81" s="53">
        <v>4.73</v>
      </c>
      <c r="D81" s="54">
        <v>4.66</v>
      </c>
      <c r="E81" s="5">
        <v>21048.500000000004</v>
      </c>
      <c r="F81" s="54">
        <v>311.50000000000125</v>
      </c>
      <c r="G81" s="51"/>
      <c r="H81" s="51">
        <v>310380.0</v>
      </c>
      <c r="I81" s="8"/>
      <c r="J81" s="27"/>
      <c r="K81" s="52"/>
      <c r="L81" s="27"/>
      <c r="M81" s="27"/>
      <c r="N81" s="27"/>
      <c r="O81" s="27"/>
      <c r="P81" s="27"/>
    </row>
    <row r="82">
      <c r="A82" s="47" t="s">
        <v>68</v>
      </c>
      <c r="B82" s="48"/>
      <c r="C82" s="53"/>
      <c r="D82" s="54"/>
      <c r="E82" s="5"/>
      <c r="F82" s="54"/>
      <c r="G82" s="51">
        <v>150000.0</v>
      </c>
      <c r="H82" s="51">
        <v>160380.0</v>
      </c>
      <c r="I82" s="8"/>
      <c r="J82" s="27"/>
      <c r="K82" s="52"/>
      <c r="L82" s="27"/>
      <c r="M82" s="27"/>
      <c r="N82" s="27"/>
      <c r="O82" s="27"/>
      <c r="P82" s="27"/>
    </row>
    <row r="83">
      <c r="A83" s="47" t="s">
        <v>69</v>
      </c>
      <c r="B83" s="48">
        <v>22800.0</v>
      </c>
      <c r="C83" s="53">
        <v>4.73</v>
      </c>
      <c r="D83" s="54">
        <v>4.66</v>
      </c>
      <c r="E83" s="5">
        <v>107844.00000000001</v>
      </c>
      <c r="F83" s="54">
        <v>1596.0000000000064</v>
      </c>
      <c r="G83" s="51"/>
      <c r="H83" s="51">
        <v>268224.0</v>
      </c>
      <c r="I83" s="8"/>
      <c r="J83" s="27"/>
      <c r="K83" s="52"/>
      <c r="L83" s="27"/>
      <c r="M83" s="27"/>
      <c r="N83" s="27"/>
      <c r="O83" s="27"/>
      <c r="P83" s="27"/>
    </row>
    <row r="84">
      <c r="A84" s="47" t="s">
        <v>70</v>
      </c>
      <c r="B84" s="48">
        <v>25900.0</v>
      </c>
      <c r="C84" s="53">
        <v>4.73</v>
      </c>
      <c r="D84" s="54">
        <v>4.67</v>
      </c>
      <c r="E84" s="5">
        <v>122507.00000000001</v>
      </c>
      <c r="F84" s="54">
        <v>1554.000000000013</v>
      </c>
      <c r="G84" s="51"/>
      <c r="H84" s="51">
        <v>390731.0</v>
      </c>
      <c r="I84" s="8"/>
      <c r="J84" s="27"/>
      <c r="K84" s="52"/>
      <c r="L84" s="27"/>
      <c r="M84" s="27"/>
      <c r="N84" s="27"/>
      <c r="O84" s="27"/>
      <c r="P84" s="27"/>
    </row>
    <row r="85">
      <c r="A85" s="47" t="s">
        <v>70</v>
      </c>
      <c r="B85" s="48"/>
      <c r="C85" s="53"/>
      <c r="D85" s="54"/>
      <c r="E85" s="5"/>
      <c r="F85" s="54"/>
      <c r="G85" s="51">
        <v>280000.0</v>
      </c>
      <c r="H85" s="51">
        <v>110731.0</v>
      </c>
      <c r="I85" s="8"/>
      <c r="J85" s="27"/>
      <c r="K85" s="52"/>
      <c r="L85" s="27"/>
      <c r="M85" s="27"/>
      <c r="N85" s="27"/>
      <c r="O85" s="27"/>
      <c r="P85" s="27"/>
    </row>
    <row r="86">
      <c r="A86" s="47" t="s">
        <v>72</v>
      </c>
      <c r="B86" s="48">
        <v>15500.0</v>
      </c>
      <c r="C86" s="53">
        <v>4.73</v>
      </c>
      <c r="D86" s="54">
        <v>4.69</v>
      </c>
      <c r="E86" s="5">
        <v>73315.0</v>
      </c>
      <c r="F86" s="54">
        <v>620.0000000000006</v>
      </c>
      <c r="G86" s="51"/>
      <c r="H86" s="51">
        <v>184046.0</v>
      </c>
      <c r="I86" s="8"/>
      <c r="J86" s="27"/>
      <c r="K86" s="52"/>
      <c r="L86" s="27"/>
      <c r="M86" s="27"/>
      <c r="N86" s="27"/>
      <c r="O86" s="27"/>
      <c r="P86" s="27"/>
    </row>
    <row r="87">
      <c r="A87" s="47" t="s">
        <v>75</v>
      </c>
      <c r="B87" s="48">
        <v>14899.0</v>
      </c>
      <c r="C87" s="53">
        <v>4.73</v>
      </c>
      <c r="D87" s="54">
        <v>4.68</v>
      </c>
      <c r="E87" s="5">
        <v>70472.27</v>
      </c>
      <c r="F87" s="54">
        <v>744.9500000000106</v>
      </c>
      <c r="G87" s="51"/>
      <c r="H87" s="51">
        <v>254518.27000000002</v>
      </c>
      <c r="I87" s="8"/>
      <c r="J87" s="27"/>
      <c r="K87" s="52"/>
      <c r="L87" s="27"/>
      <c r="M87" s="27"/>
      <c r="N87" s="27"/>
      <c r="O87" s="27"/>
      <c r="P87" s="27"/>
    </row>
    <row r="88">
      <c r="A88" s="47" t="s">
        <v>75</v>
      </c>
      <c r="B88" s="48"/>
      <c r="C88" s="53"/>
      <c r="D88" s="54"/>
      <c r="E88" s="5"/>
      <c r="F88" s="54"/>
      <c r="G88" s="51">
        <v>180000.0</v>
      </c>
      <c r="H88" s="51">
        <v>74518.27000000002</v>
      </c>
      <c r="I88" s="8"/>
      <c r="J88" s="27"/>
      <c r="K88" s="52"/>
      <c r="L88" s="27"/>
      <c r="M88" s="27"/>
      <c r="N88" s="27"/>
      <c r="O88" s="27"/>
      <c r="P88" s="27"/>
    </row>
    <row r="89">
      <c r="A89" s="47" t="s">
        <v>75</v>
      </c>
      <c r="B89" s="48">
        <v>28100.0</v>
      </c>
      <c r="C89" s="53">
        <v>4.73</v>
      </c>
      <c r="D89" s="54">
        <v>4.68</v>
      </c>
      <c r="E89" s="5">
        <v>132913.0</v>
      </c>
      <c r="F89" s="54">
        <v>1405.00000000002</v>
      </c>
      <c r="G89" s="51"/>
      <c r="H89" s="51">
        <v>207431.27000000002</v>
      </c>
      <c r="I89" s="8"/>
      <c r="J89" s="27"/>
      <c r="K89" s="52"/>
      <c r="L89" s="27"/>
      <c r="M89" s="27"/>
      <c r="N89" s="27"/>
      <c r="O89" s="27"/>
      <c r="P89" s="27"/>
    </row>
    <row r="90">
      <c r="A90" s="47" t="s">
        <v>75</v>
      </c>
      <c r="B90" s="48">
        <v>14300.0</v>
      </c>
      <c r="C90" s="53">
        <v>4.73</v>
      </c>
      <c r="D90" s="54">
        <v>4.63</v>
      </c>
      <c r="E90" s="5">
        <v>67639.0</v>
      </c>
      <c r="F90" s="54">
        <v>1430.0000000000077</v>
      </c>
      <c r="G90" s="51"/>
      <c r="H90" s="51">
        <v>275070.27</v>
      </c>
      <c r="I90" s="8"/>
      <c r="J90" s="27"/>
      <c r="K90" s="52"/>
      <c r="L90" s="27"/>
      <c r="M90" s="27"/>
      <c r="N90" s="27"/>
      <c r="O90" s="27"/>
      <c r="P90" s="27"/>
    </row>
    <row r="91">
      <c r="A91" s="47" t="s">
        <v>79</v>
      </c>
      <c r="B91" s="48">
        <v>17800.0</v>
      </c>
      <c r="C91" s="53">
        <v>4.73</v>
      </c>
      <c r="D91" s="54">
        <v>4.63</v>
      </c>
      <c r="E91" s="5">
        <v>84194.00000000001</v>
      </c>
      <c r="F91" s="54">
        <v>1780.0000000000095</v>
      </c>
      <c r="G91" s="51"/>
      <c r="H91" s="51">
        <v>359264.27</v>
      </c>
      <c r="I91" s="8"/>
      <c r="J91" s="27"/>
      <c r="K91" s="52"/>
      <c r="L91" s="27"/>
      <c r="M91" s="27"/>
      <c r="N91" s="27"/>
      <c r="O91" s="27"/>
      <c r="P91" s="27"/>
    </row>
    <row r="92">
      <c r="A92" s="47" t="s">
        <v>80</v>
      </c>
      <c r="B92" s="48">
        <v>5700.0</v>
      </c>
      <c r="C92" s="53">
        <v>4.73</v>
      </c>
      <c r="D92" s="54">
        <v>4.69</v>
      </c>
      <c r="E92" s="5">
        <v>26961.000000000004</v>
      </c>
      <c r="F92" s="54">
        <v>228.0000000000002</v>
      </c>
      <c r="G92" s="51"/>
      <c r="H92" s="51">
        <v>386225.27</v>
      </c>
      <c r="I92" s="8"/>
      <c r="J92" s="27"/>
      <c r="K92" s="52"/>
      <c r="L92" s="27"/>
      <c r="M92" s="27"/>
      <c r="N92" s="27"/>
      <c r="O92" s="27"/>
      <c r="P92" s="27"/>
    </row>
    <row r="93">
      <c r="A93" s="47" t="s">
        <v>80</v>
      </c>
      <c r="B93" s="48"/>
      <c r="C93" s="53"/>
      <c r="D93" s="54"/>
      <c r="E93" s="5"/>
      <c r="F93" s="54"/>
      <c r="G93" s="51">
        <v>100000.0</v>
      </c>
      <c r="H93" s="51">
        <v>286225.27</v>
      </c>
      <c r="I93" s="8"/>
      <c r="J93" s="27"/>
      <c r="K93" s="52"/>
      <c r="L93" s="27"/>
      <c r="M93" s="27"/>
      <c r="N93" s="27"/>
      <c r="O93" s="27"/>
      <c r="P93" s="27"/>
    </row>
    <row r="94">
      <c r="A94" s="47" t="s">
        <v>80</v>
      </c>
      <c r="B94" s="48">
        <v>4500.0</v>
      </c>
      <c r="C94" s="53">
        <v>4.73</v>
      </c>
      <c r="D94" s="54">
        <v>4.69</v>
      </c>
      <c r="E94" s="5">
        <v>21285.000000000004</v>
      </c>
      <c r="F94" s="54">
        <v>180.00000000000017</v>
      </c>
      <c r="G94" s="51"/>
      <c r="H94" s="51">
        <v>307510.27</v>
      </c>
      <c r="I94" s="8"/>
      <c r="J94" s="27"/>
      <c r="K94" s="52"/>
      <c r="L94" s="27"/>
      <c r="M94" s="27"/>
      <c r="N94" s="27"/>
      <c r="O94" s="27"/>
      <c r="P94" s="27"/>
    </row>
    <row r="95">
      <c r="A95" s="47" t="s">
        <v>96</v>
      </c>
      <c r="B95" s="48">
        <v>28000.0</v>
      </c>
      <c r="C95" s="53">
        <v>4.73</v>
      </c>
      <c r="D95" s="54">
        <v>4.69</v>
      </c>
      <c r="E95" s="5">
        <v>132440.0</v>
      </c>
      <c r="F95" s="54">
        <v>1120.000000000001</v>
      </c>
      <c r="G95" s="51"/>
      <c r="H95" s="51">
        <v>439950.27</v>
      </c>
      <c r="I95" s="8"/>
      <c r="J95" s="27"/>
      <c r="K95" s="52"/>
      <c r="L95" s="27"/>
      <c r="M95" s="27"/>
      <c r="N95" s="27"/>
      <c r="O95" s="27"/>
      <c r="P95" s="27"/>
    </row>
    <row r="96">
      <c r="A96" s="47" t="s">
        <v>82</v>
      </c>
      <c r="B96" s="48"/>
      <c r="C96" s="53"/>
      <c r="D96" s="54"/>
      <c r="E96" s="5"/>
      <c r="F96" s="54"/>
      <c r="G96" s="51">
        <v>150000.0</v>
      </c>
      <c r="H96" s="51">
        <v>289950.27</v>
      </c>
      <c r="I96" s="8"/>
      <c r="J96" s="27"/>
      <c r="K96" s="52"/>
      <c r="L96" s="27"/>
      <c r="M96" s="27"/>
      <c r="N96" s="27"/>
      <c r="O96" s="27"/>
      <c r="P96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101</v>
      </c>
      <c r="C1" s="1" t="s">
        <v>5</v>
      </c>
      <c r="D1" s="2" t="s">
        <v>102</v>
      </c>
      <c r="E1" s="2" t="s">
        <v>7</v>
      </c>
      <c r="F1" s="55" t="s">
        <v>103</v>
      </c>
      <c r="G1" s="1" t="s">
        <v>8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>
      <c r="A2" s="9">
        <v>45991.0</v>
      </c>
      <c r="B2" s="2"/>
      <c r="C2" s="8" t="str">
        <f t="shared" ref="C2:C51" si="1">IF(B2="", "", B2 * 1.1%)</f>
        <v/>
      </c>
      <c r="D2" s="2"/>
      <c r="E2" s="2">
        <v>63353.0</v>
      </c>
      <c r="F2" s="55"/>
      <c r="G2" s="8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>
      <c r="A3" s="9">
        <v>45992.0</v>
      </c>
      <c r="B3" s="2"/>
      <c r="C3" s="8" t="str">
        <f t="shared" si="1"/>
        <v/>
      </c>
      <c r="D3" s="2">
        <v>200.0</v>
      </c>
      <c r="E3" s="2">
        <v>63553.0</v>
      </c>
      <c r="F3" s="55"/>
      <c r="G3" s="8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>
      <c r="A4" s="9">
        <v>45996.0</v>
      </c>
      <c r="B4" s="2"/>
      <c r="C4" s="8" t="str">
        <f t="shared" si="1"/>
        <v/>
      </c>
      <c r="D4" s="2">
        <v>15300.0</v>
      </c>
      <c r="E4" s="2">
        <v>78853.0</v>
      </c>
      <c r="F4" s="55"/>
      <c r="G4" s="8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>
      <c r="A5" s="9">
        <v>45999.0</v>
      </c>
      <c r="B5" s="13"/>
      <c r="C5" s="8" t="str">
        <f t="shared" si="1"/>
        <v/>
      </c>
      <c r="D5" s="2">
        <v>1150.0</v>
      </c>
      <c r="E5" s="2">
        <v>80003.0</v>
      </c>
      <c r="F5" s="55"/>
      <c r="G5" s="8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>
      <c r="A6" s="9">
        <v>46000.0</v>
      </c>
      <c r="B6" s="13"/>
      <c r="C6" s="8" t="str">
        <f t="shared" si="1"/>
        <v/>
      </c>
      <c r="D6" s="2">
        <v>8386.0</v>
      </c>
      <c r="E6" s="2">
        <v>88389.0</v>
      </c>
      <c r="F6" s="55"/>
      <c r="G6" s="8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>
      <c r="A7" s="9">
        <v>46000.0</v>
      </c>
      <c r="B7" s="13"/>
      <c r="C7" s="8" t="str">
        <f t="shared" si="1"/>
        <v/>
      </c>
      <c r="D7" s="2">
        <v>14643.0</v>
      </c>
      <c r="E7" s="2">
        <v>103032.0</v>
      </c>
      <c r="F7" s="55"/>
      <c r="G7" s="8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</row>
    <row r="8">
      <c r="A8" s="9">
        <v>46001.0</v>
      </c>
      <c r="B8" s="13"/>
      <c r="C8" s="8" t="str">
        <f t="shared" si="1"/>
        <v/>
      </c>
      <c r="D8" s="2">
        <v>7579.0</v>
      </c>
      <c r="E8" s="2">
        <v>110611.0</v>
      </c>
      <c r="F8" s="55"/>
      <c r="G8" s="8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>
      <c r="A9" s="9">
        <v>46002.0</v>
      </c>
      <c r="B9" s="13"/>
      <c r="C9" s="8" t="str">
        <f t="shared" si="1"/>
        <v/>
      </c>
      <c r="D9" s="2">
        <v>4079.0</v>
      </c>
      <c r="E9" s="2">
        <v>114690.0</v>
      </c>
      <c r="F9" s="55"/>
      <c r="G9" s="8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>
      <c r="A10" s="9">
        <v>46002.0</v>
      </c>
      <c r="B10" s="13"/>
      <c r="C10" s="8" t="str">
        <f t="shared" si="1"/>
        <v/>
      </c>
      <c r="D10" s="2">
        <v>11999.0</v>
      </c>
      <c r="E10" s="2">
        <v>126689.0</v>
      </c>
      <c r="F10" s="55"/>
      <c r="G10" s="8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</row>
    <row r="11">
      <c r="A11" s="9">
        <v>46003.0</v>
      </c>
      <c r="B11" s="2">
        <v>84469.0</v>
      </c>
      <c r="C11" s="13">
        <f t="shared" si="1"/>
        <v>929.159</v>
      </c>
      <c r="D11" s="2"/>
      <c r="E11" s="2"/>
      <c r="F11" s="55"/>
      <c r="G11" s="8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</row>
    <row r="12">
      <c r="A12" s="9">
        <v>46003.0</v>
      </c>
      <c r="B12" s="13"/>
      <c r="C12" s="8" t="str">
        <f t="shared" si="1"/>
        <v/>
      </c>
      <c r="D12" s="2">
        <v>27409.0</v>
      </c>
      <c r="E12" s="2">
        <v>69629.0</v>
      </c>
      <c r="F12" s="55"/>
      <c r="G12" s="8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>
      <c r="A13" s="9">
        <v>46006.0</v>
      </c>
      <c r="B13" s="13"/>
      <c r="C13" s="8" t="str">
        <f t="shared" si="1"/>
        <v/>
      </c>
      <c r="D13" s="2">
        <v>14800.0</v>
      </c>
      <c r="E13" s="2">
        <v>84429.0</v>
      </c>
      <c r="F13" s="55"/>
      <c r="G13" s="8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>
      <c r="A14" s="9">
        <v>46007.0</v>
      </c>
      <c r="B14" s="13"/>
      <c r="C14" s="8" t="str">
        <f t="shared" si="1"/>
        <v/>
      </c>
      <c r="D14" s="2">
        <v>11079.0</v>
      </c>
      <c r="E14" s="2">
        <v>95508.0</v>
      </c>
      <c r="F14" s="55"/>
      <c r="G14" s="8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>
      <c r="A15" s="9">
        <v>46008.0</v>
      </c>
      <c r="B15" s="13"/>
      <c r="C15" s="8" t="str">
        <f t="shared" si="1"/>
        <v/>
      </c>
      <c r="D15" s="2">
        <v>10100.0</v>
      </c>
      <c r="E15" s="2">
        <v>105608.0</v>
      </c>
      <c r="F15" s="55"/>
      <c r="G15" s="8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>
      <c r="A16" s="9">
        <v>46010.0</v>
      </c>
      <c r="B16" s="13"/>
      <c r="C16" s="8" t="str">
        <f t="shared" si="1"/>
        <v/>
      </c>
      <c r="D16" s="2">
        <v>350.0</v>
      </c>
      <c r="E16" s="2">
        <v>105958.0</v>
      </c>
      <c r="F16" s="55"/>
      <c r="G16" s="8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>
      <c r="A17" s="9">
        <v>46014.0</v>
      </c>
      <c r="B17" s="13"/>
      <c r="C17" s="8" t="str">
        <f t="shared" si="1"/>
        <v/>
      </c>
      <c r="D17" s="2">
        <v>43519.0</v>
      </c>
      <c r="E17" s="2">
        <v>149477.0</v>
      </c>
      <c r="F17" s="55"/>
      <c r="G17" s="8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</row>
    <row r="18">
      <c r="A18" s="9">
        <v>46016.0</v>
      </c>
      <c r="B18" s="13"/>
      <c r="C18" s="8" t="str">
        <f t="shared" si="1"/>
        <v/>
      </c>
      <c r="D18" s="2">
        <v>15029.0</v>
      </c>
      <c r="E18" s="2">
        <v>164506.0</v>
      </c>
      <c r="F18" s="55"/>
      <c r="G18" s="8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>
      <c r="A19" s="9">
        <v>46017.0</v>
      </c>
      <c r="B19" s="13"/>
      <c r="C19" s="8" t="str">
        <f t="shared" si="1"/>
        <v/>
      </c>
      <c r="D19" s="2">
        <v>22589.0</v>
      </c>
      <c r="E19" s="2">
        <v>187095.0</v>
      </c>
      <c r="F19" s="55"/>
      <c r="G19" s="8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>
      <c r="A20" s="9">
        <v>46019.0</v>
      </c>
      <c r="B20" s="2">
        <v>105682.0</v>
      </c>
      <c r="C20" s="13">
        <f t="shared" si="1"/>
        <v>1162.502</v>
      </c>
      <c r="D20" s="2">
        <v>0.0</v>
      </c>
      <c r="E20" s="2">
        <v>81413.0</v>
      </c>
      <c r="F20" s="55"/>
      <c r="G20" s="8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</row>
    <row r="21">
      <c r="A21" s="9">
        <v>46387.0</v>
      </c>
      <c r="B21" s="13"/>
      <c r="C21" s="8" t="str">
        <f t="shared" si="1"/>
        <v/>
      </c>
      <c r="D21" s="2">
        <v>5479.0</v>
      </c>
      <c r="E21" s="2">
        <v>86892.0</v>
      </c>
      <c r="F21" s="55"/>
      <c r="G21" s="8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</row>
    <row r="22">
      <c r="A22" s="9">
        <v>46023.0</v>
      </c>
      <c r="B22" s="13"/>
      <c r="C22" s="8" t="str">
        <f t="shared" si="1"/>
        <v/>
      </c>
      <c r="D22" s="2">
        <v>8699.0</v>
      </c>
      <c r="E22" s="2">
        <v>95591.0</v>
      </c>
      <c r="F22" s="55"/>
      <c r="G22" s="8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>
      <c r="A23" s="9">
        <v>46024.0</v>
      </c>
      <c r="B23" s="13"/>
      <c r="C23" s="8" t="str">
        <f t="shared" si="1"/>
        <v/>
      </c>
      <c r="D23" s="2">
        <v>27488.0</v>
      </c>
      <c r="E23" s="2">
        <v>123079.0</v>
      </c>
      <c r="F23" s="55"/>
      <c r="G23" s="8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>
      <c r="A24" s="9">
        <v>46027.0</v>
      </c>
      <c r="B24" s="13"/>
      <c r="C24" s="8" t="str">
        <f t="shared" si="1"/>
        <v/>
      </c>
      <c r="D24" s="2">
        <v>39100.0</v>
      </c>
      <c r="E24" s="2">
        <v>162179.0</v>
      </c>
      <c r="F24" s="55"/>
      <c r="G24" s="8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</row>
    <row r="25">
      <c r="A25" s="9">
        <v>46027.0</v>
      </c>
      <c r="B25" s="13"/>
      <c r="C25" s="8" t="str">
        <f t="shared" si="1"/>
        <v/>
      </c>
      <c r="D25" s="2">
        <v>4132.0</v>
      </c>
      <c r="E25" s="2">
        <v>47741.0</v>
      </c>
      <c r="F25" s="55"/>
      <c r="G25" s="8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</row>
    <row r="26">
      <c r="A26" s="9">
        <v>46029.0</v>
      </c>
      <c r="B26" s="13"/>
      <c r="C26" s="8" t="str">
        <f t="shared" si="1"/>
        <v/>
      </c>
      <c r="D26" s="2">
        <v>2500.0</v>
      </c>
      <c r="E26" s="2">
        <v>50241.0</v>
      </c>
      <c r="F26" s="55"/>
      <c r="G26" s="8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>
      <c r="A27" s="9">
        <v>46034.0</v>
      </c>
      <c r="B27" s="13"/>
      <c r="C27" s="8" t="str">
        <f t="shared" si="1"/>
        <v/>
      </c>
      <c r="D27" s="2">
        <v>2999.0</v>
      </c>
      <c r="E27" s="2">
        <v>53240.0</v>
      </c>
      <c r="F27" s="55"/>
      <c r="G27" s="8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>
      <c r="A28" s="9">
        <v>46041.0</v>
      </c>
      <c r="B28" s="13"/>
      <c r="C28" s="8" t="str">
        <f t="shared" si="1"/>
        <v/>
      </c>
      <c r="D28" s="2">
        <v>52653.0</v>
      </c>
      <c r="E28" s="2">
        <v>105893.0</v>
      </c>
      <c r="F28" s="55"/>
      <c r="G28" s="8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>
      <c r="A29" s="9">
        <v>46042.0</v>
      </c>
      <c r="B29" s="13"/>
      <c r="C29" s="8" t="str">
        <f t="shared" si="1"/>
        <v/>
      </c>
      <c r="D29" s="2">
        <v>46199.0</v>
      </c>
      <c r="E29" s="2">
        <v>152092.0</v>
      </c>
      <c r="F29" s="55"/>
      <c r="G29" s="8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>
      <c r="A30" s="9">
        <v>46043.0</v>
      </c>
      <c r="B30" s="2">
        <v>114038.0</v>
      </c>
      <c r="C30" s="13">
        <f t="shared" si="1"/>
        <v>1254.418</v>
      </c>
      <c r="D30" s="13"/>
      <c r="E30" s="2">
        <v>38054.0</v>
      </c>
      <c r="F30" s="55"/>
      <c r="G30" s="8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</row>
    <row r="31">
      <c r="A31" s="9">
        <v>46045.0</v>
      </c>
      <c r="B31" s="13"/>
      <c r="C31" s="8" t="str">
        <f t="shared" si="1"/>
        <v/>
      </c>
      <c r="D31" s="2">
        <v>11109.0</v>
      </c>
      <c r="E31" s="2">
        <v>49163.0</v>
      </c>
      <c r="F31" s="55"/>
      <c r="G31" s="8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>
      <c r="A32" s="9">
        <v>46046.0</v>
      </c>
      <c r="B32" s="13"/>
      <c r="C32" s="8" t="str">
        <f t="shared" si="1"/>
        <v/>
      </c>
      <c r="D32" s="2">
        <v>6200.0</v>
      </c>
      <c r="E32" s="2">
        <v>55363.0</v>
      </c>
      <c r="F32" s="55"/>
      <c r="G32" s="8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>
      <c r="A33" s="9">
        <v>46047.0</v>
      </c>
      <c r="B33" s="13"/>
      <c r="C33" s="8" t="str">
        <f t="shared" si="1"/>
        <v/>
      </c>
      <c r="D33" s="2">
        <v>8699.0</v>
      </c>
      <c r="E33" s="2">
        <v>64062.0</v>
      </c>
      <c r="F33" s="55"/>
      <c r="G33" s="8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>
      <c r="A34" s="9">
        <v>46050.0</v>
      </c>
      <c r="B34" s="13"/>
      <c r="C34" s="8" t="str">
        <f t="shared" si="1"/>
        <v/>
      </c>
      <c r="D34" s="2">
        <v>3199.0</v>
      </c>
      <c r="E34" s="2">
        <v>67261.0</v>
      </c>
      <c r="F34" s="55"/>
      <c r="G34" s="8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</row>
    <row r="35">
      <c r="A35" s="9">
        <v>46050.0</v>
      </c>
      <c r="B35" s="13"/>
      <c r="C35" s="8" t="str">
        <f t="shared" si="1"/>
        <v/>
      </c>
      <c r="D35" s="2">
        <v>7000.0</v>
      </c>
      <c r="E35" s="2">
        <v>74261.0</v>
      </c>
      <c r="F35" s="55"/>
      <c r="G35" s="8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</row>
    <row r="36">
      <c r="A36" s="9">
        <v>46050.0</v>
      </c>
      <c r="B36" s="13"/>
      <c r="C36" s="8" t="str">
        <f t="shared" si="1"/>
        <v/>
      </c>
      <c r="D36" s="2">
        <v>300.0</v>
      </c>
      <c r="E36" s="2">
        <v>74561.0</v>
      </c>
      <c r="F36" s="55"/>
      <c r="G36" s="8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>
      <c r="A37" s="9">
        <v>46052.0</v>
      </c>
      <c r="B37" s="13"/>
      <c r="C37" s="8" t="str">
        <f t="shared" si="1"/>
        <v/>
      </c>
      <c r="D37" s="2">
        <v>3999.0</v>
      </c>
      <c r="E37" s="2">
        <v>78560.0</v>
      </c>
      <c r="F37" s="55"/>
      <c r="G37" s="8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38">
      <c r="A38" s="9">
        <v>46055.0</v>
      </c>
      <c r="B38" s="13"/>
      <c r="C38" s="8" t="str">
        <f t="shared" si="1"/>
        <v/>
      </c>
      <c r="D38" s="2">
        <v>15500.0</v>
      </c>
      <c r="E38" s="2">
        <v>94060.0</v>
      </c>
      <c r="F38" s="55"/>
      <c r="G38" s="8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</row>
    <row r="39">
      <c r="A39" s="9">
        <v>46057.0</v>
      </c>
      <c r="B39" s="13"/>
      <c r="C39" s="8" t="str">
        <f t="shared" si="1"/>
        <v/>
      </c>
      <c r="D39" s="2">
        <v>26504.0</v>
      </c>
      <c r="E39" s="2">
        <f t="shared" ref="E39:E293" si="2">IF(A39="", "", E38 + D39 - B39)</f>
        <v>120564</v>
      </c>
      <c r="F39" s="55"/>
      <c r="G39" s="8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</row>
    <row r="40">
      <c r="A40" s="9">
        <v>46059.0</v>
      </c>
      <c r="B40" s="13"/>
      <c r="C40" s="8" t="str">
        <f t="shared" si="1"/>
        <v/>
      </c>
      <c r="D40" s="2">
        <v>29900.0</v>
      </c>
      <c r="E40" s="2">
        <f t="shared" si="2"/>
        <v>150464</v>
      </c>
      <c r="F40" s="55"/>
      <c r="G40" s="8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</row>
    <row r="41">
      <c r="A41" s="9">
        <v>46059.0</v>
      </c>
      <c r="B41" s="2">
        <v>102010.0</v>
      </c>
      <c r="C41" s="13">
        <f t="shared" si="1"/>
        <v>1122.11</v>
      </c>
      <c r="D41" s="13"/>
      <c r="E41" s="2">
        <f t="shared" si="2"/>
        <v>48454</v>
      </c>
      <c r="F41" s="55"/>
      <c r="G41" s="1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</row>
    <row r="42">
      <c r="A42" s="9">
        <v>46060.0</v>
      </c>
      <c r="B42" s="13"/>
      <c r="C42" s="8" t="str">
        <f t="shared" si="1"/>
        <v/>
      </c>
      <c r="D42" s="2">
        <v>1000.0</v>
      </c>
      <c r="E42" s="2">
        <f t="shared" si="2"/>
        <v>49454</v>
      </c>
      <c r="F42" s="55"/>
      <c r="G42" s="8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>
      <c r="A43" s="9">
        <v>46062.0</v>
      </c>
      <c r="B43" s="13"/>
      <c r="C43" s="8" t="str">
        <f t="shared" si="1"/>
        <v/>
      </c>
      <c r="D43" s="2">
        <v>35015.0</v>
      </c>
      <c r="E43" s="2">
        <f t="shared" si="2"/>
        <v>84469</v>
      </c>
      <c r="F43" s="55"/>
      <c r="G43" s="8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>
      <c r="A44" s="9">
        <v>46065.0</v>
      </c>
      <c r="B44" s="2"/>
      <c r="C44" s="8" t="str">
        <f t="shared" si="1"/>
        <v/>
      </c>
      <c r="D44" s="13"/>
      <c r="E44" s="2">
        <f t="shared" si="2"/>
        <v>84469</v>
      </c>
      <c r="F44" s="55"/>
      <c r="G44" s="8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</row>
    <row r="45">
      <c r="A45" s="9">
        <v>46065.0</v>
      </c>
      <c r="B45" s="2">
        <v>170009.0</v>
      </c>
      <c r="C45" s="13">
        <f t="shared" si="1"/>
        <v>1870.099</v>
      </c>
      <c r="D45" s="2">
        <v>42959.0</v>
      </c>
      <c r="E45" s="2">
        <f t="shared" si="2"/>
        <v>-42581</v>
      </c>
      <c r="F45" s="55"/>
      <c r="G45" s="8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</row>
    <row r="46">
      <c r="A46" s="9">
        <v>46067.0</v>
      </c>
      <c r="B46" s="13"/>
      <c r="C46" s="8" t="str">
        <f t="shared" si="1"/>
        <v/>
      </c>
      <c r="D46" s="2">
        <v>17799.0</v>
      </c>
      <c r="E46" s="2">
        <f t="shared" si="2"/>
        <v>-24782</v>
      </c>
      <c r="F46" s="55"/>
      <c r="G46" s="8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>
      <c r="A47" s="9">
        <v>46068.0</v>
      </c>
      <c r="B47" s="13"/>
      <c r="C47" s="8" t="str">
        <f t="shared" si="1"/>
        <v/>
      </c>
      <c r="D47" s="2">
        <v>2000.0</v>
      </c>
      <c r="E47" s="2">
        <f t="shared" si="2"/>
        <v>-22782</v>
      </c>
      <c r="F47" s="55"/>
      <c r="G47" s="8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</row>
    <row r="48">
      <c r="A48" s="9">
        <v>46069.0</v>
      </c>
      <c r="B48" s="2"/>
      <c r="C48" s="8" t="str">
        <f t="shared" si="1"/>
        <v/>
      </c>
      <c r="D48" s="2"/>
      <c r="E48" s="2">
        <f t="shared" si="2"/>
        <v>-22782</v>
      </c>
      <c r="F48" s="55"/>
      <c r="G48" s="8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</row>
    <row r="49">
      <c r="A49" s="9">
        <v>46071.0</v>
      </c>
      <c r="B49" s="13"/>
      <c r="C49" s="8" t="str">
        <f t="shared" si="1"/>
        <v/>
      </c>
      <c r="D49" s="2">
        <v>7879.0</v>
      </c>
      <c r="E49" s="2">
        <f t="shared" si="2"/>
        <v>-14903</v>
      </c>
      <c r="F49" s="55"/>
      <c r="G49" s="8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</row>
    <row r="50">
      <c r="A50" s="9">
        <v>46073.0</v>
      </c>
      <c r="B50" s="13"/>
      <c r="C50" s="8" t="str">
        <f t="shared" si="1"/>
        <v/>
      </c>
      <c r="D50" s="2">
        <v>1000.0</v>
      </c>
      <c r="E50" s="2">
        <f t="shared" si="2"/>
        <v>-13903</v>
      </c>
      <c r="F50" s="55"/>
      <c r="G50" s="8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</row>
    <row r="51">
      <c r="A51" s="9">
        <v>46075.0</v>
      </c>
      <c r="B51" s="13"/>
      <c r="C51" s="8" t="str">
        <f t="shared" si="1"/>
        <v/>
      </c>
      <c r="D51" s="2">
        <v>4879.0</v>
      </c>
      <c r="E51" s="2">
        <f t="shared" si="2"/>
        <v>-9024</v>
      </c>
      <c r="F51" s="55"/>
      <c r="G51" s="8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</row>
    <row r="52">
      <c r="A52" s="9">
        <v>46077.0</v>
      </c>
      <c r="B52" s="13"/>
      <c r="C52" s="8"/>
      <c r="D52" s="2">
        <v>66879.0</v>
      </c>
      <c r="E52" s="2">
        <f t="shared" si="2"/>
        <v>57855</v>
      </c>
      <c r="F52" s="55"/>
      <c r="G52" s="8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</row>
    <row r="53">
      <c r="A53" s="9">
        <v>46078.0</v>
      </c>
      <c r="B53" s="13"/>
      <c r="C53" s="8"/>
      <c r="D53" s="2">
        <v>43529.0</v>
      </c>
      <c r="E53" s="2">
        <f t="shared" si="2"/>
        <v>101384</v>
      </c>
      <c r="F53" s="55"/>
      <c r="G53" s="8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</row>
    <row r="54">
      <c r="A54" s="9">
        <v>46079.0</v>
      </c>
      <c r="B54" s="13"/>
      <c r="C54" s="8"/>
      <c r="D54" s="2">
        <v>9549.0</v>
      </c>
      <c r="E54" s="2">
        <f t="shared" si="2"/>
        <v>110933</v>
      </c>
      <c r="F54" s="55"/>
      <c r="G54" s="8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</row>
    <row r="55">
      <c r="A55" s="9">
        <v>46080.0</v>
      </c>
      <c r="B55" s="2">
        <v>108389.0</v>
      </c>
      <c r="C55" s="8"/>
      <c r="D55" s="13"/>
      <c r="E55" s="2">
        <f t="shared" si="2"/>
        <v>2544</v>
      </c>
      <c r="F55" s="55"/>
      <c r="G55" s="8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>
      <c r="A56" s="9">
        <v>46082.0</v>
      </c>
      <c r="B56" s="13"/>
      <c r="C56" s="8"/>
      <c r="D56" s="2">
        <v>6600.0</v>
      </c>
      <c r="E56" s="2">
        <f t="shared" si="2"/>
        <v>9144</v>
      </c>
      <c r="F56" s="55"/>
      <c r="G56" s="8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>
      <c r="A57" s="9">
        <v>46083.0</v>
      </c>
      <c r="B57" s="13"/>
      <c r="C57" s="8"/>
      <c r="D57" s="2">
        <v>42.0</v>
      </c>
      <c r="E57" s="2">
        <f t="shared" si="2"/>
        <v>9186</v>
      </c>
      <c r="F57" s="55"/>
      <c r="G57" s="8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</row>
    <row r="58">
      <c r="A58" s="9">
        <v>46084.0</v>
      </c>
      <c r="B58" s="13"/>
      <c r="C58" s="8"/>
      <c r="D58" s="2">
        <v>7599.0</v>
      </c>
      <c r="E58" s="2">
        <f t="shared" si="2"/>
        <v>16785</v>
      </c>
      <c r="F58" s="55"/>
      <c r="G58" s="8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</row>
    <row r="59">
      <c r="A59" s="9">
        <v>46084.0</v>
      </c>
      <c r="B59" s="13"/>
      <c r="C59" s="8"/>
      <c r="D59" s="2">
        <v>4379.0</v>
      </c>
      <c r="E59" s="2">
        <f t="shared" si="2"/>
        <v>21164</v>
      </c>
      <c r="F59" s="55"/>
      <c r="G59" s="8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</row>
    <row r="60">
      <c r="A60" s="9">
        <v>46086.0</v>
      </c>
      <c r="B60" s="13"/>
      <c r="C60" s="8"/>
      <c r="D60" s="2">
        <v>31220.0</v>
      </c>
      <c r="E60" s="2">
        <f t="shared" si="2"/>
        <v>52384</v>
      </c>
      <c r="F60" s="55"/>
      <c r="G60" s="8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</row>
    <row r="61">
      <c r="A61" s="9">
        <v>46087.0</v>
      </c>
      <c r="B61" s="13"/>
      <c r="C61" s="8"/>
      <c r="D61" s="2">
        <v>9345.0</v>
      </c>
      <c r="E61" s="2">
        <f t="shared" si="2"/>
        <v>61729</v>
      </c>
      <c r="F61" s="55"/>
      <c r="G61" s="8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>
      <c r="A62" s="9">
        <v>46091.0</v>
      </c>
      <c r="B62" s="13"/>
      <c r="C62" s="8"/>
      <c r="D62" s="2">
        <v>30500.0</v>
      </c>
      <c r="E62" s="2">
        <f t="shared" si="2"/>
        <v>92229</v>
      </c>
      <c r="F62" s="55"/>
      <c r="G62" s="8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</row>
    <row r="63">
      <c r="A63" s="9">
        <v>46092.0</v>
      </c>
      <c r="B63" s="2">
        <v>116284.0</v>
      </c>
      <c r="C63" s="8"/>
      <c r="D63" s="2">
        <v>13800.0</v>
      </c>
      <c r="E63" s="2">
        <f t="shared" si="2"/>
        <v>-10255</v>
      </c>
      <c r="F63" s="55"/>
      <c r="G63" s="8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</row>
    <row r="64">
      <c r="A64" s="9">
        <v>46093.0</v>
      </c>
      <c r="B64" s="2"/>
      <c r="C64" s="8"/>
      <c r="D64" s="2">
        <v>500.0</v>
      </c>
      <c r="E64" s="2">
        <f t="shared" si="2"/>
        <v>-9755</v>
      </c>
      <c r="F64" s="55"/>
      <c r="G64" s="8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>
      <c r="A65" s="9">
        <v>46095.0</v>
      </c>
      <c r="B65" s="13"/>
      <c r="C65" s="8"/>
      <c r="D65" s="2">
        <v>21609.0</v>
      </c>
      <c r="E65" s="2">
        <f t="shared" si="2"/>
        <v>11854</v>
      </c>
      <c r="F65" s="55"/>
      <c r="G65" s="8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>
      <c r="A66" s="9">
        <v>46097.0</v>
      </c>
      <c r="B66" s="13"/>
      <c r="C66" s="8"/>
      <c r="D66" s="2">
        <v>23000.0</v>
      </c>
      <c r="E66" s="2">
        <f t="shared" si="2"/>
        <v>34854</v>
      </c>
      <c r="F66" s="55"/>
      <c r="G66" s="8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</row>
    <row r="67">
      <c r="A67" s="9">
        <v>46099.0</v>
      </c>
      <c r="B67" s="13"/>
      <c r="C67" s="8"/>
      <c r="D67" s="2">
        <v>5248.0</v>
      </c>
      <c r="E67" s="2">
        <f t="shared" si="2"/>
        <v>40102</v>
      </c>
      <c r="F67" s="55"/>
      <c r="G67" s="8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>
      <c r="A68" s="9">
        <v>46099.0</v>
      </c>
      <c r="B68" s="13"/>
      <c r="C68" s="8"/>
      <c r="D68" s="2">
        <v>2076.0</v>
      </c>
      <c r="E68" s="2">
        <f t="shared" si="2"/>
        <v>42178</v>
      </c>
      <c r="F68" s="55"/>
      <c r="G68" s="8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</row>
    <row r="69">
      <c r="A69" s="9">
        <v>46100.0</v>
      </c>
      <c r="B69" s="13"/>
      <c r="C69" s="8"/>
      <c r="D69" s="2">
        <v>1710.0</v>
      </c>
      <c r="E69" s="2">
        <f t="shared" si="2"/>
        <v>43888</v>
      </c>
      <c r="F69" s="55"/>
      <c r="G69" s="8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</row>
    <row r="70">
      <c r="A70" s="9">
        <v>46101.0</v>
      </c>
      <c r="B70" s="13"/>
      <c r="C70" s="8"/>
      <c r="D70" s="2">
        <v>3900.0</v>
      </c>
      <c r="E70" s="2">
        <f t="shared" si="2"/>
        <v>47788</v>
      </c>
      <c r="F70" s="55"/>
      <c r="G70" s="8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>
      <c r="A71" s="9">
        <v>46102.0</v>
      </c>
      <c r="B71" s="13"/>
      <c r="C71" s="8"/>
      <c r="D71" s="2">
        <v>4413.0</v>
      </c>
      <c r="E71" s="2">
        <f t="shared" si="2"/>
        <v>52201</v>
      </c>
      <c r="F71" s="55"/>
      <c r="G71" s="8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>
      <c r="A72" s="9">
        <v>46109.0</v>
      </c>
      <c r="B72" s="13"/>
      <c r="C72" s="8"/>
      <c r="D72" s="2">
        <v>3200.0</v>
      </c>
      <c r="E72" s="2">
        <f t="shared" si="2"/>
        <v>55401</v>
      </c>
      <c r="F72" s="55"/>
      <c r="G72" s="8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</row>
    <row r="73">
      <c r="A73" s="9">
        <v>46112.0</v>
      </c>
      <c r="B73" s="13"/>
      <c r="C73" s="8"/>
      <c r="D73" s="2">
        <v>1142.0</v>
      </c>
      <c r="E73" s="2">
        <f t="shared" si="2"/>
        <v>56543</v>
      </c>
      <c r="F73" s="55"/>
      <c r="G73" s="8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>
      <c r="A74" s="9">
        <v>46113.0</v>
      </c>
      <c r="B74" s="13"/>
      <c r="C74" s="8"/>
      <c r="D74" s="2">
        <v>13248.0</v>
      </c>
      <c r="E74" s="2">
        <f t="shared" si="2"/>
        <v>69791</v>
      </c>
      <c r="F74" s="55"/>
      <c r="G74" s="8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>
      <c r="A75" s="9">
        <v>46119.0</v>
      </c>
      <c r="B75" s="13"/>
      <c r="C75" s="8"/>
      <c r="D75" s="2">
        <v>43012.0</v>
      </c>
      <c r="E75" s="2">
        <f t="shared" si="2"/>
        <v>112803</v>
      </c>
      <c r="F75" s="55"/>
      <c r="G75" s="8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</row>
    <row r="76">
      <c r="A76" s="9">
        <v>46120.0</v>
      </c>
      <c r="B76" s="2">
        <v>69306.0</v>
      </c>
      <c r="C76" s="8"/>
      <c r="D76" s="13"/>
      <c r="E76" s="2">
        <f t="shared" si="2"/>
        <v>43497</v>
      </c>
      <c r="F76" s="55"/>
      <c r="G76" s="8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</row>
    <row r="77">
      <c r="A77" s="9">
        <v>46121.0</v>
      </c>
      <c r="B77" s="13"/>
      <c r="C77" s="8"/>
      <c r="D77" s="2">
        <v>381.0</v>
      </c>
      <c r="E77" s="2">
        <f t="shared" si="2"/>
        <v>43878</v>
      </c>
      <c r="F77" s="55"/>
      <c r="G77" s="8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</row>
    <row r="78">
      <c r="A78" s="9">
        <v>46122.0</v>
      </c>
      <c r="B78" s="13"/>
      <c r="C78" s="8"/>
      <c r="D78" s="2">
        <v>13500.0</v>
      </c>
      <c r="E78" s="2">
        <f t="shared" si="2"/>
        <v>57378</v>
      </c>
      <c r="F78" s="55"/>
      <c r="G78" s="8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</row>
    <row r="79">
      <c r="A79" s="9">
        <v>46124.0</v>
      </c>
      <c r="B79" s="13"/>
      <c r="C79" s="8"/>
      <c r="D79" s="2">
        <v>5500.0</v>
      </c>
      <c r="E79" s="2">
        <f t="shared" si="2"/>
        <v>62878</v>
      </c>
      <c r="F79" s="55"/>
      <c r="G79" s="8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</row>
    <row r="80">
      <c r="A80" s="9">
        <v>46131.0</v>
      </c>
      <c r="B80" s="13"/>
      <c r="C80" s="8"/>
      <c r="D80" s="2">
        <v>2716.0</v>
      </c>
      <c r="E80" s="2">
        <f t="shared" si="2"/>
        <v>65594</v>
      </c>
      <c r="F80" s="55"/>
      <c r="G80" s="8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</row>
    <row r="81">
      <c r="A81" s="9">
        <v>46136.0</v>
      </c>
      <c r="B81" s="13"/>
      <c r="C81" s="8"/>
      <c r="D81" s="2">
        <v>40068.0</v>
      </c>
      <c r="E81" s="2">
        <f t="shared" si="2"/>
        <v>105662</v>
      </c>
      <c r="F81" s="55"/>
      <c r="G81" s="8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</row>
    <row r="82">
      <c r="A82" s="9">
        <v>46137.0</v>
      </c>
      <c r="B82" s="13"/>
      <c r="C82" s="8"/>
      <c r="D82" s="2">
        <v>1608.0</v>
      </c>
      <c r="E82" s="2">
        <f t="shared" si="2"/>
        <v>107270</v>
      </c>
      <c r="F82" s="55"/>
      <c r="G82" s="8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>
      <c r="A83" s="9">
        <v>46139.0</v>
      </c>
      <c r="B83" s="13"/>
      <c r="C83" s="8"/>
      <c r="D83" s="2">
        <v>1652.0</v>
      </c>
      <c r="E83" s="2">
        <f t="shared" si="2"/>
        <v>108922</v>
      </c>
      <c r="F83" s="55"/>
      <c r="G83" s="8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</row>
    <row r="84">
      <c r="A84" s="9">
        <v>46139.0</v>
      </c>
      <c r="B84" s="2">
        <v>84928.0</v>
      </c>
      <c r="C84" s="8"/>
      <c r="D84" s="13"/>
      <c r="E84" s="2">
        <f t="shared" si="2"/>
        <v>23994</v>
      </c>
      <c r="F84" s="55"/>
      <c r="G84" s="8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</row>
    <row r="85">
      <c r="A85" s="9">
        <v>46140.0</v>
      </c>
      <c r="B85" s="13"/>
      <c r="C85" s="8"/>
      <c r="D85" s="2">
        <v>976.0</v>
      </c>
      <c r="E85" s="2">
        <f t="shared" si="2"/>
        <v>24970</v>
      </c>
      <c r="F85" s="55"/>
      <c r="G85" s="8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</row>
    <row r="86">
      <c r="A86" s="9">
        <v>46141.0</v>
      </c>
      <c r="B86" s="13"/>
      <c r="C86" s="8"/>
      <c r="D86" s="2">
        <v>14000.0</v>
      </c>
      <c r="E86" s="2">
        <f t="shared" si="2"/>
        <v>38970</v>
      </c>
      <c r="F86" s="55"/>
      <c r="G86" s="8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</row>
    <row r="87">
      <c r="A87" s="9">
        <v>46142.0</v>
      </c>
      <c r="B87" s="13"/>
      <c r="C87" s="8"/>
      <c r="D87" s="2">
        <v>1546.0</v>
      </c>
      <c r="E87" s="2">
        <f t="shared" si="2"/>
        <v>40516</v>
      </c>
      <c r="F87" s="55"/>
      <c r="G87" s="8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</row>
    <row r="88">
      <c r="A88" s="56">
        <v>46148.0</v>
      </c>
      <c r="B88" s="35"/>
      <c r="C88" s="27"/>
      <c r="D88" s="31">
        <v>1042.0</v>
      </c>
      <c r="E88" s="31">
        <f t="shared" si="2"/>
        <v>41558</v>
      </c>
      <c r="F88" s="5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</row>
    <row r="89">
      <c r="A89" s="56">
        <v>46149.0</v>
      </c>
      <c r="B89" s="35"/>
      <c r="C89" s="27"/>
      <c r="D89" s="31">
        <v>500.0</v>
      </c>
      <c r="E89" s="31">
        <f t="shared" si="2"/>
        <v>42058</v>
      </c>
      <c r="F89" s="5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</row>
    <row r="90">
      <c r="A90" s="56">
        <v>46154.0</v>
      </c>
      <c r="B90" s="35"/>
      <c r="C90" s="27"/>
      <c r="D90" s="31">
        <v>5000.0</v>
      </c>
      <c r="E90" s="31">
        <f t="shared" si="2"/>
        <v>47058</v>
      </c>
      <c r="F90" s="5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</row>
    <row r="91">
      <c r="A91" s="56">
        <v>46155.0</v>
      </c>
      <c r="B91" s="35"/>
      <c r="C91" s="27"/>
      <c r="D91" s="31">
        <v>2980.0</v>
      </c>
      <c r="E91" s="31">
        <f t="shared" si="2"/>
        <v>50038</v>
      </c>
      <c r="F91" s="5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</row>
    <row r="92">
      <c r="A92" s="56">
        <v>46157.0</v>
      </c>
      <c r="B92" s="35"/>
      <c r="C92" s="27"/>
      <c r="D92" s="31">
        <v>5000.0</v>
      </c>
      <c r="E92" s="31">
        <f t="shared" si="2"/>
        <v>55038</v>
      </c>
      <c r="F92" s="5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</row>
    <row r="93">
      <c r="A93" s="56">
        <v>46160.0</v>
      </c>
      <c r="B93" s="35"/>
      <c r="C93" s="27"/>
      <c r="D93" s="31">
        <v>19113.0</v>
      </c>
      <c r="E93" s="31">
        <f t="shared" si="2"/>
        <v>74151</v>
      </c>
      <c r="F93" s="5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</row>
    <row r="94">
      <c r="A94" s="56">
        <v>46162.0</v>
      </c>
      <c r="B94" s="31">
        <v>84696.0</v>
      </c>
      <c r="C94" s="27"/>
      <c r="D94" s="31">
        <v>17999.0</v>
      </c>
      <c r="E94" s="31">
        <f t="shared" si="2"/>
        <v>7454</v>
      </c>
      <c r="F94" s="5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</row>
    <row r="95">
      <c r="A95" s="56">
        <v>46163.0</v>
      </c>
      <c r="B95" s="35"/>
      <c r="C95" s="27"/>
      <c r="D95" s="31">
        <v>27380.0</v>
      </c>
      <c r="E95" s="31">
        <f t="shared" si="2"/>
        <v>34834</v>
      </c>
      <c r="F95" s="5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</row>
    <row r="96">
      <c r="A96" s="56">
        <v>46164.0</v>
      </c>
      <c r="B96" s="35"/>
      <c r="C96" s="27"/>
      <c r="D96" s="31">
        <v>11999.0</v>
      </c>
      <c r="E96" s="31">
        <f t="shared" si="2"/>
        <v>46833</v>
      </c>
      <c r="F96" s="5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</row>
    <row r="97">
      <c r="A97" s="56">
        <v>46165.0</v>
      </c>
      <c r="B97" s="35"/>
      <c r="C97" s="27"/>
      <c r="D97" s="31">
        <v>1000.0</v>
      </c>
      <c r="E97" s="31">
        <f t="shared" si="2"/>
        <v>47833</v>
      </c>
      <c r="F97" s="5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</row>
    <row r="98">
      <c r="A98" s="56">
        <v>46167.0</v>
      </c>
      <c r="B98" s="35"/>
      <c r="C98" s="27"/>
      <c r="D98" s="31">
        <v>10000.0</v>
      </c>
      <c r="E98" s="31">
        <f t="shared" si="2"/>
        <v>57833</v>
      </c>
      <c r="F98" s="5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</row>
    <row r="99">
      <c r="A99" s="56">
        <v>46168.0</v>
      </c>
      <c r="B99" s="35"/>
      <c r="C99" s="27"/>
      <c r="D99" s="31">
        <v>16200.0</v>
      </c>
      <c r="E99" s="31">
        <f t="shared" si="2"/>
        <v>74033</v>
      </c>
      <c r="F99" s="5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</row>
    <row r="100">
      <c r="A100" s="56">
        <v>46169.0</v>
      </c>
      <c r="B100" s="35"/>
      <c r="C100" s="27"/>
      <c r="D100" s="31">
        <v>6499.0</v>
      </c>
      <c r="E100" s="31">
        <f t="shared" si="2"/>
        <v>80532</v>
      </c>
      <c r="F100" s="5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>
      <c r="A101" s="56">
        <v>46173.0</v>
      </c>
      <c r="B101" s="35"/>
      <c r="C101" s="27"/>
      <c r="D101" s="31">
        <v>2000.0</v>
      </c>
      <c r="E101" s="31">
        <f t="shared" si="2"/>
        <v>82532</v>
      </c>
      <c r="F101" s="5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</row>
    <row r="102">
      <c r="A102" s="56">
        <v>46174.0</v>
      </c>
      <c r="B102" s="31">
        <v>119449.0</v>
      </c>
      <c r="C102" s="27"/>
      <c r="D102" s="31">
        <v>91980.0</v>
      </c>
      <c r="E102" s="31">
        <f t="shared" si="2"/>
        <v>55063</v>
      </c>
      <c r="F102" s="5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>
      <c r="A103" s="27"/>
      <c r="B103" s="35"/>
      <c r="C103" s="27"/>
      <c r="D103" s="35"/>
      <c r="E103" s="31" t="str">
        <f t="shared" si="2"/>
        <v/>
      </c>
      <c r="F103" s="5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</row>
    <row r="104">
      <c r="A104" s="27"/>
      <c r="B104" s="35"/>
      <c r="C104" s="27"/>
      <c r="D104" s="35"/>
      <c r="E104" s="31" t="str">
        <f t="shared" si="2"/>
        <v/>
      </c>
      <c r="F104" s="5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>
      <c r="A105" s="27"/>
      <c r="B105" s="35"/>
      <c r="C105" s="27"/>
      <c r="D105" s="35"/>
      <c r="E105" s="31" t="str">
        <f t="shared" si="2"/>
        <v/>
      </c>
      <c r="F105" s="5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>
      <c r="A106" s="27"/>
      <c r="B106" s="35"/>
      <c r="C106" s="27"/>
      <c r="D106" s="35"/>
      <c r="E106" s="31" t="str">
        <f t="shared" si="2"/>
        <v/>
      </c>
      <c r="F106" s="5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>
      <c r="A107" s="27"/>
      <c r="B107" s="35"/>
      <c r="C107" s="27"/>
      <c r="D107" s="35"/>
      <c r="E107" s="31" t="str">
        <f t="shared" si="2"/>
        <v/>
      </c>
      <c r="F107" s="5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>
      <c r="A108" s="27"/>
      <c r="B108" s="35"/>
      <c r="C108" s="27"/>
      <c r="D108" s="35"/>
      <c r="E108" s="31" t="str">
        <f t="shared" si="2"/>
        <v/>
      </c>
      <c r="F108" s="5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>
      <c r="A109" s="27"/>
      <c r="B109" s="35"/>
      <c r="C109" s="27"/>
      <c r="D109" s="35"/>
      <c r="E109" s="31" t="str">
        <f t="shared" si="2"/>
        <v/>
      </c>
      <c r="F109" s="5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>
      <c r="A110" s="27"/>
      <c r="B110" s="35"/>
      <c r="C110" s="27"/>
      <c r="D110" s="35"/>
      <c r="E110" s="31" t="str">
        <f t="shared" si="2"/>
        <v/>
      </c>
      <c r="F110" s="5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>
      <c r="A111" s="27"/>
      <c r="B111" s="35"/>
      <c r="C111" s="27"/>
      <c r="D111" s="35"/>
      <c r="E111" s="31" t="str">
        <f t="shared" si="2"/>
        <v/>
      </c>
      <c r="F111" s="5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</row>
    <row r="112">
      <c r="A112" s="27"/>
      <c r="B112" s="35"/>
      <c r="C112" s="27"/>
      <c r="D112" s="35"/>
      <c r="E112" s="31" t="str">
        <f t="shared" si="2"/>
        <v/>
      </c>
      <c r="F112" s="5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</row>
    <row r="113">
      <c r="A113" s="27"/>
      <c r="B113" s="35"/>
      <c r="C113" s="27"/>
      <c r="D113" s="35"/>
      <c r="E113" s="31" t="str">
        <f t="shared" si="2"/>
        <v/>
      </c>
      <c r="F113" s="5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</row>
    <row r="114">
      <c r="A114" s="27"/>
      <c r="B114" s="35"/>
      <c r="C114" s="27"/>
      <c r="D114" s="35"/>
      <c r="E114" s="31" t="str">
        <f t="shared" si="2"/>
        <v/>
      </c>
      <c r="F114" s="5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</row>
    <row r="115">
      <c r="A115" s="27"/>
      <c r="B115" s="35"/>
      <c r="C115" s="27"/>
      <c r="D115" s="35"/>
      <c r="E115" s="31" t="str">
        <f t="shared" si="2"/>
        <v/>
      </c>
      <c r="F115" s="5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</row>
    <row r="116">
      <c r="A116" s="27"/>
      <c r="B116" s="35"/>
      <c r="C116" s="27"/>
      <c r="D116" s="35"/>
      <c r="E116" s="31" t="str">
        <f t="shared" si="2"/>
        <v/>
      </c>
      <c r="F116" s="5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</row>
    <row r="117">
      <c r="A117" s="27"/>
      <c r="B117" s="35"/>
      <c r="C117" s="27"/>
      <c r="D117" s="35"/>
      <c r="E117" s="31" t="str">
        <f t="shared" si="2"/>
        <v/>
      </c>
      <c r="F117" s="5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</row>
    <row r="118">
      <c r="A118" s="27"/>
      <c r="B118" s="35"/>
      <c r="C118" s="27"/>
      <c r="D118" s="35"/>
      <c r="E118" s="31" t="str">
        <f t="shared" si="2"/>
        <v/>
      </c>
      <c r="F118" s="5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>
      <c r="A119" s="27"/>
      <c r="B119" s="35"/>
      <c r="C119" s="27"/>
      <c r="D119" s="35"/>
      <c r="E119" s="31" t="str">
        <f t="shared" si="2"/>
        <v/>
      </c>
      <c r="F119" s="5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</row>
    <row r="120">
      <c r="A120" s="27"/>
      <c r="B120" s="35"/>
      <c r="C120" s="27"/>
      <c r="D120" s="35"/>
      <c r="E120" s="31" t="str">
        <f t="shared" si="2"/>
        <v/>
      </c>
      <c r="F120" s="5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</row>
    <row r="121">
      <c r="A121" s="27"/>
      <c r="B121" s="35"/>
      <c r="C121" s="27"/>
      <c r="D121" s="35"/>
      <c r="E121" s="31" t="str">
        <f t="shared" si="2"/>
        <v/>
      </c>
      <c r="F121" s="5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</row>
    <row r="122">
      <c r="A122" s="27"/>
      <c r="B122" s="35"/>
      <c r="C122" s="27"/>
      <c r="D122" s="35"/>
      <c r="E122" s="31" t="str">
        <f t="shared" si="2"/>
        <v/>
      </c>
      <c r="F122" s="5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</row>
    <row r="123">
      <c r="A123" s="27"/>
      <c r="B123" s="35"/>
      <c r="C123" s="27"/>
      <c r="D123" s="35"/>
      <c r="E123" s="31" t="str">
        <f t="shared" si="2"/>
        <v/>
      </c>
      <c r="F123" s="5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</row>
    <row r="124">
      <c r="A124" s="27"/>
      <c r="B124" s="35"/>
      <c r="C124" s="27"/>
      <c r="D124" s="35"/>
      <c r="E124" s="31" t="str">
        <f t="shared" si="2"/>
        <v/>
      </c>
      <c r="F124" s="5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</row>
    <row r="125">
      <c r="A125" s="27"/>
      <c r="B125" s="35"/>
      <c r="C125" s="27"/>
      <c r="D125" s="35"/>
      <c r="E125" s="31" t="str">
        <f t="shared" si="2"/>
        <v/>
      </c>
      <c r="F125" s="5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</row>
    <row r="126">
      <c r="A126" s="27"/>
      <c r="B126" s="35"/>
      <c r="C126" s="27"/>
      <c r="D126" s="35"/>
      <c r="E126" s="31" t="str">
        <f t="shared" si="2"/>
        <v/>
      </c>
      <c r="F126" s="5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</row>
    <row r="127">
      <c r="A127" s="27"/>
      <c r="B127" s="35"/>
      <c r="C127" s="27"/>
      <c r="D127" s="35"/>
      <c r="E127" s="31" t="str">
        <f t="shared" si="2"/>
        <v/>
      </c>
      <c r="F127" s="5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</row>
    <row r="128">
      <c r="A128" s="27"/>
      <c r="B128" s="35"/>
      <c r="C128" s="27"/>
      <c r="D128" s="35"/>
      <c r="E128" s="31" t="str">
        <f t="shared" si="2"/>
        <v/>
      </c>
      <c r="F128" s="5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</row>
    <row r="129">
      <c r="A129" s="27"/>
      <c r="B129" s="35"/>
      <c r="C129" s="27"/>
      <c r="D129" s="35"/>
      <c r="E129" s="31" t="str">
        <f t="shared" si="2"/>
        <v/>
      </c>
      <c r="F129" s="5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</row>
    <row r="130">
      <c r="A130" s="27"/>
      <c r="B130" s="35"/>
      <c r="C130" s="27"/>
      <c r="D130" s="35"/>
      <c r="E130" s="31" t="str">
        <f t="shared" si="2"/>
        <v/>
      </c>
      <c r="F130" s="5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</row>
    <row r="131">
      <c r="A131" s="27"/>
      <c r="B131" s="35"/>
      <c r="C131" s="27"/>
      <c r="D131" s="35"/>
      <c r="E131" s="31" t="str">
        <f t="shared" si="2"/>
        <v/>
      </c>
      <c r="F131" s="5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</row>
    <row r="132">
      <c r="A132" s="27"/>
      <c r="B132" s="35"/>
      <c r="C132" s="27"/>
      <c r="D132" s="35"/>
      <c r="E132" s="31" t="str">
        <f t="shared" si="2"/>
        <v/>
      </c>
      <c r="F132" s="5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</row>
    <row r="133">
      <c r="A133" s="27"/>
      <c r="B133" s="35"/>
      <c r="C133" s="27"/>
      <c r="D133" s="35"/>
      <c r="E133" s="31" t="str">
        <f t="shared" si="2"/>
        <v/>
      </c>
      <c r="F133" s="5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</row>
    <row r="134">
      <c r="A134" s="27"/>
      <c r="B134" s="35"/>
      <c r="C134" s="27"/>
      <c r="D134" s="35"/>
      <c r="E134" s="31" t="str">
        <f t="shared" si="2"/>
        <v/>
      </c>
      <c r="F134" s="5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</row>
    <row r="135">
      <c r="A135" s="27"/>
      <c r="B135" s="35"/>
      <c r="C135" s="27"/>
      <c r="D135" s="35"/>
      <c r="E135" s="31" t="str">
        <f t="shared" si="2"/>
        <v/>
      </c>
      <c r="F135" s="5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</row>
    <row r="136">
      <c r="A136" s="27"/>
      <c r="B136" s="35"/>
      <c r="C136" s="27"/>
      <c r="D136" s="35"/>
      <c r="E136" s="31" t="str">
        <f t="shared" si="2"/>
        <v/>
      </c>
      <c r="F136" s="5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</row>
    <row r="137">
      <c r="A137" s="27"/>
      <c r="B137" s="35"/>
      <c r="C137" s="27"/>
      <c r="D137" s="35"/>
      <c r="E137" s="31" t="str">
        <f t="shared" si="2"/>
        <v/>
      </c>
      <c r="F137" s="5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</row>
    <row r="138">
      <c r="A138" s="27"/>
      <c r="B138" s="35"/>
      <c r="C138" s="27"/>
      <c r="D138" s="35"/>
      <c r="E138" s="31" t="str">
        <f t="shared" si="2"/>
        <v/>
      </c>
      <c r="F138" s="5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</row>
    <row r="139">
      <c r="A139" s="27"/>
      <c r="B139" s="35"/>
      <c r="C139" s="27"/>
      <c r="D139" s="35"/>
      <c r="E139" s="31" t="str">
        <f t="shared" si="2"/>
        <v/>
      </c>
      <c r="F139" s="5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</row>
    <row r="140">
      <c r="A140" s="27"/>
      <c r="B140" s="35"/>
      <c r="C140" s="27"/>
      <c r="D140" s="35"/>
      <c r="E140" s="31" t="str">
        <f t="shared" si="2"/>
        <v/>
      </c>
      <c r="F140" s="5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</row>
    <row r="141">
      <c r="A141" s="27"/>
      <c r="B141" s="35"/>
      <c r="C141" s="27"/>
      <c r="D141" s="35"/>
      <c r="E141" s="31" t="str">
        <f t="shared" si="2"/>
        <v/>
      </c>
      <c r="F141" s="5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</row>
    <row r="142">
      <c r="A142" s="27"/>
      <c r="B142" s="35"/>
      <c r="C142" s="27"/>
      <c r="D142" s="35"/>
      <c r="E142" s="31" t="str">
        <f t="shared" si="2"/>
        <v/>
      </c>
      <c r="F142" s="5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</row>
    <row r="143">
      <c r="A143" s="27"/>
      <c r="B143" s="35"/>
      <c r="C143" s="27"/>
      <c r="D143" s="35"/>
      <c r="E143" s="31" t="str">
        <f t="shared" si="2"/>
        <v/>
      </c>
      <c r="F143" s="5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</row>
    <row r="144">
      <c r="A144" s="27"/>
      <c r="B144" s="35"/>
      <c r="C144" s="27"/>
      <c r="D144" s="35"/>
      <c r="E144" s="31" t="str">
        <f t="shared" si="2"/>
        <v/>
      </c>
      <c r="F144" s="5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</row>
    <row r="145">
      <c r="A145" s="27"/>
      <c r="B145" s="35"/>
      <c r="C145" s="27"/>
      <c r="D145" s="35"/>
      <c r="E145" s="31" t="str">
        <f t="shared" si="2"/>
        <v/>
      </c>
      <c r="F145" s="5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</row>
    <row r="146">
      <c r="A146" s="27"/>
      <c r="B146" s="35"/>
      <c r="C146" s="27"/>
      <c r="D146" s="35"/>
      <c r="E146" s="31" t="str">
        <f t="shared" si="2"/>
        <v/>
      </c>
      <c r="F146" s="5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</row>
    <row r="147">
      <c r="A147" s="27"/>
      <c r="B147" s="35"/>
      <c r="C147" s="27"/>
      <c r="D147" s="35"/>
      <c r="E147" s="31" t="str">
        <f t="shared" si="2"/>
        <v/>
      </c>
      <c r="F147" s="5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</row>
    <row r="148">
      <c r="A148" s="27"/>
      <c r="B148" s="35"/>
      <c r="C148" s="27"/>
      <c r="D148" s="35"/>
      <c r="E148" s="31" t="str">
        <f t="shared" si="2"/>
        <v/>
      </c>
      <c r="F148" s="5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</row>
    <row r="149">
      <c r="A149" s="27"/>
      <c r="B149" s="35"/>
      <c r="C149" s="27"/>
      <c r="D149" s="35"/>
      <c r="E149" s="31" t="str">
        <f t="shared" si="2"/>
        <v/>
      </c>
      <c r="F149" s="5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</row>
    <row r="150">
      <c r="A150" s="27"/>
      <c r="B150" s="35"/>
      <c r="C150" s="27"/>
      <c r="D150" s="35"/>
      <c r="E150" s="31" t="str">
        <f t="shared" si="2"/>
        <v/>
      </c>
      <c r="F150" s="5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</row>
    <row r="151">
      <c r="A151" s="27"/>
      <c r="B151" s="35"/>
      <c r="C151" s="27"/>
      <c r="D151" s="35"/>
      <c r="E151" s="31" t="str">
        <f t="shared" si="2"/>
        <v/>
      </c>
      <c r="F151" s="5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</row>
    <row r="152">
      <c r="A152" s="27"/>
      <c r="B152" s="35"/>
      <c r="C152" s="27"/>
      <c r="D152" s="35"/>
      <c r="E152" s="31" t="str">
        <f t="shared" si="2"/>
        <v/>
      </c>
      <c r="F152" s="5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</row>
    <row r="153">
      <c r="A153" s="27"/>
      <c r="B153" s="35"/>
      <c r="C153" s="27"/>
      <c r="D153" s="35"/>
      <c r="E153" s="31" t="str">
        <f t="shared" si="2"/>
        <v/>
      </c>
      <c r="F153" s="5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</row>
    <row r="154">
      <c r="A154" s="27"/>
      <c r="B154" s="35"/>
      <c r="C154" s="27"/>
      <c r="D154" s="35"/>
      <c r="E154" s="31" t="str">
        <f t="shared" si="2"/>
        <v/>
      </c>
      <c r="F154" s="5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</row>
    <row r="155">
      <c r="A155" s="27"/>
      <c r="B155" s="35"/>
      <c r="C155" s="27"/>
      <c r="D155" s="35"/>
      <c r="E155" s="31" t="str">
        <f t="shared" si="2"/>
        <v/>
      </c>
      <c r="F155" s="5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</row>
    <row r="156">
      <c r="A156" s="27"/>
      <c r="B156" s="35"/>
      <c r="C156" s="27"/>
      <c r="D156" s="35"/>
      <c r="E156" s="31" t="str">
        <f t="shared" si="2"/>
        <v/>
      </c>
      <c r="F156" s="5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</row>
    <row r="157">
      <c r="A157" s="27"/>
      <c r="B157" s="35"/>
      <c r="C157" s="27"/>
      <c r="D157" s="35"/>
      <c r="E157" s="31" t="str">
        <f t="shared" si="2"/>
        <v/>
      </c>
      <c r="F157" s="5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</row>
    <row r="158">
      <c r="A158" s="27"/>
      <c r="B158" s="35"/>
      <c r="C158" s="27"/>
      <c r="D158" s="35"/>
      <c r="E158" s="31" t="str">
        <f t="shared" si="2"/>
        <v/>
      </c>
      <c r="F158" s="5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</row>
    <row r="159">
      <c r="A159" s="27"/>
      <c r="B159" s="35"/>
      <c r="C159" s="27"/>
      <c r="D159" s="35"/>
      <c r="E159" s="31" t="str">
        <f t="shared" si="2"/>
        <v/>
      </c>
      <c r="F159" s="5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</row>
    <row r="160">
      <c r="A160" s="27"/>
      <c r="B160" s="35"/>
      <c r="C160" s="27"/>
      <c r="D160" s="35"/>
      <c r="E160" s="31" t="str">
        <f t="shared" si="2"/>
        <v/>
      </c>
      <c r="F160" s="5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</row>
    <row r="161">
      <c r="A161" s="27"/>
      <c r="B161" s="35"/>
      <c r="C161" s="27"/>
      <c r="D161" s="35"/>
      <c r="E161" s="31" t="str">
        <f t="shared" si="2"/>
        <v/>
      </c>
      <c r="F161" s="5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</row>
    <row r="162">
      <c r="A162" s="27"/>
      <c r="B162" s="35"/>
      <c r="C162" s="27"/>
      <c r="D162" s="35"/>
      <c r="E162" s="31" t="str">
        <f t="shared" si="2"/>
        <v/>
      </c>
      <c r="F162" s="5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</row>
    <row r="163">
      <c r="A163" s="27"/>
      <c r="B163" s="35"/>
      <c r="C163" s="27"/>
      <c r="D163" s="35"/>
      <c r="E163" s="31" t="str">
        <f t="shared" si="2"/>
        <v/>
      </c>
      <c r="F163" s="5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</row>
    <row r="164">
      <c r="A164" s="27"/>
      <c r="B164" s="35"/>
      <c r="C164" s="27"/>
      <c r="D164" s="35"/>
      <c r="E164" s="31" t="str">
        <f t="shared" si="2"/>
        <v/>
      </c>
      <c r="F164" s="5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</row>
    <row r="165">
      <c r="A165" s="27"/>
      <c r="B165" s="35"/>
      <c r="C165" s="27"/>
      <c r="D165" s="35"/>
      <c r="E165" s="31" t="str">
        <f t="shared" si="2"/>
        <v/>
      </c>
      <c r="F165" s="5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</row>
    <row r="166">
      <c r="A166" s="27"/>
      <c r="B166" s="35"/>
      <c r="C166" s="27"/>
      <c r="D166" s="35"/>
      <c r="E166" s="31" t="str">
        <f t="shared" si="2"/>
        <v/>
      </c>
      <c r="F166" s="5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</row>
    <row r="167">
      <c r="A167" s="27"/>
      <c r="B167" s="35"/>
      <c r="C167" s="27"/>
      <c r="D167" s="35"/>
      <c r="E167" s="31" t="str">
        <f t="shared" si="2"/>
        <v/>
      </c>
      <c r="F167" s="5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</row>
    <row r="168">
      <c r="A168" s="27"/>
      <c r="B168" s="35"/>
      <c r="C168" s="27"/>
      <c r="D168" s="35"/>
      <c r="E168" s="31" t="str">
        <f t="shared" si="2"/>
        <v/>
      </c>
      <c r="F168" s="5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</row>
    <row r="169">
      <c r="A169" s="27"/>
      <c r="B169" s="35"/>
      <c r="C169" s="27"/>
      <c r="D169" s="35"/>
      <c r="E169" s="31" t="str">
        <f t="shared" si="2"/>
        <v/>
      </c>
      <c r="F169" s="5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</row>
    <row r="170">
      <c r="A170" s="27"/>
      <c r="B170" s="35"/>
      <c r="C170" s="27"/>
      <c r="D170" s="35"/>
      <c r="E170" s="31" t="str">
        <f t="shared" si="2"/>
        <v/>
      </c>
      <c r="F170" s="5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</row>
    <row r="171">
      <c r="A171" s="27"/>
      <c r="B171" s="35"/>
      <c r="C171" s="27"/>
      <c r="D171" s="35"/>
      <c r="E171" s="31" t="str">
        <f t="shared" si="2"/>
        <v/>
      </c>
      <c r="F171" s="5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</row>
    <row r="172">
      <c r="A172" s="27"/>
      <c r="B172" s="35"/>
      <c r="C172" s="27"/>
      <c r="D172" s="35"/>
      <c r="E172" s="31" t="str">
        <f t="shared" si="2"/>
        <v/>
      </c>
      <c r="F172" s="5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</row>
    <row r="173">
      <c r="A173" s="27"/>
      <c r="B173" s="35"/>
      <c r="C173" s="27"/>
      <c r="D173" s="35"/>
      <c r="E173" s="31" t="str">
        <f t="shared" si="2"/>
        <v/>
      </c>
      <c r="F173" s="5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</row>
    <row r="174">
      <c r="A174" s="27"/>
      <c r="B174" s="35"/>
      <c r="C174" s="27"/>
      <c r="D174" s="35"/>
      <c r="E174" s="31" t="str">
        <f t="shared" si="2"/>
        <v/>
      </c>
      <c r="F174" s="5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</row>
    <row r="175">
      <c r="A175" s="27"/>
      <c r="B175" s="35"/>
      <c r="C175" s="27"/>
      <c r="D175" s="35"/>
      <c r="E175" s="31" t="str">
        <f t="shared" si="2"/>
        <v/>
      </c>
      <c r="F175" s="5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</row>
    <row r="176">
      <c r="A176" s="27"/>
      <c r="B176" s="35"/>
      <c r="C176" s="27"/>
      <c r="D176" s="35"/>
      <c r="E176" s="31" t="str">
        <f t="shared" si="2"/>
        <v/>
      </c>
      <c r="F176" s="5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</row>
    <row r="177">
      <c r="A177" s="27"/>
      <c r="B177" s="35"/>
      <c r="C177" s="27"/>
      <c r="D177" s="35"/>
      <c r="E177" s="31" t="str">
        <f t="shared" si="2"/>
        <v/>
      </c>
      <c r="F177" s="5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</row>
    <row r="178">
      <c r="A178" s="27"/>
      <c r="B178" s="35"/>
      <c r="C178" s="27"/>
      <c r="D178" s="35"/>
      <c r="E178" s="31" t="str">
        <f t="shared" si="2"/>
        <v/>
      </c>
      <c r="F178" s="5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</row>
    <row r="179">
      <c r="A179" s="27"/>
      <c r="B179" s="35"/>
      <c r="C179" s="27"/>
      <c r="D179" s="35"/>
      <c r="E179" s="31" t="str">
        <f t="shared" si="2"/>
        <v/>
      </c>
      <c r="F179" s="5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</row>
    <row r="180">
      <c r="A180" s="27"/>
      <c r="B180" s="35"/>
      <c r="C180" s="27"/>
      <c r="D180" s="35"/>
      <c r="E180" s="31" t="str">
        <f t="shared" si="2"/>
        <v/>
      </c>
      <c r="F180" s="5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</row>
    <row r="181">
      <c r="A181" s="27"/>
      <c r="B181" s="35"/>
      <c r="C181" s="27"/>
      <c r="D181" s="35"/>
      <c r="E181" s="31" t="str">
        <f t="shared" si="2"/>
        <v/>
      </c>
      <c r="F181" s="5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</row>
    <row r="182">
      <c r="A182" s="27"/>
      <c r="B182" s="35"/>
      <c r="C182" s="27"/>
      <c r="D182" s="35"/>
      <c r="E182" s="31" t="str">
        <f t="shared" si="2"/>
        <v/>
      </c>
      <c r="F182" s="5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</row>
    <row r="183">
      <c r="A183" s="27"/>
      <c r="B183" s="35"/>
      <c r="C183" s="27"/>
      <c r="D183" s="35"/>
      <c r="E183" s="31" t="str">
        <f t="shared" si="2"/>
        <v/>
      </c>
      <c r="F183" s="5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</row>
    <row r="184">
      <c r="A184" s="27"/>
      <c r="B184" s="35"/>
      <c r="C184" s="27"/>
      <c r="D184" s="35"/>
      <c r="E184" s="31" t="str">
        <f t="shared" si="2"/>
        <v/>
      </c>
      <c r="F184" s="5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</row>
    <row r="185">
      <c r="A185" s="27"/>
      <c r="B185" s="35"/>
      <c r="C185" s="27"/>
      <c r="D185" s="35"/>
      <c r="E185" s="31" t="str">
        <f t="shared" si="2"/>
        <v/>
      </c>
      <c r="F185" s="5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</row>
    <row r="186">
      <c r="A186" s="27"/>
      <c r="B186" s="35"/>
      <c r="C186" s="27"/>
      <c r="D186" s="35"/>
      <c r="E186" s="31" t="str">
        <f t="shared" si="2"/>
        <v/>
      </c>
      <c r="F186" s="5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</row>
    <row r="187">
      <c r="A187" s="27"/>
      <c r="B187" s="35"/>
      <c r="C187" s="27"/>
      <c r="D187" s="35"/>
      <c r="E187" s="31" t="str">
        <f t="shared" si="2"/>
        <v/>
      </c>
      <c r="F187" s="5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</row>
    <row r="188">
      <c r="A188" s="27"/>
      <c r="B188" s="35"/>
      <c r="C188" s="27"/>
      <c r="D188" s="35"/>
      <c r="E188" s="31" t="str">
        <f t="shared" si="2"/>
        <v/>
      </c>
      <c r="F188" s="5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</row>
    <row r="189">
      <c r="A189" s="27"/>
      <c r="B189" s="35"/>
      <c r="C189" s="27"/>
      <c r="D189" s="35"/>
      <c r="E189" s="31" t="str">
        <f t="shared" si="2"/>
        <v/>
      </c>
      <c r="F189" s="5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</row>
    <row r="190">
      <c r="A190" s="27"/>
      <c r="B190" s="35"/>
      <c r="C190" s="27"/>
      <c r="D190" s="35"/>
      <c r="E190" s="31" t="str">
        <f t="shared" si="2"/>
        <v/>
      </c>
      <c r="F190" s="5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</row>
    <row r="191">
      <c r="A191" s="27"/>
      <c r="B191" s="35"/>
      <c r="C191" s="27"/>
      <c r="D191" s="35"/>
      <c r="E191" s="31" t="str">
        <f t="shared" si="2"/>
        <v/>
      </c>
      <c r="F191" s="5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</row>
    <row r="192">
      <c r="A192" s="27"/>
      <c r="B192" s="35"/>
      <c r="C192" s="27"/>
      <c r="D192" s="35"/>
      <c r="E192" s="31" t="str">
        <f t="shared" si="2"/>
        <v/>
      </c>
      <c r="F192" s="5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</row>
    <row r="193">
      <c r="A193" s="27"/>
      <c r="B193" s="35"/>
      <c r="C193" s="27"/>
      <c r="D193" s="35"/>
      <c r="E193" s="31" t="str">
        <f t="shared" si="2"/>
        <v/>
      </c>
      <c r="F193" s="5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</row>
    <row r="194">
      <c r="A194" s="27"/>
      <c r="B194" s="35"/>
      <c r="C194" s="27"/>
      <c r="D194" s="35"/>
      <c r="E194" s="31" t="str">
        <f t="shared" si="2"/>
        <v/>
      </c>
      <c r="F194" s="5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</row>
    <row r="195">
      <c r="A195" s="27"/>
      <c r="B195" s="35"/>
      <c r="C195" s="27"/>
      <c r="D195" s="35"/>
      <c r="E195" s="31" t="str">
        <f t="shared" si="2"/>
        <v/>
      </c>
      <c r="F195" s="5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</row>
    <row r="196">
      <c r="A196" s="27"/>
      <c r="B196" s="35"/>
      <c r="C196" s="27"/>
      <c r="D196" s="35"/>
      <c r="E196" s="31" t="str">
        <f t="shared" si="2"/>
        <v/>
      </c>
      <c r="F196" s="5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</row>
    <row r="197">
      <c r="A197" s="27"/>
      <c r="B197" s="35"/>
      <c r="C197" s="27"/>
      <c r="D197" s="35"/>
      <c r="E197" s="31" t="str">
        <f t="shared" si="2"/>
        <v/>
      </c>
      <c r="F197" s="5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</row>
    <row r="198">
      <c r="A198" s="27"/>
      <c r="B198" s="35"/>
      <c r="C198" s="27"/>
      <c r="D198" s="35"/>
      <c r="E198" s="31" t="str">
        <f t="shared" si="2"/>
        <v/>
      </c>
      <c r="F198" s="5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</row>
    <row r="199">
      <c r="A199" s="27"/>
      <c r="B199" s="35"/>
      <c r="C199" s="27"/>
      <c r="D199" s="35"/>
      <c r="E199" s="31" t="str">
        <f t="shared" si="2"/>
        <v/>
      </c>
      <c r="F199" s="5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</row>
    <row r="200">
      <c r="A200" s="27"/>
      <c r="B200" s="35"/>
      <c r="C200" s="27"/>
      <c r="D200" s="35"/>
      <c r="E200" s="31" t="str">
        <f t="shared" si="2"/>
        <v/>
      </c>
      <c r="F200" s="5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</row>
    <row r="201">
      <c r="A201" s="27"/>
      <c r="B201" s="35"/>
      <c r="C201" s="27"/>
      <c r="D201" s="35"/>
      <c r="E201" s="31" t="str">
        <f t="shared" si="2"/>
        <v/>
      </c>
      <c r="F201" s="5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</row>
    <row r="202">
      <c r="A202" s="27"/>
      <c r="B202" s="35"/>
      <c r="C202" s="27"/>
      <c r="D202" s="35"/>
      <c r="E202" s="31" t="str">
        <f t="shared" si="2"/>
        <v/>
      </c>
      <c r="F202" s="5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</row>
    <row r="203">
      <c r="A203" s="27"/>
      <c r="B203" s="35"/>
      <c r="C203" s="27"/>
      <c r="D203" s="35"/>
      <c r="E203" s="31" t="str">
        <f t="shared" si="2"/>
        <v/>
      </c>
      <c r="F203" s="5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</row>
    <row r="204">
      <c r="A204" s="27"/>
      <c r="B204" s="35"/>
      <c r="C204" s="27"/>
      <c r="D204" s="35"/>
      <c r="E204" s="31" t="str">
        <f t="shared" si="2"/>
        <v/>
      </c>
      <c r="F204" s="5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</row>
    <row r="205">
      <c r="A205" s="27"/>
      <c r="B205" s="35"/>
      <c r="C205" s="27"/>
      <c r="D205" s="35"/>
      <c r="E205" s="31" t="str">
        <f t="shared" si="2"/>
        <v/>
      </c>
      <c r="F205" s="5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</row>
    <row r="206">
      <c r="A206" s="27"/>
      <c r="B206" s="35"/>
      <c r="C206" s="27"/>
      <c r="D206" s="35"/>
      <c r="E206" s="31" t="str">
        <f t="shared" si="2"/>
        <v/>
      </c>
      <c r="F206" s="5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</row>
    <row r="207">
      <c r="A207" s="27"/>
      <c r="B207" s="35"/>
      <c r="C207" s="27"/>
      <c r="D207" s="35"/>
      <c r="E207" s="31" t="str">
        <f t="shared" si="2"/>
        <v/>
      </c>
      <c r="F207" s="5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</row>
    <row r="208">
      <c r="A208" s="27"/>
      <c r="B208" s="35"/>
      <c r="C208" s="27"/>
      <c r="D208" s="35"/>
      <c r="E208" s="31" t="str">
        <f t="shared" si="2"/>
        <v/>
      </c>
      <c r="F208" s="5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</row>
    <row r="209">
      <c r="A209" s="27"/>
      <c r="B209" s="35"/>
      <c r="C209" s="27"/>
      <c r="D209" s="35"/>
      <c r="E209" s="31" t="str">
        <f t="shared" si="2"/>
        <v/>
      </c>
      <c r="F209" s="5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</row>
    <row r="210">
      <c r="A210" s="27"/>
      <c r="B210" s="35"/>
      <c r="C210" s="27"/>
      <c r="D210" s="35"/>
      <c r="E210" s="31" t="str">
        <f t="shared" si="2"/>
        <v/>
      </c>
      <c r="F210" s="5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</row>
    <row r="211">
      <c r="A211" s="27"/>
      <c r="B211" s="35"/>
      <c r="C211" s="27"/>
      <c r="D211" s="35"/>
      <c r="E211" s="31" t="str">
        <f t="shared" si="2"/>
        <v/>
      </c>
      <c r="F211" s="5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</row>
    <row r="212">
      <c r="A212" s="27"/>
      <c r="B212" s="35"/>
      <c r="C212" s="27"/>
      <c r="D212" s="35"/>
      <c r="E212" s="31" t="str">
        <f t="shared" si="2"/>
        <v/>
      </c>
      <c r="F212" s="5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</row>
    <row r="213">
      <c r="A213" s="27"/>
      <c r="B213" s="35"/>
      <c r="C213" s="27"/>
      <c r="D213" s="35"/>
      <c r="E213" s="31" t="str">
        <f t="shared" si="2"/>
        <v/>
      </c>
      <c r="F213" s="5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</row>
    <row r="214">
      <c r="A214" s="27"/>
      <c r="B214" s="35"/>
      <c r="C214" s="27"/>
      <c r="D214" s="35"/>
      <c r="E214" s="31" t="str">
        <f t="shared" si="2"/>
        <v/>
      </c>
      <c r="F214" s="5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</row>
    <row r="215">
      <c r="A215" s="27"/>
      <c r="B215" s="35"/>
      <c r="C215" s="27"/>
      <c r="D215" s="35"/>
      <c r="E215" s="31" t="str">
        <f t="shared" si="2"/>
        <v/>
      </c>
      <c r="F215" s="5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</row>
    <row r="216">
      <c r="A216" s="27"/>
      <c r="B216" s="35"/>
      <c r="C216" s="27"/>
      <c r="D216" s="35"/>
      <c r="E216" s="31" t="str">
        <f t="shared" si="2"/>
        <v/>
      </c>
      <c r="F216" s="5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</row>
    <row r="217">
      <c r="A217" s="27"/>
      <c r="B217" s="35"/>
      <c r="C217" s="27"/>
      <c r="D217" s="35"/>
      <c r="E217" s="31" t="str">
        <f t="shared" si="2"/>
        <v/>
      </c>
      <c r="F217" s="5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</row>
    <row r="218">
      <c r="A218" s="27"/>
      <c r="B218" s="35"/>
      <c r="C218" s="27"/>
      <c r="D218" s="35"/>
      <c r="E218" s="31" t="str">
        <f t="shared" si="2"/>
        <v/>
      </c>
      <c r="F218" s="5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</row>
    <row r="219">
      <c r="A219" s="27"/>
      <c r="B219" s="35"/>
      <c r="C219" s="27"/>
      <c r="D219" s="35"/>
      <c r="E219" s="31" t="str">
        <f t="shared" si="2"/>
        <v/>
      </c>
      <c r="F219" s="5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</row>
    <row r="220">
      <c r="A220" s="27"/>
      <c r="B220" s="35"/>
      <c r="C220" s="27"/>
      <c r="D220" s="35"/>
      <c r="E220" s="31" t="str">
        <f t="shared" si="2"/>
        <v/>
      </c>
      <c r="F220" s="5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</row>
    <row r="221">
      <c r="A221" s="27"/>
      <c r="B221" s="35"/>
      <c r="C221" s="27"/>
      <c r="D221" s="35"/>
      <c r="E221" s="31" t="str">
        <f t="shared" si="2"/>
        <v/>
      </c>
      <c r="F221" s="5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</row>
    <row r="222">
      <c r="A222" s="27"/>
      <c r="B222" s="35"/>
      <c r="C222" s="27"/>
      <c r="D222" s="35"/>
      <c r="E222" s="31" t="str">
        <f t="shared" si="2"/>
        <v/>
      </c>
      <c r="F222" s="5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</row>
    <row r="223">
      <c r="A223" s="27"/>
      <c r="B223" s="35"/>
      <c r="C223" s="27"/>
      <c r="D223" s="35"/>
      <c r="E223" s="31" t="str">
        <f t="shared" si="2"/>
        <v/>
      </c>
      <c r="F223" s="5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</row>
    <row r="224">
      <c r="A224" s="27"/>
      <c r="B224" s="35"/>
      <c r="C224" s="27"/>
      <c r="D224" s="35"/>
      <c r="E224" s="31" t="str">
        <f t="shared" si="2"/>
        <v/>
      </c>
      <c r="F224" s="5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</row>
    <row r="225">
      <c r="A225" s="27"/>
      <c r="B225" s="35"/>
      <c r="C225" s="27"/>
      <c r="D225" s="35"/>
      <c r="E225" s="31" t="str">
        <f t="shared" si="2"/>
        <v/>
      </c>
      <c r="F225" s="5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</row>
    <row r="226">
      <c r="A226" s="27"/>
      <c r="B226" s="35"/>
      <c r="C226" s="27"/>
      <c r="D226" s="35"/>
      <c r="E226" s="31" t="str">
        <f t="shared" si="2"/>
        <v/>
      </c>
      <c r="F226" s="5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</row>
    <row r="227">
      <c r="A227" s="27"/>
      <c r="B227" s="35"/>
      <c r="C227" s="27"/>
      <c r="D227" s="35"/>
      <c r="E227" s="31" t="str">
        <f t="shared" si="2"/>
        <v/>
      </c>
      <c r="F227" s="5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</row>
    <row r="228">
      <c r="A228" s="27"/>
      <c r="B228" s="35"/>
      <c r="C228" s="27"/>
      <c r="D228" s="35"/>
      <c r="E228" s="31" t="str">
        <f t="shared" si="2"/>
        <v/>
      </c>
      <c r="F228" s="5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</row>
    <row r="229">
      <c r="A229" s="27"/>
      <c r="B229" s="35"/>
      <c r="C229" s="27"/>
      <c r="D229" s="35"/>
      <c r="E229" s="31" t="str">
        <f t="shared" si="2"/>
        <v/>
      </c>
      <c r="F229" s="5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</row>
    <row r="230">
      <c r="A230" s="27"/>
      <c r="B230" s="35"/>
      <c r="C230" s="27"/>
      <c r="D230" s="35"/>
      <c r="E230" s="31" t="str">
        <f t="shared" si="2"/>
        <v/>
      </c>
      <c r="F230" s="5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</row>
    <row r="231">
      <c r="A231" s="27"/>
      <c r="B231" s="35"/>
      <c r="C231" s="27"/>
      <c r="D231" s="35"/>
      <c r="E231" s="31" t="str">
        <f t="shared" si="2"/>
        <v/>
      </c>
      <c r="F231" s="5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</row>
    <row r="232">
      <c r="A232" s="27"/>
      <c r="B232" s="35"/>
      <c r="C232" s="27"/>
      <c r="D232" s="35"/>
      <c r="E232" s="31" t="str">
        <f t="shared" si="2"/>
        <v/>
      </c>
      <c r="F232" s="5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</row>
    <row r="233">
      <c r="A233" s="27"/>
      <c r="B233" s="35"/>
      <c r="C233" s="27"/>
      <c r="D233" s="35"/>
      <c r="E233" s="31" t="str">
        <f t="shared" si="2"/>
        <v/>
      </c>
      <c r="F233" s="5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</row>
    <row r="234">
      <c r="A234" s="27"/>
      <c r="B234" s="35"/>
      <c r="C234" s="27"/>
      <c r="D234" s="35"/>
      <c r="E234" s="31" t="str">
        <f t="shared" si="2"/>
        <v/>
      </c>
      <c r="F234" s="5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</row>
    <row r="235">
      <c r="A235" s="27"/>
      <c r="B235" s="35"/>
      <c r="C235" s="27"/>
      <c r="D235" s="35"/>
      <c r="E235" s="31" t="str">
        <f t="shared" si="2"/>
        <v/>
      </c>
      <c r="F235" s="5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</row>
    <row r="236">
      <c r="A236" s="27"/>
      <c r="B236" s="35"/>
      <c r="C236" s="27"/>
      <c r="D236" s="35"/>
      <c r="E236" s="31" t="str">
        <f t="shared" si="2"/>
        <v/>
      </c>
      <c r="F236" s="5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</row>
    <row r="237">
      <c r="A237" s="27"/>
      <c r="B237" s="35"/>
      <c r="C237" s="27"/>
      <c r="D237" s="35"/>
      <c r="E237" s="31" t="str">
        <f t="shared" si="2"/>
        <v/>
      </c>
      <c r="F237" s="5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</row>
    <row r="238">
      <c r="A238" s="27"/>
      <c r="B238" s="35"/>
      <c r="C238" s="27"/>
      <c r="D238" s="35"/>
      <c r="E238" s="31" t="str">
        <f t="shared" si="2"/>
        <v/>
      </c>
      <c r="F238" s="5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</row>
    <row r="239">
      <c r="A239" s="27"/>
      <c r="B239" s="35"/>
      <c r="C239" s="27"/>
      <c r="D239" s="35"/>
      <c r="E239" s="31" t="str">
        <f t="shared" si="2"/>
        <v/>
      </c>
      <c r="F239" s="5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</row>
    <row r="240">
      <c r="A240" s="27"/>
      <c r="B240" s="35"/>
      <c r="C240" s="27"/>
      <c r="D240" s="35"/>
      <c r="E240" s="31" t="str">
        <f t="shared" si="2"/>
        <v/>
      </c>
      <c r="F240" s="5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</row>
    <row r="241">
      <c r="A241" s="27"/>
      <c r="B241" s="35"/>
      <c r="C241" s="27"/>
      <c r="D241" s="35"/>
      <c r="E241" s="31" t="str">
        <f t="shared" si="2"/>
        <v/>
      </c>
      <c r="F241" s="5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</row>
    <row r="242">
      <c r="A242" s="27"/>
      <c r="B242" s="35"/>
      <c r="C242" s="27"/>
      <c r="D242" s="35"/>
      <c r="E242" s="31" t="str">
        <f t="shared" si="2"/>
        <v/>
      </c>
      <c r="F242" s="5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</row>
    <row r="243">
      <c r="A243" s="27"/>
      <c r="B243" s="35"/>
      <c r="C243" s="27"/>
      <c r="D243" s="35"/>
      <c r="E243" s="31" t="str">
        <f t="shared" si="2"/>
        <v/>
      </c>
      <c r="F243" s="5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</row>
    <row r="244">
      <c r="A244" s="27"/>
      <c r="B244" s="35"/>
      <c r="C244" s="27"/>
      <c r="D244" s="35"/>
      <c r="E244" s="31" t="str">
        <f t="shared" si="2"/>
        <v/>
      </c>
      <c r="F244" s="5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</row>
    <row r="245">
      <c r="A245" s="27"/>
      <c r="B245" s="35"/>
      <c r="C245" s="27"/>
      <c r="D245" s="35"/>
      <c r="E245" s="31" t="str">
        <f t="shared" si="2"/>
        <v/>
      </c>
      <c r="F245" s="5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</row>
    <row r="246">
      <c r="A246" s="27"/>
      <c r="B246" s="35"/>
      <c r="C246" s="27"/>
      <c r="D246" s="35"/>
      <c r="E246" s="31" t="str">
        <f t="shared" si="2"/>
        <v/>
      </c>
      <c r="F246" s="5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</row>
    <row r="247">
      <c r="A247" s="27"/>
      <c r="B247" s="35"/>
      <c r="C247" s="27"/>
      <c r="D247" s="35"/>
      <c r="E247" s="31" t="str">
        <f t="shared" si="2"/>
        <v/>
      </c>
      <c r="F247" s="5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</row>
    <row r="248">
      <c r="A248" s="27"/>
      <c r="B248" s="35"/>
      <c r="C248" s="27"/>
      <c r="D248" s="35"/>
      <c r="E248" s="31" t="str">
        <f t="shared" si="2"/>
        <v/>
      </c>
      <c r="F248" s="5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</row>
    <row r="249">
      <c r="A249" s="27"/>
      <c r="B249" s="35"/>
      <c r="C249" s="27"/>
      <c r="D249" s="35"/>
      <c r="E249" s="31" t="str">
        <f t="shared" si="2"/>
        <v/>
      </c>
      <c r="F249" s="5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</row>
    <row r="250">
      <c r="A250" s="27"/>
      <c r="B250" s="35"/>
      <c r="C250" s="27"/>
      <c r="D250" s="35"/>
      <c r="E250" s="31" t="str">
        <f t="shared" si="2"/>
        <v/>
      </c>
      <c r="F250" s="5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</row>
    <row r="251">
      <c r="A251" s="27"/>
      <c r="B251" s="35"/>
      <c r="C251" s="27"/>
      <c r="D251" s="35"/>
      <c r="E251" s="31" t="str">
        <f t="shared" si="2"/>
        <v/>
      </c>
      <c r="F251" s="5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</row>
    <row r="252">
      <c r="A252" s="27"/>
      <c r="B252" s="35"/>
      <c r="C252" s="27"/>
      <c r="D252" s="35"/>
      <c r="E252" s="31" t="str">
        <f t="shared" si="2"/>
        <v/>
      </c>
      <c r="F252" s="5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</row>
    <row r="253">
      <c r="A253" s="27"/>
      <c r="B253" s="35"/>
      <c r="C253" s="27"/>
      <c r="D253" s="35"/>
      <c r="E253" s="31" t="str">
        <f t="shared" si="2"/>
        <v/>
      </c>
      <c r="F253" s="5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</row>
    <row r="254">
      <c r="A254" s="27"/>
      <c r="B254" s="35"/>
      <c r="C254" s="27"/>
      <c r="D254" s="35"/>
      <c r="E254" s="31" t="str">
        <f t="shared" si="2"/>
        <v/>
      </c>
      <c r="F254" s="5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</row>
    <row r="255">
      <c r="A255" s="27"/>
      <c r="B255" s="35"/>
      <c r="C255" s="27"/>
      <c r="D255" s="35"/>
      <c r="E255" s="31" t="str">
        <f t="shared" si="2"/>
        <v/>
      </c>
      <c r="F255" s="5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</row>
    <row r="256">
      <c r="A256" s="27"/>
      <c r="B256" s="35"/>
      <c r="C256" s="27"/>
      <c r="D256" s="35"/>
      <c r="E256" s="31" t="str">
        <f t="shared" si="2"/>
        <v/>
      </c>
      <c r="F256" s="5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</row>
    <row r="257">
      <c r="A257" s="27"/>
      <c r="B257" s="35"/>
      <c r="C257" s="27"/>
      <c r="D257" s="35"/>
      <c r="E257" s="31" t="str">
        <f t="shared" si="2"/>
        <v/>
      </c>
      <c r="F257" s="5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</row>
    <row r="258">
      <c r="A258" s="27"/>
      <c r="B258" s="35"/>
      <c r="C258" s="27"/>
      <c r="D258" s="35"/>
      <c r="E258" s="31" t="str">
        <f t="shared" si="2"/>
        <v/>
      </c>
      <c r="F258" s="5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</row>
    <row r="259">
      <c r="A259" s="27"/>
      <c r="B259" s="35"/>
      <c r="C259" s="27"/>
      <c r="D259" s="35"/>
      <c r="E259" s="31" t="str">
        <f t="shared" si="2"/>
        <v/>
      </c>
      <c r="F259" s="5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</row>
    <row r="260">
      <c r="A260" s="27"/>
      <c r="B260" s="35"/>
      <c r="C260" s="27"/>
      <c r="D260" s="35"/>
      <c r="E260" s="31" t="str">
        <f t="shared" si="2"/>
        <v/>
      </c>
      <c r="F260" s="5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</row>
    <row r="261">
      <c r="A261" s="27"/>
      <c r="B261" s="35"/>
      <c r="C261" s="27"/>
      <c r="D261" s="35"/>
      <c r="E261" s="31" t="str">
        <f t="shared" si="2"/>
        <v/>
      </c>
      <c r="F261" s="5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</row>
    <row r="262">
      <c r="A262" s="27"/>
      <c r="B262" s="35"/>
      <c r="C262" s="27"/>
      <c r="D262" s="35"/>
      <c r="E262" s="31" t="str">
        <f t="shared" si="2"/>
        <v/>
      </c>
      <c r="F262" s="5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</row>
    <row r="263">
      <c r="A263" s="27"/>
      <c r="B263" s="35"/>
      <c r="C263" s="27"/>
      <c r="D263" s="35"/>
      <c r="E263" s="31" t="str">
        <f t="shared" si="2"/>
        <v/>
      </c>
      <c r="F263" s="5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</row>
    <row r="264">
      <c r="A264" s="27"/>
      <c r="B264" s="35"/>
      <c r="C264" s="27"/>
      <c r="D264" s="35"/>
      <c r="E264" s="31" t="str">
        <f t="shared" si="2"/>
        <v/>
      </c>
      <c r="F264" s="5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</row>
    <row r="265">
      <c r="A265" s="27"/>
      <c r="B265" s="35"/>
      <c r="C265" s="27"/>
      <c r="D265" s="35"/>
      <c r="E265" s="31" t="str">
        <f t="shared" si="2"/>
        <v/>
      </c>
      <c r="F265" s="5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</row>
    <row r="266">
      <c r="A266" s="27"/>
      <c r="B266" s="35"/>
      <c r="C266" s="27"/>
      <c r="D266" s="35"/>
      <c r="E266" s="31" t="str">
        <f t="shared" si="2"/>
        <v/>
      </c>
      <c r="F266" s="5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</row>
    <row r="267">
      <c r="A267" s="27"/>
      <c r="B267" s="35"/>
      <c r="C267" s="27"/>
      <c r="D267" s="35"/>
      <c r="E267" s="31" t="str">
        <f t="shared" si="2"/>
        <v/>
      </c>
      <c r="F267" s="5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</row>
    <row r="268">
      <c r="A268" s="27"/>
      <c r="B268" s="35"/>
      <c r="C268" s="27"/>
      <c r="D268" s="35"/>
      <c r="E268" s="31" t="str">
        <f t="shared" si="2"/>
        <v/>
      </c>
      <c r="F268" s="5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</row>
    <row r="269">
      <c r="A269" s="27"/>
      <c r="B269" s="35"/>
      <c r="C269" s="27"/>
      <c r="D269" s="35"/>
      <c r="E269" s="31" t="str">
        <f t="shared" si="2"/>
        <v/>
      </c>
      <c r="F269" s="5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</row>
    <row r="270">
      <c r="A270" s="27"/>
      <c r="B270" s="35"/>
      <c r="C270" s="27"/>
      <c r="D270" s="35"/>
      <c r="E270" s="31" t="str">
        <f t="shared" si="2"/>
        <v/>
      </c>
      <c r="F270" s="5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</row>
    <row r="271">
      <c r="A271" s="27"/>
      <c r="B271" s="35"/>
      <c r="C271" s="27"/>
      <c r="D271" s="35"/>
      <c r="E271" s="31" t="str">
        <f t="shared" si="2"/>
        <v/>
      </c>
      <c r="F271" s="5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</row>
    <row r="272">
      <c r="A272" s="27"/>
      <c r="B272" s="35"/>
      <c r="C272" s="27"/>
      <c r="D272" s="35"/>
      <c r="E272" s="31" t="str">
        <f t="shared" si="2"/>
        <v/>
      </c>
      <c r="F272" s="5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</row>
    <row r="273">
      <c r="A273" s="27"/>
      <c r="B273" s="35"/>
      <c r="C273" s="27"/>
      <c r="D273" s="35"/>
      <c r="E273" s="31" t="str">
        <f t="shared" si="2"/>
        <v/>
      </c>
      <c r="F273" s="5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</row>
    <row r="274">
      <c r="A274" s="27"/>
      <c r="B274" s="35"/>
      <c r="C274" s="27"/>
      <c r="D274" s="35"/>
      <c r="E274" s="31" t="str">
        <f t="shared" si="2"/>
        <v/>
      </c>
      <c r="F274" s="5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</row>
    <row r="275">
      <c r="A275" s="27"/>
      <c r="B275" s="35"/>
      <c r="C275" s="27"/>
      <c r="D275" s="35"/>
      <c r="E275" s="31" t="str">
        <f t="shared" si="2"/>
        <v/>
      </c>
      <c r="F275" s="5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</row>
    <row r="276">
      <c r="A276" s="27"/>
      <c r="B276" s="35"/>
      <c r="C276" s="27"/>
      <c r="D276" s="35"/>
      <c r="E276" s="31" t="str">
        <f t="shared" si="2"/>
        <v/>
      </c>
      <c r="F276" s="5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</row>
    <row r="277">
      <c r="A277" s="27"/>
      <c r="B277" s="35"/>
      <c r="C277" s="27"/>
      <c r="D277" s="35"/>
      <c r="E277" s="31" t="str">
        <f t="shared" si="2"/>
        <v/>
      </c>
      <c r="F277" s="5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</row>
    <row r="278">
      <c r="A278" s="27"/>
      <c r="B278" s="35"/>
      <c r="C278" s="27"/>
      <c r="D278" s="35"/>
      <c r="E278" s="31" t="str">
        <f t="shared" si="2"/>
        <v/>
      </c>
      <c r="F278" s="5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</row>
    <row r="279">
      <c r="A279" s="27"/>
      <c r="B279" s="35"/>
      <c r="C279" s="27"/>
      <c r="D279" s="35"/>
      <c r="E279" s="31" t="str">
        <f t="shared" si="2"/>
        <v/>
      </c>
      <c r="F279" s="5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</row>
    <row r="280">
      <c r="A280" s="27"/>
      <c r="B280" s="35"/>
      <c r="C280" s="27"/>
      <c r="D280" s="35"/>
      <c r="E280" s="31" t="str">
        <f t="shared" si="2"/>
        <v/>
      </c>
      <c r="F280" s="5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</row>
    <row r="281">
      <c r="A281" s="27"/>
      <c r="B281" s="35"/>
      <c r="C281" s="27"/>
      <c r="D281" s="35"/>
      <c r="E281" s="31" t="str">
        <f t="shared" si="2"/>
        <v/>
      </c>
      <c r="F281" s="5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</row>
    <row r="282">
      <c r="A282" s="27"/>
      <c r="B282" s="35"/>
      <c r="C282" s="27"/>
      <c r="D282" s="35"/>
      <c r="E282" s="31" t="str">
        <f t="shared" si="2"/>
        <v/>
      </c>
      <c r="F282" s="5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</row>
    <row r="283">
      <c r="A283" s="27"/>
      <c r="B283" s="35"/>
      <c r="C283" s="27"/>
      <c r="D283" s="35"/>
      <c r="E283" s="31" t="str">
        <f t="shared" si="2"/>
        <v/>
      </c>
      <c r="F283" s="5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</row>
    <row r="284">
      <c r="A284" s="27"/>
      <c r="B284" s="35"/>
      <c r="C284" s="27"/>
      <c r="D284" s="35"/>
      <c r="E284" s="31" t="str">
        <f t="shared" si="2"/>
        <v/>
      </c>
      <c r="F284" s="5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</row>
    <row r="285">
      <c r="A285" s="27"/>
      <c r="B285" s="35"/>
      <c r="C285" s="27"/>
      <c r="D285" s="35"/>
      <c r="E285" s="31" t="str">
        <f t="shared" si="2"/>
        <v/>
      </c>
      <c r="F285" s="5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</row>
    <row r="286">
      <c r="A286" s="27"/>
      <c r="B286" s="35"/>
      <c r="C286" s="27"/>
      <c r="D286" s="35"/>
      <c r="E286" s="31" t="str">
        <f t="shared" si="2"/>
        <v/>
      </c>
      <c r="F286" s="5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</row>
    <row r="287">
      <c r="A287" s="27"/>
      <c r="B287" s="35"/>
      <c r="C287" s="27"/>
      <c r="D287" s="35"/>
      <c r="E287" s="31" t="str">
        <f t="shared" si="2"/>
        <v/>
      </c>
      <c r="F287" s="5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</row>
    <row r="288">
      <c r="A288" s="27"/>
      <c r="B288" s="35"/>
      <c r="C288" s="27"/>
      <c r="D288" s="35"/>
      <c r="E288" s="31" t="str">
        <f t="shared" si="2"/>
        <v/>
      </c>
      <c r="F288" s="5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</row>
    <row r="289">
      <c r="A289" s="27"/>
      <c r="B289" s="35"/>
      <c r="C289" s="27"/>
      <c r="D289" s="35"/>
      <c r="E289" s="31" t="str">
        <f t="shared" si="2"/>
        <v/>
      </c>
      <c r="F289" s="5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</row>
    <row r="290">
      <c r="A290" s="27"/>
      <c r="B290" s="35"/>
      <c r="C290" s="27"/>
      <c r="D290" s="35"/>
      <c r="E290" s="31" t="str">
        <f t="shared" si="2"/>
        <v/>
      </c>
      <c r="F290" s="5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</row>
    <row r="291">
      <c r="A291" s="27"/>
      <c r="B291" s="35"/>
      <c r="C291" s="27"/>
      <c r="D291" s="35"/>
      <c r="E291" s="31" t="str">
        <f t="shared" si="2"/>
        <v/>
      </c>
      <c r="F291" s="5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</row>
    <row r="292">
      <c r="A292" s="27"/>
      <c r="B292" s="35"/>
      <c r="C292" s="27"/>
      <c r="D292" s="35"/>
      <c r="E292" s="31" t="str">
        <f t="shared" si="2"/>
        <v/>
      </c>
      <c r="F292" s="5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</row>
    <row r="293">
      <c r="A293" s="27"/>
      <c r="B293" s="35"/>
      <c r="C293" s="27"/>
      <c r="D293" s="35"/>
      <c r="E293" s="31" t="str">
        <f t="shared" si="2"/>
        <v/>
      </c>
      <c r="F293" s="5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</row>
    <row r="294">
      <c r="A294" s="27"/>
      <c r="B294" s="35"/>
      <c r="C294" s="27"/>
      <c r="D294" s="35"/>
      <c r="E294" s="31"/>
      <c r="F294" s="5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</row>
    <row r="295">
      <c r="A295" s="27"/>
      <c r="B295" s="35"/>
      <c r="C295" s="27"/>
      <c r="D295" s="35"/>
      <c r="E295" s="31"/>
      <c r="F295" s="5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</row>
    <row r="296">
      <c r="A296" s="27"/>
      <c r="B296" s="35"/>
      <c r="C296" s="27"/>
      <c r="D296" s="35"/>
      <c r="E296" s="31"/>
      <c r="F296" s="5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</row>
    <row r="297">
      <c r="A297" s="27"/>
      <c r="B297" s="35"/>
      <c r="C297" s="27"/>
      <c r="D297" s="35"/>
      <c r="E297" s="31"/>
      <c r="F297" s="5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</row>
    <row r="298">
      <c r="A298" s="27"/>
      <c r="B298" s="35"/>
      <c r="C298" s="27"/>
      <c r="D298" s="35"/>
      <c r="E298" s="31"/>
      <c r="F298" s="5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</row>
    <row r="299">
      <c r="A299" s="27"/>
      <c r="B299" s="35"/>
      <c r="C299" s="27"/>
      <c r="D299" s="35"/>
      <c r="E299" s="31"/>
      <c r="F299" s="5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</row>
    <row r="300">
      <c r="A300" s="27"/>
      <c r="B300" s="35"/>
      <c r="C300" s="27"/>
      <c r="D300" s="35"/>
      <c r="E300" s="31"/>
      <c r="F300" s="5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</row>
    <row r="301">
      <c r="A301" s="27"/>
      <c r="B301" s="35"/>
      <c r="C301" s="27"/>
      <c r="D301" s="35"/>
      <c r="E301" s="31"/>
      <c r="F301" s="5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</row>
    <row r="302">
      <c r="A302" s="27"/>
      <c r="B302" s="35"/>
      <c r="C302" s="27"/>
      <c r="D302" s="35"/>
      <c r="E302" s="31"/>
      <c r="F302" s="5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</row>
    <row r="303">
      <c r="A303" s="27"/>
      <c r="B303" s="35"/>
      <c r="C303" s="27"/>
      <c r="D303" s="35"/>
      <c r="E303" s="31"/>
      <c r="F303" s="5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</row>
    <row r="304">
      <c r="A304" s="27"/>
      <c r="B304" s="35"/>
      <c r="C304" s="27"/>
      <c r="D304" s="35"/>
      <c r="E304" s="31"/>
      <c r="F304" s="5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</row>
    <row r="305">
      <c r="A305" s="27"/>
      <c r="B305" s="35"/>
      <c r="C305" s="27"/>
      <c r="D305" s="35"/>
      <c r="E305" s="31"/>
      <c r="F305" s="5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</row>
    <row r="306">
      <c r="A306" s="27"/>
      <c r="B306" s="35"/>
      <c r="C306" s="27"/>
      <c r="D306" s="35"/>
      <c r="E306" s="31"/>
      <c r="F306" s="5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</row>
    <row r="307">
      <c r="A307" s="27"/>
      <c r="B307" s="35"/>
      <c r="C307" s="27"/>
      <c r="D307" s="35"/>
      <c r="E307" s="31"/>
      <c r="F307" s="5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</row>
    <row r="308">
      <c r="A308" s="27"/>
      <c r="B308" s="35"/>
      <c r="C308" s="27"/>
      <c r="D308" s="35"/>
      <c r="E308" s="31"/>
      <c r="F308" s="5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</row>
    <row r="309">
      <c r="A309" s="27"/>
      <c r="B309" s="35"/>
      <c r="C309" s="27"/>
      <c r="D309" s="35"/>
      <c r="E309" s="31"/>
      <c r="F309" s="5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</row>
    <row r="310">
      <c r="A310" s="27"/>
      <c r="B310" s="35"/>
      <c r="C310" s="27"/>
      <c r="D310" s="35"/>
      <c r="E310" s="31"/>
      <c r="F310" s="5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</row>
    <row r="311">
      <c r="A311" s="27"/>
      <c r="B311" s="35"/>
      <c r="C311" s="27"/>
      <c r="D311" s="35"/>
      <c r="E311" s="31"/>
      <c r="F311" s="5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</row>
    <row r="312">
      <c r="A312" s="27"/>
      <c r="B312" s="35"/>
      <c r="C312" s="27"/>
      <c r="D312" s="35"/>
      <c r="E312" s="31"/>
      <c r="F312" s="5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</row>
    <row r="313">
      <c r="A313" s="27"/>
      <c r="B313" s="35"/>
      <c r="C313" s="27"/>
      <c r="D313" s="35"/>
      <c r="E313" s="31"/>
      <c r="F313" s="5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</row>
    <row r="314">
      <c r="A314" s="27"/>
      <c r="B314" s="35"/>
      <c r="C314" s="27"/>
      <c r="D314" s="35"/>
      <c r="E314" s="31"/>
      <c r="F314" s="5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</row>
    <row r="315">
      <c r="A315" s="27"/>
      <c r="B315" s="35"/>
      <c r="C315" s="27"/>
      <c r="D315" s="35"/>
      <c r="E315" s="31"/>
      <c r="F315" s="5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</row>
    <row r="316">
      <c r="A316" s="27"/>
      <c r="B316" s="35"/>
      <c r="C316" s="27"/>
      <c r="D316" s="35"/>
      <c r="E316" s="31"/>
      <c r="F316" s="5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</row>
    <row r="317">
      <c r="A317" s="27"/>
      <c r="B317" s="35"/>
      <c r="C317" s="27"/>
      <c r="D317" s="35"/>
      <c r="E317" s="31"/>
      <c r="F317" s="5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</row>
    <row r="318">
      <c r="A318" s="27"/>
      <c r="B318" s="35"/>
      <c r="C318" s="27"/>
      <c r="D318" s="35"/>
      <c r="E318" s="31"/>
      <c r="F318" s="5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</row>
    <row r="319">
      <c r="A319" s="27"/>
      <c r="B319" s="35"/>
      <c r="C319" s="27"/>
      <c r="D319" s="35"/>
      <c r="E319" s="31"/>
      <c r="F319" s="5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</row>
    <row r="320">
      <c r="A320" s="27"/>
      <c r="B320" s="35"/>
      <c r="C320" s="27"/>
      <c r="D320" s="35"/>
      <c r="E320" s="31"/>
      <c r="F320" s="5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</row>
    <row r="321">
      <c r="A321" s="27"/>
      <c r="B321" s="35"/>
      <c r="C321" s="27"/>
      <c r="D321" s="35"/>
      <c r="E321" s="31"/>
      <c r="F321" s="5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</row>
    <row r="322">
      <c r="A322" s="27"/>
      <c r="B322" s="35"/>
      <c r="C322" s="27"/>
      <c r="D322" s="35"/>
      <c r="E322" s="31"/>
      <c r="F322" s="5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</row>
    <row r="323">
      <c r="A323" s="27"/>
      <c r="B323" s="35"/>
      <c r="C323" s="27"/>
      <c r="D323" s="35"/>
      <c r="E323" s="31"/>
      <c r="F323" s="5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</row>
    <row r="324">
      <c r="A324" s="27"/>
      <c r="B324" s="35"/>
      <c r="C324" s="27"/>
      <c r="D324" s="35"/>
      <c r="E324" s="31"/>
      <c r="F324" s="5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</row>
    <row r="325">
      <c r="A325" s="27"/>
      <c r="B325" s="35"/>
      <c r="C325" s="27"/>
      <c r="D325" s="35"/>
      <c r="E325" s="31"/>
      <c r="F325" s="5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</row>
    <row r="326">
      <c r="A326" s="27"/>
      <c r="B326" s="35"/>
      <c r="C326" s="27"/>
      <c r="D326" s="35"/>
      <c r="E326" s="31"/>
      <c r="F326" s="5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</row>
    <row r="327">
      <c r="A327" s="27"/>
      <c r="B327" s="35"/>
      <c r="C327" s="27"/>
      <c r="D327" s="35"/>
      <c r="E327" s="31"/>
      <c r="F327" s="5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</row>
    <row r="328">
      <c r="A328" s="27"/>
      <c r="B328" s="35"/>
      <c r="C328" s="27"/>
      <c r="D328" s="35"/>
      <c r="E328" s="31"/>
      <c r="F328" s="5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</row>
    <row r="329">
      <c r="A329" s="27"/>
      <c r="B329" s="35"/>
      <c r="C329" s="27"/>
      <c r="D329" s="35"/>
      <c r="E329" s="31"/>
      <c r="F329" s="5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</row>
    <row r="330">
      <c r="A330" s="27"/>
      <c r="B330" s="35"/>
      <c r="C330" s="27"/>
      <c r="D330" s="35"/>
      <c r="E330" s="31"/>
      <c r="F330" s="5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</row>
    <row r="331">
      <c r="A331" s="27"/>
      <c r="B331" s="35"/>
      <c r="C331" s="27"/>
      <c r="D331" s="35"/>
      <c r="E331" s="31"/>
      <c r="F331" s="5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</row>
    <row r="332">
      <c r="A332" s="27"/>
      <c r="B332" s="35"/>
      <c r="C332" s="27"/>
      <c r="D332" s="35"/>
      <c r="E332" s="31"/>
      <c r="F332" s="5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</row>
    <row r="333">
      <c r="A333" s="27"/>
      <c r="B333" s="35"/>
      <c r="C333" s="27"/>
      <c r="D333" s="35"/>
      <c r="E333" s="31"/>
      <c r="F333" s="5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</row>
    <row r="334">
      <c r="A334" s="27"/>
      <c r="B334" s="35"/>
      <c r="C334" s="27"/>
      <c r="D334" s="35"/>
      <c r="E334" s="31"/>
      <c r="F334" s="5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</row>
    <row r="335">
      <c r="A335" s="27"/>
      <c r="B335" s="35"/>
      <c r="C335" s="27"/>
      <c r="D335" s="35"/>
      <c r="E335" s="31"/>
      <c r="F335" s="5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</row>
    <row r="336">
      <c r="A336" s="27"/>
      <c r="B336" s="35"/>
      <c r="C336" s="27"/>
      <c r="D336" s="35"/>
      <c r="E336" s="31"/>
      <c r="F336" s="5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</row>
    <row r="337">
      <c r="A337" s="27"/>
      <c r="B337" s="35"/>
      <c r="C337" s="27"/>
      <c r="D337" s="35"/>
      <c r="E337" s="31"/>
      <c r="F337" s="5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</row>
    <row r="338">
      <c r="A338" s="27"/>
      <c r="B338" s="35"/>
      <c r="C338" s="27"/>
      <c r="D338" s="35"/>
      <c r="E338" s="31"/>
      <c r="F338" s="5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</row>
    <row r="339">
      <c r="A339" s="27"/>
      <c r="B339" s="35"/>
      <c r="C339" s="27"/>
      <c r="D339" s="35"/>
      <c r="E339" s="31"/>
      <c r="F339" s="5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</row>
    <row r="340">
      <c r="A340" s="27"/>
      <c r="B340" s="35"/>
      <c r="C340" s="27"/>
      <c r="D340" s="35"/>
      <c r="E340" s="31"/>
      <c r="F340" s="5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</row>
    <row r="341">
      <c r="A341" s="27"/>
      <c r="B341" s="35"/>
      <c r="C341" s="27"/>
      <c r="D341" s="35"/>
      <c r="E341" s="31"/>
      <c r="F341" s="5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</row>
    <row r="342">
      <c r="A342" s="27"/>
      <c r="B342" s="35"/>
      <c r="C342" s="27"/>
      <c r="D342" s="35"/>
      <c r="E342" s="31"/>
      <c r="F342" s="5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</row>
    <row r="343">
      <c r="A343" s="27"/>
      <c r="B343" s="35"/>
      <c r="C343" s="27"/>
      <c r="D343" s="35"/>
      <c r="E343" s="31"/>
      <c r="F343" s="5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</row>
    <row r="344">
      <c r="A344" s="27"/>
      <c r="B344" s="35"/>
      <c r="C344" s="27"/>
      <c r="D344" s="35"/>
      <c r="E344" s="31"/>
      <c r="F344" s="5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</row>
    <row r="345">
      <c r="A345" s="27"/>
      <c r="B345" s="35"/>
      <c r="C345" s="27"/>
      <c r="D345" s="35"/>
      <c r="E345" s="31"/>
      <c r="F345" s="5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</row>
    <row r="346">
      <c r="A346" s="27"/>
      <c r="B346" s="35"/>
      <c r="C346" s="27"/>
      <c r="D346" s="35"/>
      <c r="E346" s="31"/>
      <c r="F346" s="5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</row>
    <row r="347">
      <c r="A347" s="27"/>
      <c r="B347" s="35"/>
      <c r="C347" s="27"/>
      <c r="D347" s="35"/>
      <c r="E347" s="31"/>
      <c r="F347" s="5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</row>
    <row r="348">
      <c r="A348" s="27"/>
      <c r="B348" s="35"/>
      <c r="C348" s="27"/>
      <c r="D348" s="35"/>
      <c r="E348" s="31"/>
      <c r="F348" s="5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</row>
    <row r="349">
      <c r="A349" s="27"/>
      <c r="B349" s="35"/>
      <c r="C349" s="27"/>
      <c r="D349" s="35"/>
      <c r="E349" s="31"/>
      <c r="F349" s="5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</row>
    <row r="350">
      <c r="A350" s="27"/>
      <c r="B350" s="35"/>
      <c r="C350" s="27"/>
      <c r="D350" s="35"/>
      <c r="E350" s="31"/>
      <c r="F350" s="5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</row>
    <row r="351">
      <c r="A351" s="27"/>
      <c r="B351" s="35"/>
      <c r="C351" s="27"/>
      <c r="D351" s="35"/>
      <c r="E351" s="31"/>
      <c r="F351" s="5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</row>
    <row r="352">
      <c r="A352" s="27"/>
      <c r="B352" s="35"/>
      <c r="C352" s="27"/>
      <c r="D352" s="35"/>
      <c r="E352" s="31"/>
      <c r="F352" s="5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</row>
    <row r="353">
      <c r="A353" s="27"/>
      <c r="B353" s="35"/>
      <c r="C353" s="27"/>
      <c r="D353" s="35"/>
      <c r="E353" s="31"/>
      <c r="F353" s="5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</row>
    <row r="354">
      <c r="A354" s="27"/>
      <c r="B354" s="35"/>
      <c r="C354" s="27"/>
      <c r="D354" s="35"/>
      <c r="E354" s="31"/>
      <c r="F354" s="5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</row>
    <row r="355">
      <c r="A355" s="27"/>
      <c r="B355" s="35"/>
      <c r="C355" s="27"/>
      <c r="D355" s="35"/>
      <c r="E355" s="31"/>
      <c r="F355" s="5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</row>
    <row r="356">
      <c r="A356" s="27"/>
      <c r="B356" s="35"/>
      <c r="C356" s="27"/>
      <c r="D356" s="35"/>
      <c r="E356" s="31"/>
      <c r="F356" s="5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</row>
    <row r="357">
      <c r="A357" s="27"/>
      <c r="B357" s="35"/>
      <c r="C357" s="27"/>
      <c r="D357" s="35"/>
      <c r="E357" s="31"/>
      <c r="F357" s="5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</row>
    <row r="358">
      <c r="A358" s="27"/>
      <c r="B358" s="35"/>
      <c r="C358" s="27"/>
      <c r="D358" s="35"/>
      <c r="E358" s="31"/>
      <c r="F358" s="5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</row>
    <row r="359">
      <c r="A359" s="27"/>
      <c r="B359" s="35"/>
      <c r="C359" s="27"/>
      <c r="D359" s="35"/>
      <c r="E359" s="31"/>
      <c r="F359" s="5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</row>
    <row r="360">
      <c r="A360" s="27"/>
      <c r="B360" s="35"/>
      <c r="C360" s="27"/>
      <c r="D360" s="35"/>
      <c r="E360" s="31"/>
      <c r="F360" s="5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</row>
    <row r="361">
      <c r="A361" s="27"/>
      <c r="B361" s="35"/>
      <c r="C361" s="27"/>
      <c r="D361" s="35"/>
      <c r="E361" s="31"/>
      <c r="F361" s="5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</row>
    <row r="362">
      <c r="A362" s="27"/>
      <c r="B362" s="35"/>
      <c r="C362" s="27"/>
      <c r="D362" s="35"/>
      <c r="E362" s="31"/>
      <c r="F362" s="5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</row>
    <row r="363">
      <c r="A363" s="27"/>
      <c r="B363" s="35"/>
      <c r="C363" s="27"/>
      <c r="D363" s="35"/>
      <c r="E363" s="31"/>
      <c r="F363" s="5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</row>
    <row r="364">
      <c r="A364" s="27"/>
      <c r="B364" s="35"/>
      <c r="C364" s="27"/>
      <c r="D364" s="35"/>
      <c r="E364" s="31"/>
      <c r="F364" s="5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</row>
    <row r="365">
      <c r="A365" s="27"/>
      <c r="B365" s="35"/>
      <c r="C365" s="27"/>
      <c r="D365" s="35"/>
      <c r="E365" s="31"/>
      <c r="F365" s="5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</row>
    <row r="366">
      <c r="A366" s="27"/>
      <c r="B366" s="35"/>
      <c r="C366" s="27"/>
      <c r="D366" s="35"/>
      <c r="E366" s="31"/>
      <c r="F366" s="5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</row>
    <row r="367">
      <c r="A367" s="27"/>
      <c r="B367" s="35"/>
      <c r="C367" s="27"/>
      <c r="D367" s="35"/>
      <c r="E367" s="31"/>
      <c r="F367" s="5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</row>
    <row r="368">
      <c r="A368" s="27"/>
      <c r="B368" s="35"/>
      <c r="C368" s="27"/>
      <c r="D368" s="35"/>
      <c r="E368" s="31"/>
      <c r="F368" s="5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</row>
    <row r="369">
      <c r="A369" s="27"/>
      <c r="B369" s="35"/>
      <c r="C369" s="27"/>
      <c r="D369" s="35"/>
      <c r="E369" s="31"/>
      <c r="F369" s="5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</row>
    <row r="370">
      <c r="A370" s="27"/>
      <c r="B370" s="35"/>
      <c r="C370" s="27"/>
      <c r="D370" s="35"/>
      <c r="E370" s="31"/>
      <c r="F370" s="5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</row>
    <row r="371">
      <c r="A371" s="27"/>
      <c r="B371" s="35"/>
      <c r="C371" s="27"/>
      <c r="D371" s="35"/>
      <c r="E371" s="31"/>
      <c r="F371" s="5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</row>
    <row r="372">
      <c r="A372" s="27"/>
      <c r="B372" s="35"/>
      <c r="C372" s="27"/>
      <c r="D372" s="35"/>
      <c r="E372" s="31"/>
      <c r="F372" s="5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</row>
    <row r="373">
      <c r="A373" s="27"/>
      <c r="B373" s="35"/>
      <c r="C373" s="27"/>
      <c r="D373" s="35"/>
      <c r="E373" s="31"/>
      <c r="F373" s="5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</row>
    <row r="374">
      <c r="A374" s="27"/>
      <c r="B374" s="35"/>
      <c r="C374" s="27"/>
      <c r="D374" s="35"/>
      <c r="E374" s="31"/>
      <c r="F374" s="5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</row>
    <row r="375">
      <c r="A375" s="27"/>
      <c r="B375" s="35"/>
      <c r="C375" s="27"/>
      <c r="D375" s="35"/>
      <c r="E375" s="31"/>
      <c r="F375" s="5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</row>
    <row r="376">
      <c r="A376" s="27"/>
      <c r="B376" s="35"/>
      <c r="C376" s="27"/>
      <c r="D376" s="35"/>
      <c r="E376" s="31"/>
      <c r="F376" s="5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</row>
    <row r="377">
      <c r="A377" s="27"/>
      <c r="B377" s="35"/>
      <c r="C377" s="27"/>
      <c r="D377" s="35"/>
      <c r="E377" s="31"/>
      <c r="F377" s="5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</row>
    <row r="378">
      <c r="A378" s="27"/>
      <c r="B378" s="35"/>
      <c r="C378" s="27"/>
      <c r="D378" s="35"/>
      <c r="E378" s="31"/>
      <c r="F378" s="5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</row>
    <row r="379">
      <c r="A379" s="27"/>
      <c r="B379" s="35"/>
      <c r="C379" s="27"/>
      <c r="D379" s="35"/>
      <c r="E379" s="31"/>
      <c r="F379" s="5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</row>
    <row r="380">
      <c r="A380" s="27"/>
      <c r="B380" s="35"/>
      <c r="C380" s="27"/>
      <c r="D380" s="35"/>
      <c r="E380" s="31"/>
      <c r="F380" s="5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</row>
    <row r="381">
      <c r="A381" s="27"/>
      <c r="B381" s="35"/>
      <c r="C381" s="27"/>
      <c r="D381" s="35"/>
      <c r="E381" s="31"/>
      <c r="F381" s="5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</row>
    <row r="382">
      <c r="A382" s="27"/>
      <c r="B382" s="35"/>
      <c r="C382" s="27"/>
      <c r="D382" s="35"/>
      <c r="E382" s="31"/>
      <c r="F382" s="5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</row>
    <row r="383">
      <c r="A383" s="27"/>
      <c r="B383" s="35"/>
      <c r="C383" s="27"/>
      <c r="D383" s="35"/>
      <c r="E383" s="31"/>
      <c r="F383" s="5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</row>
    <row r="384">
      <c r="A384" s="27"/>
      <c r="B384" s="35"/>
      <c r="C384" s="27"/>
      <c r="D384" s="35"/>
      <c r="E384" s="31"/>
      <c r="F384" s="5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</row>
    <row r="385">
      <c r="A385" s="27"/>
      <c r="B385" s="35"/>
      <c r="C385" s="27"/>
      <c r="D385" s="35"/>
      <c r="E385" s="31"/>
      <c r="F385" s="5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</row>
    <row r="386">
      <c r="A386" s="27"/>
      <c r="B386" s="35"/>
      <c r="C386" s="27"/>
      <c r="D386" s="35"/>
      <c r="E386" s="31"/>
      <c r="F386" s="5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</row>
    <row r="387">
      <c r="A387" s="27"/>
      <c r="B387" s="35"/>
      <c r="C387" s="27"/>
      <c r="D387" s="35"/>
      <c r="E387" s="31"/>
      <c r="F387" s="5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</row>
    <row r="388">
      <c r="A388" s="27"/>
      <c r="B388" s="35"/>
      <c r="C388" s="27"/>
      <c r="D388" s="35"/>
      <c r="E388" s="31"/>
      <c r="F388" s="5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</row>
    <row r="389">
      <c r="A389" s="27"/>
      <c r="B389" s="35"/>
      <c r="C389" s="27"/>
      <c r="D389" s="35"/>
      <c r="E389" s="31"/>
      <c r="F389" s="5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</row>
    <row r="390">
      <c r="A390" s="27"/>
      <c r="B390" s="35"/>
      <c r="C390" s="27"/>
      <c r="D390" s="35"/>
      <c r="E390" s="31"/>
      <c r="F390" s="5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</row>
    <row r="391">
      <c r="A391" s="27"/>
      <c r="B391" s="35"/>
      <c r="C391" s="27"/>
      <c r="D391" s="35"/>
      <c r="E391" s="31"/>
      <c r="F391" s="5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</row>
    <row r="392">
      <c r="A392" s="27"/>
      <c r="B392" s="35"/>
      <c r="C392" s="27"/>
      <c r="D392" s="35"/>
      <c r="E392" s="31"/>
      <c r="F392" s="5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</row>
    <row r="393">
      <c r="A393" s="27"/>
      <c r="B393" s="35"/>
      <c r="C393" s="27"/>
      <c r="D393" s="35"/>
      <c r="E393" s="31"/>
      <c r="F393" s="5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</row>
    <row r="394">
      <c r="A394" s="27"/>
      <c r="B394" s="35"/>
      <c r="C394" s="27"/>
      <c r="D394" s="35"/>
      <c r="E394" s="31"/>
      <c r="F394" s="5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</row>
    <row r="395">
      <c r="A395" s="27"/>
      <c r="B395" s="35"/>
      <c r="C395" s="27"/>
      <c r="D395" s="35"/>
      <c r="E395" s="31"/>
      <c r="F395" s="5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</row>
    <row r="396">
      <c r="A396" s="27"/>
      <c r="B396" s="35"/>
      <c r="C396" s="27"/>
      <c r="D396" s="35"/>
      <c r="E396" s="31"/>
      <c r="F396" s="5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</row>
    <row r="397">
      <c r="A397" s="27"/>
      <c r="B397" s="35"/>
      <c r="C397" s="27" t="str">
        <f t="shared" ref="C397:C500" si="3">IF(B397="", "", B397 * 1.1%)</f>
        <v/>
      </c>
      <c r="D397" s="35"/>
      <c r="E397" s="31" t="str">
        <f t="shared" ref="E397:E500" si="4">IF(A397="", "", E396 + D397 - B397)</f>
        <v/>
      </c>
      <c r="F397" s="5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</row>
    <row r="398">
      <c r="A398" s="27"/>
      <c r="B398" s="35"/>
      <c r="C398" s="27" t="str">
        <f t="shared" si="3"/>
        <v/>
      </c>
      <c r="D398" s="35"/>
      <c r="E398" s="31" t="str">
        <f t="shared" si="4"/>
        <v/>
      </c>
      <c r="F398" s="5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</row>
    <row r="399">
      <c r="A399" s="27"/>
      <c r="B399" s="35"/>
      <c r="C399" s="27" t="str">
        <f t="shared" si="3"/>
        <v/>
      </c>
      <c r="D399" s="35"/>
      <c r="E399" s="31" t="str">
        <f t="shared" si="4"/>
        <v/>
      </c>
      <c r="F399" s="5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</row>
    <row r="400">
      <c r="A400" s="27"/>
      <c r="B400" s="35"/>
      <c r="C400" s="27" t="str">
        <f t="shared" si="3"/>
        <v/>
      </c>
      <c r="D400" s="35"/>
      <c r="E400" s="31" t="str">
        <f t="shared" si="4"/>
        <v/>
      </c>
      <c r="F400" s="5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</row>
    <row r="401">
      <c r="A401" s="27"/>
      <c r="B401" s="35"/>
      <c r="C401" s="27" t="str">
        <f t="shared" si="3"/>
        <v/>
      </c>
      <c r="D401" s="35"/>
      <c r="E401" s="31" t="str">
        <f t="shared" si="4"/>
        <v/>
      </c>
      <c r="F401" s="5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</row>
    <row r="402">
      <c r="A402" s="27"/>
      <c r="B402" s="35"/>
      <c r="C402" s="27" t="str">
        <f t="shared" si="3"/>
        <v/>
      </c>
      <c r="D402" s="35"/>
      <c r="E402" s="31" t="str">
        <f t="shared" si="4"/>
        <v/>
      </c>
      <c r="F402" s="5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</row>
    <row r="403">
      <c r="A403" s="27"/>
      <c r="B403" s="35"/>
      <c r="C403" s="27" t="str">
        <f t="shared" si="3"/>
        <v/>
      </c>
      <c r="D403" s="35"/>
      <c r="E403" s="31" t="str">
        <f t="shared" si="4"/>
        <v/>
      </c>
      <c r="F403" s="5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</row>
    <row r="404">
      <c r="A404" s="27"/>
      <c r="B404" s="35"/>
      <c r="C404" s="27" t="str">
        <f t="shared" si="3"/>
        <v/>
      </c>
      <c r="D404" s="35"/>
      <c r="E404" s="31" t="str">
        <f t="shared" si="4"/>
        <v/>
      </c>
      <c r="F404" s="5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</row>
    <row r="405">
      <c r="A405" s="27"/>
      <c r="B405" s="35"/>
      <c r="C405" s="27" t="str">
        <f t="shared" si="3"/>
        <v/>
      </c>
      <c r="D405" s="35"/>
      <c r="E405" s="31" t="str">
        <f t="shared" si="4"/>
        <v/>
      </c>
      <c r="F405" s="5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</row>
    <row r="406">
      <c r="A406" s="27"/>
      <c r="B406" s="35"/>
      <c r="C406" s="27" t="str">
        <f t="shared" si="3"/>
        <v/>
      </c>
      <c r="D406" s="35"/>
      <c r="E406" s="31" t="str">
        <f t="shared" si="4"/>
        <v/>
      </c>
      <c r="F406" s="5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</row>
    <row r="407">
      <c r="A407" s="27"/>
      <c r="B407" s="35"/>
      <c r="C407" s="27" t="str">
        <f t="shared" si="3"/>
        <v/>
      </c>
      <c r="D407" s="35"/>
      <c r="E407" s="31" t="str">
        <f t="shared" si="4"/>
        <v/>
      </c>
      <c r="F407" s="5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</row>
    <row r="408">
      <c r="A408" s="27"/>
      <c r="B408" s="35"/>
      <c r="C408" s="27" t="str">
        <f t="shared" si="3"/>
        <v/>
      </c>
      <c r="D408" s="35"/>
      <c r="E408" s="31" t="str">
        <f t="shared" si="4"/>
        <v/>
      </c>
      <c r="F408" s="5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</row>
    <row r="409">
      <c r="A409" s="27"/>
      <c r="B409" s="35"/>
      <c r="C409" s="27" t="str">
        <f t="shared" si="3"/>
        <v/>
      </c>
      <c r="D409" s="35"/>
      <c r="E409" s="31" t="str">
        <f t="shared" si="4"/>
        <v/>
      </c>
      <c r="F409" s="5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</row>
    <row r="410">
      <c r="A410" s="27"/>
      <c r="B410" s="35"/>
      <c r="C410" s="27" t="str">
        <f t="shared" si="3"/>
        <v/>
      </c>
      <c r="D410" s="35"/>
      <c r="E410" s="31" t="str">
        <f t="shared" si="4"/>
        <v/>
      </c>
      <c r="F410" s="5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</row>
    <row r="411">
      <c r="A411" s="27"/>
      <c r="B411" s="35"/>
      <c r="C411" s="27" t="str">
        <f t="shared" si="3"/>
        <v/>
      </c>
      <c r="D411" s="35"/>
      <c r="E411" s="31" t="str">
        <f t="shared" si="4"/>
        <v/>
      </c>
      <c r="F411" s="5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</row>
    <row r="412">
      <c r="A412" s="27"/>
      <c r="B412" s="35"/>
      <c r="C412" s="27" t="str">
        <f t="shared" si="3"/>
        <v/>
      </c>
      <c r="D412" s="35"/>
      <c r="E412" s="31" t="str">
        <f t="shared" si="4"/>
        <v/>
      </c>
      <c r="F412" s="5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</row>
    <row r="413">
      <c r="A413" s="27"/>
      <c r="B413" s="35"/>
      <c r="C413" s="27" t="str">
        <f t="shared" si="3"/>
        <v/>
      </c>
      <c r="D413" s="35"/>
      <c r="E413" s="31" t="str">
        <f t="shared" si="4"/>
        <v/>
      </c>
      <c r="F413" s="5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</row>
    <row r="414">
      <c r="A414" s="27"/>
      <c r="B414" s="35"/>
      <c r="C414" s="27" t="str">
        <f t="shared" si="3"/>
        <v/>
      </c>
      <c r="D414" s="35"/>
      <c r="E414" s="31" t="str">
        <f t="shared" si="4"/>
        <v/>
      </c>
      <c r="F414" s="5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</row>
    <row r="415">
      <c r="A415" s="27"/>
      <c r="B415" s="35"/>
      <c r="C415" s="27" t="str">
        <f t="shared" si="3"/>
        <v/>
      </c>
      <c r="D415" s="35"/>
      <c r="E415" s="31" t="str">
        <f t="shared" si="4"/>
        <v/>
      </c>
      <c r="F415" s="5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</row>
    <row r="416">
      <c r="A416" s="27"/>
      <c r="B416" s="35"/>
      <c r="C416" s="27" t="str">
        <f t="shared" si="3"/>
        <v/>
      </c>
      <c r="D416" s="35"/>
      <c r="E416" s="31" t="str">
        <f t="shared" si="4"/>
        <v/>
      </c>
      <c r="F416" s="5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</row>
    <row r="417">
      <c r="A417" s="27"/>
      <c r="B417" s="35"/>
      <c r="C417" s="27" t="str">
        <f t="shared" si="3"/>
        <v/>
      </c>
      <c r="D417" s="35"/>
      <c r="E417" s="31" t="str">
        <f t="shared" si="4"/>
        <v/>
      </c>
      <c r="F417" s="5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</row>
    <row r="418">
      <c r="A418" s="27"/>
      <c r="B418" s="35"/>
      <c r="C418" s="27" t="str">
        <f t="shared" si="3"/>
        <v/>
      </c>
      <c r="D418" s="35"/>
      <c r="E418" s="31" t="str">
        <f t="shared" si="4"/>
        <v/>
      </c>
      <c r="F418" s="5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</row>
    <row r="419">
      <c r="A419" s="27"/>
      <c r="B419" s="35"/>
      <c r="C419" s="27" t="str">
        <f t="shared" si="3"/>
        <v/>
      </c>
      <c r="D419" s="35"/>
      <c r="E419" s="31" t="str">
        <f t="shared" si="4"/>
        <v/>
      </c>
      <c r="F419" s="5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</row>
    <row r="420">
      <c r="A420" s="27"/>
      <c r="B420" s="35"/>
      <c r="C420" s="27" t="str">
        <f t="shared" si="3"/>
        <v/>
      </c>
      <c r="D420" s="35"/>
      <c r="E420" s="31" t="str">
        <f t="shared" si="4"/>
        <v/>
      </c>
      <c r="F420" s="5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</row>
    <row r="421">
      <c r="A421" s="27"/>
      <c r="B421" s="35"/>
      <c r="C421" s="27" t="str">
        <f t="shared" si="3"/>
        <v/>
      </c>
      <c r="D421" s="35"/>
      <c r="E421" s="31" t="str">
        <f t="shared" si="4"/>
        <v/>
      </c>
      <c r="F421" s="5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</row>
    <row r="422">
      <c r="A422" s="27"/>
      <c r="B422" s="35"/>
      <c r="C422" s="27" t="str">
        <f t="shared" si="3"/>
        <v/>
      </c>
      <c r="D422" s="35"/>
      <c r="E422" s="31" t="str">
        <f t="shared" si="4"/>
        <v/>
      </c>
      <c r="F422" s="5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</row>
    <row r="423">
      <c r="A423" s="27"/>
      <c r="B423" s="35"/>
      <c r="C423" s="27" t="str">
        <f t="shared" si="3"/>
        <v/>
      </c>
      <c r="D423" s="35"/>
      <c r="E423" s="31" t="str">
        <f t="shared" si="4"/>
        <v/>
      </c>
      <c r="F423" s="5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</row>
    <row r="424">
      <c r="A424" s="27"/>
      <c r="B424" s="35"/>
      <c r="C424" s="27" t="str">
        <f t="shared" si="3"/>
        <v/>
      </c>
      <c r="D424" s="35"/>
      <c r="E424" s="31" t="str">
        <f t="shared" si="4"/>
        <v/>
      </c>
      <c r="F424" s="5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</row>
    <row r="425">
      <c r="A425" s="27"/>
      <c r="B425" s="35"/>
      <c r="C425" s="27" t="str">
        <f t="shared" si="3"/>
        <v/>
      </c>
      <c r="D425" s="35"/>
      <c r="E425" s="31" t="str">
        <f t="shared" si="4"/>
        <v/>
      </c>
      <c r="F425" s="5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</row>
    <row r="426">
      <c r="A426" s="27"/>
      <c r="B426" s="35"/>
      <c r="C426" s="27" t="str">
        <f t="shared" si="3"/>
        <v/>
      </c>
      <c r="D426" s="35"/>
      <c r="E426" s="31" t="str">
        <f t="shared" si="4"/>
        <v/>
      </c>
      <c r="F426" s="5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</row>
    <row r="427">
      <c r="A427" s="27"/>
      <c r="B427" s="35"/>
      <c r="C427" s="27" t="str">
        <f t="shared" si="3"/>
        <v/>
      </c>
      <c r="D427" s="35"/>
      <c r="E427" s="31" t="str">
        <f t="shared" si="4"/>
        <v/>
      </c>
      <c r="F427" s="5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</row>
    <row r="428">
      <c r="A428" s="27"/>
      <c r="B428" s="35"/>
      <c r="C428" s="27" t="str">
        <f t="shared" si="3"/>
        <v/>
      </c>
      <c r="D428" s="35"/>
      <c r="E428" s="31" t="str">
        <f t="shared" si="4"/>
        <v/>
      </c>
      <c r="F428" s="5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</row>
    <row r="429">
      <c r="A429" s="27"/>
      <c r="B429" s="35"/>
      <c r="C429" s="27" t="str">
        <f t="shared" si="3"/>
        <v/>
      </c>
      <c r="D429" s="35"/>
      <c r="E429" s="31" t="str">
        <f t="shared" si="4"/>
        <v/>
      </c>
      <c r="F429" s="5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</row>
    <row r="430">
      <c r="A430" s="27"/>
      <c r="B430" s="35"/>
      <c r="C430" s="27" t="str">
        <f t="shared" si="3"/>
        <v/>
      </c>
      <c r="D430" s="35"/>
      <c r="E430" s="31" t="str">
        <f t="shared" si="4"/>
        <v/>
      </c>
      <c r="F430" s="5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</row>
    <row r="431">
      <c r="A431" s="27"/>
      <c r="B431" s="35"/>
      <c r="C431" s="27" t="str">
        <f t="shared" si="3"/>
        <v/>
      </c>
      <c r="D431" s="35"/>
      <c r="E431" s="31" t="str">
        <f t="shared" si="4"/>
        <v/>
      </c>
      <c r="F431" s="5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</row>
    <row r="432">
      <c r="A432" s="27"/>
      <c r="B432" s="35"/>
      <c r="C432" s="27" t="str">
        <f t="shared" si="3"/>
        <v/>
      </c>
      <c r="D432" s="35"/>
      <c r="E432" s="31" t="str">
        <f t="shared" si="4"/>
        <v/>
      </c>
      <c r="F432" s="5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</row>
    <row r="433">
      <c r="A433" s="27"/>
      <c r="B433" s="35"/>
      <c r="C433" s="27" t="str">
        <f t="shared" si="3"/>
        <v/>
      </c>
      <c r="D433" s="35"/>
      <c r="E433" s="31" t="str">
        <f t="shared" si="4"/>
        <v/>
      </c>
      <c r="F433" s="5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</row>
    <row r="434">
      <c r="A434" s="27"/>
      <c r="B434" s="35"/>
      <c r="C434" s="27" t="str">
        <f t="shared" si="3"/>
        <v/>
      </c>
      <c r="D434" s="35"/>
      <c r="E434" s="31" t="str">
        <f t="shared" si="4"/>
        <v/>
      </c>
      <c r="F434" s="5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</row>
    <row r="435">
      <c r="A435" s="27"/>
      <c r="B435" s="35"/>
      <c r="C435" s="27" t="str">
        <f t="shared" si="3"/>
        <v/>
      </c>
      <c r="D435" s="35"/>
      <c r="E435" s="31" t="str">
        <f t="shared" si="4"/>
        <v/>
      </c>
      <c r="F435" s="5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</row>
    <row r="436">
      <c r="A436" s="27"/>
      <c r="B436" s="35"/>
      <c r="C436" s="27" t="str">
        <f t="shared" si="3"/>
        <v/>
      </c>
      <c r="D436" s="35"/>
      <c r="E436" s="31" t="str">
        <f t="shared" si="4"/>
        <v/>
      </c>
      <c r="F436" s="5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</row>
    <row r="437">
      <c r="A437" s="27"/>
      <c r="B437" s="35"/>
      <c r="C437" s="27" t="str">
        <f t="shared" si="3"/>
        <v/>
      </c>
      <c r="D437" s="35"/>
      <c r="E437" s="31" t="str">
        <f t="shared" si="4"/>
        <v/>
      </c>
      <c r="F437" s="5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</row>
    <row r="438">
      <c r="A438" s="27"/>
      <c r="B438" s="35"/>
      <c r="C438" s="27" t="str">
        <f t="shared" si="3"/>
        <v/>
      </c>
      <c r="D438" s="35"/>
      <c r="E438" s="31" t="str">
        <f t="shared" si="4"/>
        <v/>
      </c>
      <c r="F438" s="5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</row>
    <row r="439">
      <c r="A439" s="27"/>
      <c r="B439" s="35"/>
      <c r="C439" s="27" t="str">
        <f t="shared" si="3"/>
        <v/>
      </c>
      <c r="D439" s="35"/>
      <c r="E439" s="31" t="str">
        <f t="shared" si="4"/>
        <v/>
      </c>
      <c r="F439" s="5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</row>
    <row r="440">
      <c r="A440" s="27"/>
      <c r="B440" s="35"/>
      <c r="C440" s="27" t="str">
        <f t="shared" si="3"/>
        <v/>
      </c>
      <c r="D440" s="35"/>
      <c r="E440" s="31" t="str">
        <f t="shared" si="4"/>
        <v/>
      </c>
      <c r="F440" s="5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</row>
    <row r="441">
      <c r="A441" s="27"/>
      <c r="B441" s="35"/>
      <c r="C441" s="27" t="str">
        <f t="shared" si="3"/>
        <v/>
      </c>
      <c r="D441" s="35"/>
      <c r="E441" s="31" t="str">
        <f t="shared" si="4"/>
        <v/>
      </c>
      <c r="F441" s="5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</row>
    <row r="442">
      <c r="A442" s="27"/>
      <c r="B442" s="35"/>
      <c r="C442" s="27" t="str">
        <f t="shared" si="3"/>
        <v/>
      </c>
      <c r="D442" s="35"/>
      <c r="E442" s="31" t="str">
        <f t="shared" si="4"/>
        <v/>
      </c>
      <c r="F442" s="5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</row>
    <row r="443">
      <c r="A443" s="27"/>
      <c r="B443" s="35"/>
      <c r="C443" s="27" t="str">
        <f t="shared" si="3"/>
        <v/>
      </c>
      <c r="D443" s="35"/>
      <c r="E443" s="31" t="str">
        <f t="shared" si="4"/>
        <v/>
      </c>
      <c r="F443" s="5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</row>
    <row r="444">
      <c r="A444" s="27"/>
      <c r="B444" s="35"/>
      <c r="C444" s="27" t="str">
        <f t="shared" si="3"/>
        <v/>
      </c>
      <c r="D444" s="35"/>
      <c r="E444" s="31" t="str">
        <f t="shared" si="4"/>
        <v/>
      </c>
      <c r="F444" s="5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</row>
    <row r="445">
      <c r="A445" s="27"/>
      <c r="B445" s="35"/>
      <c r="C445" s="27" t="str">
        <f t="shared" si="3"/>
        <v/>
      </c>
      <c r="D445" s="35"/>
      <c r="E445" s="31" t="str">
        <f t="shared" si="4"/>
        <v/>
      </c>
      <c r="F445" s="5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</row>
    <row r="446">
      <c r="A446" s="27"/>
      <c r="B446" s="35"/>
      <c r="C446" s="27" t="str">
        <f t="shared" si="3"/>
        <v/>
      </c>
      <c r="D446" s="35"/>
      <c r="E446" s="31" t="str">
        <f t="shared" si="4"/>
        <v/>
      </c>
      <c r="F446" s="5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</row>
    <row r="447">
      <c r="A447" s="27"/>
      <c r="B447" s="35"/>
      <c r="C447" s="27" t="str">
        <f t="shared" si="3"/>
        <v/>
      </c>
      <c r="D447" s="35"/>
      <c r="E447" s="31" t="str">
        <f t="shared" si="4"/>
        <v/>
      </c>
      <c r="F447" s="5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</row>
    <row r="448">
      <c r="A448" s="27"/>
      <c r="B448" s="35"/>
      <c r="C448" s="27" t="str">
        <f t="shared" si="3"/>
        <v/>
      </c>
      <c r="D448" s="35"/>
      <c r="E448" s="31" t="str">
        <f t="shared" si="4"/>
        <v/>
      </c>
      <c r="F448" s="5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</row>
    <row r="449">
      <c r="A449" s="27"/>
      <c r="B449" s="35"/>
      <c r="C449" s="27" t="str">
        <f t="shared" si="3"/>
        <v/>
      </c>
      <c r="D449" s="35"/>
      <c r="E449" s="31" t="str">
        <f t="shared" si="4"/>
        <v/>
      </c>
      <c r="F449" s="5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</row>
    <row r="450">
      <c r="A450" s="27"/>
      <c r="B450" s="35"/>
      <c r="C450" s="27" t="str">
        <f t="shared" si="3"/>
        <v/>
      </c>
      <c r="D450" s="35"/>
      <c r="E450" s="31" t="str">
        <f t="shared" si="4"/>
        <v/>
      </c>
      <c r="F450" s="5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</row>
    <row r="451">
      <c r="A451" s="27"/>
      <c r="B451" s="35"/>
      <c r="C451" s="27" t="str">
        <f t="shared" si="3"/>
        <v/>
      </c>
      <c r="D451" s="35"/>
      <c r="E451" s="31" t="str">
        <f t="shared" si="4"/>
        <v/>
      </c>
      <c r="F451" s="5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</row>
    <row r="452">
      <c r="A452" s="27"/>
      <c r="B452" s="35"/>
      <c r="C452" s="27" t="str">
        <f t="shared" si="3"/>
        <v/>
      </c>
      <c r="D452" s="35"/>
      <c r="E452" s="31" t="str">
        <f t="shared" si="4"/>
        <v/>
      </c>
      <c r="F452" s="5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</row>
    <row r="453">
      <c r="A453" s="27"/>
      <c r="B453" s="35"/>
      <c r="C453" s="27" t="str">
        <f t="shared" si="3"/>
        <v/>
      </c>
      <c r="D453" s="35"/>
      <c r="E453" s="31" t="str">
        <f t="shared" si="4"/>
        <v/>
      </c>
      <c r="F453" s="5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</row>
    <row r="454">
      <c r="A454" s="27"/>
      <c r="B454" s="35"/>
      <c r="C454" s="27" t="str">
        <f t="shared" si="3"/>
        <v/>
      </c>
      <c r="D454" s="35"/>
      <c r="E454" s="31" t="str">
        <f t="shared" si="4"/>
        <v/>
      </c>
      <c r="F454" s="5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</row>
    <row r="455">
      <c r="A455" s="27"/>
      <c r="B455" s="35"/>
      <c r="C455" s="27" t="str">
        <f t="shared" si="3"/>
        <v/>
      </c>
      <c r="D455" s="35"/>
      <c r="E455" s="31" t="str">
        <f t="shared" si="4"/>
        <v/>
      </c>
      <c r="F455" s="5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</row>
    <row r="456">
      <c r="A456" s="27"/>
      <c r="B456" s="35"/>
      <c r="C456" s="27" t="str">
        <f t="shared" si="3"/>
        <v/>
      </c>
      <c r="D456" s="35"/>
      <c r="E456" s="31" t="str">
        <f t="shared" si="4"/>
        <v/>
      </c>
      <c r="F456" s="5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</row>
    <row r="457">
      <c r="A457" s="27"/>
      <c r="B457" s="35"/>
      <c r="C457" s="27" t="str">
        <f t="shared" si="3"/>
        <v/>
      </c>
      <c r="D457" s="35"/>
      <c r="E457" s="31" t="str">
        <f t="shared" si="4"/>
        <v/>
      </c>
      <c r="F457" s="5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</row>
    <row r="458">
      <c r="A458" s="27"/>
      <c r="B458" s="35"/>
      <c r="C458" s="27" t="str">
        <f t="shared" si="3"/>
        <v/>
      </c>
      <c r="D458" s="35"/>
      <c r="E458" s="31" t="str">
        <f t="shared" si="4"/>
        <v/>
      </c>
      <c r="F458" s="5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</row>
    <row r="459">
      <c r="A459" s="27"/>
      <c r="B459" s="35"/>
      <c r="C459" s="27" t="str">
        <f t="shared" si="3"/>
        <v/>
      </c>
      <c r="D459" s="35"/>
      <c r="E459" s="31" t="str">
        <f t="shared" si="4"/>
        <v/>
      </c>
      <c r="F459" s="5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</row>
    <row r="460">
      <c r="A460" s="27"/>
      <c r="B460" s="35"/>
      <c r="C460" s="27" t="str">
        <f t="shared" si="3"/>
        <v/>
      </c>
      <c r="D460" s="35"/>
      <c r="E460" s="31" t="str">
        <f t="shared" si="4"/>
        <v/>
      </c>
      <c r="F460" s="5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</row>
    <row r="461">
      <c r="A461" s="27"/>
      <c r="B461" s="35"/>
      <c r="C461" s="27" t="str">
        <f t="shared" si="3"/>
        <v/>
      </c>
      <c r="D461" s="35"/>
      <c r="E461" s="31" t="str">
        <f t="shared" si="4"/>
        <v/>
      </c>
      <c r="F461" s="5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</row>
    <row r="462">
      <c r="A462" s="27"/>
      <c r="B462" s="35"/>
      <c r="C462" s="27" t="str">
        <f t="shared" si="3"/>
        <v/>
      </c>
      <c r="D462" s="35"/>
      <c r="E462" s="31" t="str">
        <f t="shared" si="4"/>
        <v/>
      </c>
      <c r="F462" s="5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</row>
    <row r="463">
      <c r="A463" s="27"/>
      <c r="B463" s="35"/>
      <c r="C463" s="27" t="str">
        <f t="shared" si="3"/>
        <v/>
      </c>
      <c r="D463" s="35"/>
      <c r="E463" s="31" t="str">
        <f t="shared" si="4"/>
        <v/>
      </c>
      <c r="F463" s="5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</row>
    <row r="464">
      <c r="A464" s="27"/>
      <c r="B464" s="35"/>
      <c r="C464" s="27" t="str">
        <f t="shared" si="3"/>
        <v/>
      </c>
      <c r="D464" s="35"/>
      <c r="E464" s="31" t="str">
        <f t="shared" si="4"/>
        <v/>
      </c>
      <c r="F464" s="5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</row>
    <row r="465">
      <c r="A465" s="27"/>
      <c r="B465" s="35"/>
      <c r="C465" s="27" t="str">
        <f t="shared" si="3"/>
        <v/>
      </c>
      <c r="D465" s="35"/>
      <c r="E465" s="31" t="str">
        <f t="shared" si="4"/>
        <v/>
      </c>
      <c r="F465" s="5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</row>
    <row r="466">
      <c r="A466" s="27"/>
      <c r="B466" s="35"/>
      <c r="C466" s="27" t="str">
        <f t="shared" si="3"/>
        <v/>
      </c>
      <c r="D466" s="35"/>
      <c r="E466" s="31" t="str">
        <f t="shared" si="4"/>
        <v/>
      </c>
      <c r="F466" s="5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</row>
    <row r="467">
      <c r="A467" s="27"/>
      <c r="B467" s="35"/>
      <c r="C467" s="27" t="str">
        <f t="shared" si="3"/>
        <v/>
      </c>
      <c r="D467" s="35"/>
      <c r="E467" s="31" t="str">
        <f t="shared" si="4"/>
        <v/>
      </c>
      <c r="F467" s="5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</row>
    <row r="468">
      <c r="A468" s="27"/>
      <c r="B468" s="35"/>
      <c r="C468" s="27" t="str">
        <f t="shared" si="3"/>
        <v/>
      </c>
      <c r="D468" s="35"/>
      <c r="E468" s="31" t="str">
        <f t="shared" si="4"/>
        <v/>
      </c>
      <c r="F468" s="5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</row>
    <row r="469">
      <c r="A469" s="27"/>
      <c r="B469" s="35"/>
      <c r="C469" s="27" t="str">
        <f t="shared" si="3"/>
        <v/>
      </c>
      <c r="D469" s="35"/>
      <c r="E469" s="31" t="str">
        <f t="shared" si="4"/>
        <v/>
      </c>
      <c r="F469" s="5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</row>
    <row r="470">
      <c r="A470" s="27"/>
      <c r="B470" s="35"/>
      <c r="C470" s="27" t="str">
        <f t="shared" si="3"/>
        <v/>
      </c>
      <c r="D470" s="35"/>
      <c r="E470" s="31" t="str">
        <f t="shared" si="4"/>
        <v/>
      </c>
      <c r="F470" s="5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</row>
    <row r="471">
      <c r="A471" s="27"/>
      <c r="B471" s="35"/>
      <c r="C471" s="27" t="str">
        <f t="shared" si="3"/>
        <v/>
      </c>
      <c r="D471" s="35"/>
      <c r="E471" s="31" t="str">
        <f t="shared" si="4"/>
        <v/>
      </c>
      <c r="F471" s="5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</row>
    <row r="472">
      <c r="A472" s="27"/>
      <c r="B472" s="35"/>
      <c r="C472" s="27" t="str">
        <f t="shared" si="3"/>
        <v/>
      </c>
      <c r="D472" s="35"/>
      <c r="E472" s="31" t="str">
        <f t="shared" si="4"/>
        <v/>
      </c>
      <c r="F472" s="5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</row>
    <row r="473">
      <c r="A473" s="27"/>
      <c r="B473" s="35"/>
      <c r="C473" s="27" t="str">
        <f t="shared" si="3"/>
        <v/>
      </c>
      <c r="D473" s="35"/>
      <c r="E473" s="31" t="str">
        <f t="shared" si="4"/>
        <v/>
      </c>
      <c r="F473" s="5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</row>
    <row r="474">
      <c r="A474" s="27"/>
      <c r="B474" s="35"/>
      <c r="C474" s="27" t="str">
        <f t="shared" si="3"/>
        <v/>
      </c>
      <c r="D474" s="35"/>
      <c r="E474" s="31" t="str">
        <f t="shared" si="4"/>
        <v/>
      </c>
      <c r="F474" s="5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</row>
    <row r="475">
      <c r="A475" s="27"/>
      <c r="B475" s="35"/>
      <c r="C475" s="27" t="str">
        <f t="shared" si="3"/>
        <v/>
      </c>
      <c r="D475" s="35"/>
      <c r="E475" s="31" t="str">
        <f t="shared" si="4"/>
        <v/>
      </c>
      <c r="F475" s="5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</row>
    <row r="476">
      <c r="A476" s="27"/>
      <c r="B476" s="35"/>
      <c r="C476" s="27" t="str">
        <f t="shared" si="3"/>
        <v/>
      </c>
      <c r="D476" s="35"/>
      <c r="E476" s="31" t="str">
        <f t="shared" si="4"/>
        <v/>
      </c>
      <c r="F476" s="5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</row>
    <row r="477">
      <c r="A477" s="27"/>
      <c r="B477" s="35"/>
      <c r="C477" s="27" t="str">
        <f t="shared" si="3"/>
        <v/>
      </c>
      <c r="D477" s="35"/>
      <c r="E477" s="31" t="str">
        <f t="shared" si="4"/>
        <v/>
      </c>
      <c r="F477" s="5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</row>
    <row r="478">
      <c r="A478" s="27"/>
      <c r="B478" s="35"/>
      <c r="C478" s="27" t="str">
        <f t="shared" si="3"/>
        <v/>
      </c>
      <c r="D478" s="35"/>
      <c r="E478" s="31" t="str">
        <f t="shared" si="4"/>
        <v/>
      </c>
      <c r="F478" s="5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</row>
    <row r="479">
      <c r="A479" s="27"/>
      <c r="B479" s="35"/>
      <c r="C479" s="27" t="str">
        <f t="shared" si="3"/>
        <v/>
      </c>
      <c r="D479" s="35"/>
      <c r="E479" s="31" t="str">
        <f t="shared" si="4"/>
        <v/>
      </c>
      <c r="F479" s="5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</row>
    <row r="480">
      <c r="A480" s="27"/>
      <c r="B480" s="35"/>
      <c r="C480" s="27" t="str">
        <f t="shared" si="3"/>
        <v/>
      </c>
      <c r="D480" s="35"/>
      <c r="E480" s="31" t="str">
        <f t="shared" si="4"/>
        <v/>
      </c>
      <c r="F480" s="5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</row>
    <row r="481">
      <c r="A481" s="27"/>
      <c r="B481" s="35"/>
      <c r="C481" s="27" t="str">
        <f t="shared" si="3"/>
        <v/>
      </c>
      <c r="D481" s="35"/>
      <c r="E481" s="31" t="str">
        <f t="shared" si="4"/>
        <v/>
      </c>
      <c r="F481" s="5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</row>
    <row r="482">
      <c r="A482" s="27"/>
      <c r="B482" s="35"/>
      <c r="C482" s="27" t="str">
        <f t="shared" si="3"/>
        <v/>
      </c>
      <c r="D482" s="35"/>
      <c r="E482" s="31" t="str">
        <f t="shared" si="4"/>
        <v/>
      </c>
      <c r="F482" s="5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</row>
    <row r="483">
      <c r="A483" s="27"/>
      <c r="B483" s="35"/>
      <c r="C483" s="27" t="str">
        <f t="shared" si="3"/>
        <v/>
      </c>
      <c r="D483" s="35"/>
      <c r="E483" s="31" t="str">
        <f t="shared" si="4"/>
        <v/>
      </c>
      <c r="F483" s="5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</row>
    <row r="484">
      <c r="A484" s="27"/>
      <c r="B484" s="35"/>
      <c r="C484" s="27" t="str">
        <f t="shared" si="3"/>
        <v/>
      </c>
      <c r="D484" s="35"/>
      <c r="E484" s="31" t="str">
        <f t="shared" si="4"/>
        <v/>
      </c>
      <c r="F484" s="5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</row>
    <row r="485">
      <c r="A485" s="27"/>
      <c r="B485" s="35"/>
      <c r="C485" s="27" t="str">
        <f t="shared" si="3"/>
        <v/>
      </c>
      <c r="D485" s="35"/>
      <c r="E485" s="31" t="str">
        <f t="shared" si="4"/>
        <v/>
      </c>
      <c r="F485" s="5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</row>
    <row r="486">
      <c r="A486" s="27"/>
      <c r="B486" s="35"/>
      <c r="C486" s="27" t="str">
        <f t="shared" si="3"/>
        <v/>
      </c>
      <c r="D486" s="35"/>
      <c r="E486" s="31" t="str">
        <f t="shared" si="4"/>
        <v/>
      </c>
      <c r="F486" s="5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</row>
    <row r="487">
      <c r="A487" s="27"/>
      <c r="B487" s="35"/>
      <c r="C487" s="27" t="str">
        <f t="shared" si="3"/>
        <v/>
      </c>
      <c r="D487" s="35"/>
      <c r="E487" s="31" t="str">
        <f t="shared" si="4"/>
        <v/>
      </c>
      <c r="F487" s="5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</row>
    <row r="488">
      <c r="A488" s="27"/>
      <c r="B488" s="35"/>
      <c r="C488" s="27" t="str">
        <f t="shared" si="3"/>
        <v/>
      </c>
      <c r="D488" s="35"/>
      <c r="E488" s="31" t="str">
        <f t="shared" si="4"/>
        <v/>
      </c>
      <c r="F488" s="5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</row>
    <row r="489">
      <c r="A489" s="27"/>
      <c r="B489" s="35"/>
      <c r="C489" s="27" t="str">
        <f t="shared" si="3"/>
        <v/>
      </c>
      <c r="D489" s="35"/>
      <c r="E489" s="31" t="str">
        <f t="shared" si="4"/>
        <v/>
      </c>
      <c r="F489" s="5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</row>
    <row r="490">
      <c r="A490" s="27"/>
      <c r="B490" s="35"/>
      <c r="C490" s="27" t="str">
        <f t="shared" si="3"/>
        <v/>
      </c>
      <c r="D490" s="35"/>
      <c r="E490" s="31" t="str">
        <f t="shared" si="4"/>
        <v/>
      </c>
      <c r="F490" s="5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</row>
    <row r="491">
      <c r="A491" s="27"/>
      <c r="B491" s="35"/>
      <c r="C491" s="27" t="str">
        <f t="shared" si="3"/>
        <v/>
      </c>
      <c r="D491" s="35"/>
      <c r="E491" s="31" t="str">
        <f t="shared" si="4"/>
        <v/>
      </c>
      <c r="F491" s="5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</row>
    <row r="492">
      <c r="A492" s="27"/>
      <c r="B492" s="35"/>
      <c r="C492" s="27" t="str">
        <f t="shared" si="3"/>
        <v/>
      </c>
      <c r="D492" s="35"/>
      <c r="E492" s="31" t="str">
        <f t="shared" si="4"/>
        <v/>
      </c>
      <c r="F492" s="5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</row>
    <row r="493">
      <c r="A493" s="27"/>
      <c r="B493" s="35"/>
      <c r="C493" s="27" t="str">
        <f t="shared" si="3"/>
        <v/>
      </c>
      <c r="D493" s="35"/>
      <c r="E493" s="31" t="str">
        <f t="shared" si="4"/>
        <v/>
      </c>
      <c r="F493" s="5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</row>
    <row r="494">
      <c r="A494" s="27"/>
      <c r="B494" s="35"/>
      <c r="C494" s="27" t="str">
        <f t="shared" si="3"/>
        <v/>
      </c>
      <c r="D494" s="35"/>
      <c r="E494" s="31" t="str">
        <f t="shared" si="4"/>
        <v/>
      </c>
      <c r="F494" s="5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</row>
    <row r="495">
      <c r="A495" s="27"/>
      <c r="B495" s="35"/>
      <c r="C495" s="27" t="str">
        <f t="shared" si="3"/>
        <v/>
      </c>
      <c r="D495" s="35"/>
      <c r="E495" s="31" t="str">
        <f t="shared" si="4"/>
        <v/>
      </c>
      <c r="F495" s="5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</row>
    <row r="496">
      <c r="A496" s="27"/>
      <c r="B496" s="35"/>
      <c r="C496" s="27" t="str">
        <f t="shared" si="3"/>
        <v/>
      </c>
      <c r="D496" s="35"/>
      <c r="E496" s="31" t="str">
        <f t="shared" si="4"/>
        <v/>
      </c>
      <c r="F496" s="5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</row>
    <row r="497">
      <c r="A497" s="27"/>
      <c r="B497" s="35"/>
      <c r="C497" s="27" t="str">
        <f t="shared" si="3"/>
        <v/>
      </c>
      <c r="D497" s="35"/>
      <c r="E497" s="31" t="str">
        <f t="shared" si="4"/>
        <v/>
      </c>
      <c r="F497" s="5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</row>
    <row r="498">
      <c r="A498" s="27"/>
      <c r="B498" s="35"/>
      <c r="C498" s="27" t="str">
        <f t="shared" si="3"/>
        <v/>
      </c>
      <c r="D498" s="35"/>
      <c r="E498" s="31" t="str">
        <f t="shared" si="4"/>
        <v/>
      </c>
      <c r="F498" s="5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</row>
    <row r="499">
      <c r="A499" s="27"/>
      <c r="B499" s="35"/>
      <c r="C499" s="27" t="str">
        <f t="shared" si="3"/>
        <v/>
      </c>
      <c r="D499" s="35"/>
      <c r="E499" s="31" t="str">
        <f t="shared" si="4"/>
        <v/>
      </c>
      <c r="F499" s="5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</row>
    <row r="500">
      <c r="A500" s="27"/>
      <c r="B500" s="35"/>
      <c r="C500" s="27" t="str">
        <f t="shared" si="3"/>
        <v/>
      </c>
      <c r="D500" s="35"/>
      <c r="E500" s="31" t="str">
        <f t="shared" si="4"/>
        <v/>
      </c>
      <c r="F500" s="5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</row>
    <row r="501">
      <c r="A501" s="27"/>
      <c r="B501" s="35"/>
      <c r="C501" s="27"/>
      <c r="D501" s="35"/>
      <c r="E501" s="31"/>
      <c r="F501" s="5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</row>
    <row r="502">
      <c r="A502" s="27"/>
      <c r="B502" s="35"/>
      <c r="C502" s="27"/>
      <c r="D502" s="35"/>
      <c r="E502" s="31"/>
      <c r="F502" s="5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</row>
    <row r="503">
      <c r="A503" s="27"/>
      <c r="B503" s="35"/>
      <c r="C503" s="27"/>
      <c r="D503" s="35"/>
      <c r="E503" s="31"/>
      <c r="F503" s="5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</row>
    <row r="504">
      <c r="A504" s="27"/>
      <c r="B504" s="35"/>
      <c r="C504" s="27"/>
      <c r="D504" s="35"/>
      <c r="E504" s="31"/>
      <c r="F504" s="5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</row>
    <row r="505">
      <c r="A505" s="27"/>
      <c r="B505" s="35"/>
      <c r="C505" s="27"/>
      <c r="D505" s="35"/>
      <c r="E505" s="31"/>
      <c r="F505" s="5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</row>
    <row r="506">
      <c r="A506" s="27"/>
      <c r="B506" s="35"/>
      <c r="C506" s="27"/>
      <c r="D506" s="35"/>
      <c r="E506" s="31"/>
      <c r="F506" s="5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</row>
    <row r="507">
      <c r="A507" s="27"/>
      <c r="B507" s="35"/>
      <c r="C507" s="27"/>
      <c r="D507" s="35"/>
      <c r="E507" s="31"/>
      <c r="F507" s="5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</row>
    <row r="508">
      <c r="A508" s="27"/>
      <c r="B508" s="35"/>
      <c r="C508" s="27"/>
      <c r="D508" s="35"/>
      <c r="E508" s="31"/>
      <c r="F508" s="5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</row>
    <row r="509">
      <c r="A509" s="27"/>
      <c r="B509" s="35"/>
      <c r="C509" s="27"/>
      <c r="D509" s="35"/>
      <c r="E509" s="31"/>
      <c r="F509" s="5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</row>
    <row r="510">
      <c r="A510" s="27"/>
      <c r="B510" s="35"/>
      <c r="C510" s="27"/>
      <c r="D510" s="35"/>
      <c r="E510" s="31"/>
      <c r="F510" s="5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</row>
    <row r="511">
      <c r="A511" s="27"/>
      <c r="B511" s="35"/>
      <c r="C511" s="27"/>
      <c r="D511" s="35"/>
      <c r="E511" s="31"/>
      <c r="F511" s="5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</row>
    <row r="512">
      <c r="A512" s="27"/>
      <c r="B512" s="35"/>
      <c r="C512" s="27"/>
      <c r="D512" s="35"/>
      <c r="E512" s="31"/>
      <c r="F512" s="5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</row>
    <row r="513">
      <c r="A513" s="27"/>
      <c r="B513" s="35"/>
      <c r="C513" s="27"/>
      <c r="D513" s="35"/>
      <c r="E513" s="31"/>
      <c r="F513" s="5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</row>
    <row r="514">
      <c r="A514" s="27"/>
      <c r="B514" s="35"/>
      <c r="C514" s="27"/>
      <c r="D514" s="35"/>
      <c r="E514" s="31"/>
      <c r="F514" s="5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</row>
    <row r="515">
      <c r="A515" s="27"/>
      <c r="B515" s="35"/>
      <c r="C515" s="27"/>
      <c r="D515" s="35"/>
      <c r="E515" s="31"/>
      <c r="F515" s="5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</row>
    <row r="516">
      <c r="A516" s="27"/>
      <c r="B516" s="35"/>
      <c r="C516" s="27"/>
      <c r="D516" s="35"/>
      <c r="E516" s="31"/>
      <c r="F516" s="5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</row>
    <row r="517">
      <c r="A517" s="27"/>
      <c r="B517" s="35"/>
      <c r="C517" s="27"/>
      <c r="D517" s="35"/>
      <c r="E517" s="31"/>
      <c r="F517" s="5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</row>
    <row r="518">
      <c r="A518" s="27"/>
      <c r="B518" s="35"/>
      <c r="C518" s="27"/>
      <c r="D518" s="35"/>
      <c r="E518" s="31"/>
      <c r="F518" s="5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</row>
    <row r="519">
      <c r="A519" s="27"/>
      <c r="B519" s="35"/>
      <c r="C519" s="27"/>
      <c r="D519" s="35"/>
      <c r="E519" s="31"/>
      <c r="F519" s="5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</row>
    <row r="520">
      <c r="A520" s="27"/>
      <c r="B520" s="35"/>
      <c r="C520" s="27"/>
      <c r="D520" s="35"/>
      <c r="E520" s="31"/>
      <c r="F520" s="5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</row>
    <row r="521">
      <c r="A521" s="27"/>
      <c r="B521" s="35"/>
      <c r="C521" s="27"/>
      <c r="D521" s="35"/>
      <c r="E521" s="31"/>
      <c r="F521" s="5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</row>
    <row r="522">
      <c r="A522" s="27"/>
      <c r="B522" s="35"/>
      <c r="C522" s="27"/>
      <c r="D522" s="35"/>
      <c r="E522" s="31"/>
      <c r="F522" s="5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</row>
    <row r="523">
      <c r="A523" s="27"/>
      <c r="B523" s="35"/>
      <c r="C523" s="27"/>
      <c r="D523" s="35"/>
      <c r="E523" s="31"/>
      <c r="F523" s="5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</row>
    <row r="524">
      <c r="A524" s="27"/>
      <c r="B524" s="35"/>
      <c r="C524" s="27"/>
      <c r="D524" s="35"/>
      <c r="E524" s="31"/>
      <c r="F524" s="5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</row>
    <row r="525">
      <c r="A525" s="27"/>
      <c r="B525" s="35"/>
      <c r="C525" s="27"/>
      <c r="D525" s="35"/>
      <c r="E525" s="31"/>
      <c r="F525" s="5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</row>
    <row r="526">
      <c r="A526" s="27"/>
      <c r="B526" s="35"/>
      <c r="C526" s="27"/>
      <c r="D526" s="35"/>
      <c r="E526" s="31"/>
      <c r="F526" s="5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</row>
    <row r="527">
      <c r="A527" s="27"/>
      <c r="B527" s="35"/>
      <c r="C527" s="27"/>
      <c r="D527" s="35"/>
      <c r="E527" s="31"/>
      <c r="F527" s="5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</row>
    <row r="528">
      <c r="A528" s="27"/>
      <c r="B528" s="35"/>
      <c r="C528" s="27"/>
      <c r="D528" s="35"/>
      <c r="E528" s="31"/>
      <c r="F528" s="5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</row>
    <row r="529">
      <c r="A529" s="27"/>
      <c r="B529" s="35"/>
      <c r="C529" s="27"/>
      <c r="D529" s="35"/>
      <c r="E529" s="31"/>
      <c r="F529" s="5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</row>
    <row r="530">
      <c r="A530" s="27"/>
      <c r="B530" s="35"/>
      <c r="C530" s="27"/>
      <c r="D530" s="35"/>
      <c r="E530" s="31"/>
      <c r="F530" s="5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</row>
    <row r="531">
      <c r="A531" s="27"/>
      <c r="B531" s="35"/>
      <c r="C531" s="27"/>
      <c r="D531" s="35"/>
      <c r="E531" s="31"/>
      <c r="F531" s="5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</row>
    <row r="532">
      <c r="A532" s="27"/>
      <c r="B532" s="35"/>
      <c r="C532" s="27"/>
      <c r="D532" s="35"/>
      <c r="E532" s="31"/>
      <c r="F532" s="5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</row>
    <row r="533">
      <c r="A533" s="27"/>
      <c r="B533" s="35"/>
      <c r="C533" s="27"/>
      <c r="D533" s="35"/>
      <c r="E533" s="31"/>
      <c r="F533" s="5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</row>
    <row r="534">
      <c r="A534" s="27"/>
      <c r="B534" s="35"/>
      <c r="C534" s="27"/>
      <c r="D534" s="35"/>
      <c r="E534" s="31"/>
      <c r="F534" s="5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</row>
    <row r="535">
      <c r="A535" s="27"/>
      <c r="B535" s="35"/>
      <c r="C535" s="27"/>
      <c r="D535" s="35"/>
      <c r="E535" s="31"/>
      <c r="F535" s="5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</row>
    <row r="536">
      <c r="A536" s="27"/>
      <c r="B536" s="35"/>
      <c r="C536" s="27"/>
      <c r="D536" s="35"/>
      <c r="E536" s="31"/>
      <c r="F536" s="5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</row>
    <row r="537">
      <c r="A537" s="27"/>
      <c r="B537" s="35"/>
      <c r="C537" s="27"/>
      <c r="D537" s="35"/>
      <c r="E537" s="31"/>
      <c r="F537" s="5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</row>
    <row r="538">
      <c r="A538" s="27"/>
      <c r="B538" s="35"/>
      <c r="C538" s="27"/>
      <c r="D538" s="35"/>
      <c r="E538" s="31"/>
      <c r="F538" s="5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</row>
    <row r="539">
      <c r="A539" s="27"/>
      <c r="B539" s="35"/>
      <c r="C539" s="27"/>
      <c r="D539" s="35"/>
      <c r="E539" s="31"/>
      <c r="F539" s="5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</row>
    <row r="540">
      <c r="A540" s="27"/>
      <c r="B540" s="35"/>
      <c r="C540" s="27"/>
      <c r="D540" s="35"/>
      <c r="E540" s="31"/>
      <c r="F540" s="5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</row>
    <row r="541">
      <c r="A541" s="27"/>
      <c r="B541" s="35"/>
      <c r="C541" s="27"/>
      <c r="D541" s="35"/>
      <c r="E541" s="31"/>
      <c r="F541" s="5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</row>
    <row r="542">
      <c r="A542" s="27"/>
      <c r="B542" s="35"/>
      <c r="C542" s="27"/>
      <c r="D542" s="35"/>
      <c r="E542" s="31"/>
      <c r="F542" s="5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</row>
    <row r="543">
      <c r="A543" s="27"/>
      <c r="B543" s="35"/>
      <c r="C543" s="27"/>
      <c r="D543" s="35"/>
      <c r="E543" s="31"/>
      <c r="F543" s="5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</row>
    <row r="544">
      <c r="A544" s="27"/>
      <c r="B544" s="35"/>
      <c r="C544" s="27"/>
      <c r="D544" s="35"/>
      <c r="E544" s="31"/>
      <c r="F544" s="5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</row>
    <row r="545">
      <c r="A545" s="27"/>
      <c r="B545" s="35"/>
      <c r="C545" s="27"/>
      <c r="D545" s="35"/>
      <c r="E545" s="31"/>
      <c r="F545" s="5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</row>
    <row r="546">
      <c r="A546" s="27"/>
      <c r="B546" s="35"/>
      <c r="C546" s="27"/>
      <c r="D546" s="35"/>
      <c r="E546" s="31"/>
      <c r="F546" s="5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</row>
    <row r="547">
      <c r="A547" s="27"/>
      <c r="B547" s="35"/>
      <c r="C547" s="27"/>
      <c r="D547" s="35"/>
      <c r="E547" s="31"/>
      <c r="F547" s="5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</row>
    <row r="548">
      <c r="A548" s="27"/>
      <c r="B548" s="35"/>
      <c r="C548" s="27"/>
      <c r="D548" s="35"/>
      <c r="E548" s="31"/>
      <c r="F548" s="5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</row>
    <row r="549">
      <c r="A549" s="27"/>
      <c r="B549" s="35"/>
      <c r="C549" s="27"/>
      <c r="D549" s="35"/>
      <c r="E549" s="31"/>
      <c r="F549" s="5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</row>
    <row r="550">
      <c r="A550" s="27"/>
      <c r="B550" s="35"/>
      <c r="C550" s="27"/>
      <c r="D550" s="35"/>
      <c r="E550" s="31"/>
      <c r="F550" s="5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</row>
    <row r="551">
      <c r="A551" s="27"/>
      <c r="B551" s="35"/>
      <c r="C551" s="27"/>
      <c r="D551" s="35"/>
      <c r="E551" s="31"/>
      <c r="F551" s="5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</row>
    <row r="552">
      <c r="A552" s="27"/>
      <c r="B552" s="35"/>
      <c r="C552" s="27"/>
      <c r="D552" s="35"/>
      <c r="E552" s="31"/>
      <c r="F552" s="5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</row>
    <row r="553">
      <c r="A553" s="27"/>
      <c r="B553" s="35"/>
      <c r="C553" s="27"/>
      <c r="D553" s="35"/>
      <c r="E553" s="31"/>
      <c r="F553" s="5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</row>
    <row r="554">
      <c r="A554" s="27"/>
      <c r="B554" s="35"/>
      <c r="C554" s="27"/>
      <c r="D554" s="35"/>
      <c r="E554" s="31"/>
      <c r="F554" s="5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</row>
    <row r="555">
      <c r="A555" s="27"/>
      <c r="B555" s="35"/>
      <c r="C555" s="27"/>
      <c r="D555" s="35"/>
      <c r="E555" s="31"/>
      <c r="F555" s="5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</row>
    <row r="556">
      <c r="A556" s="27"/>
      <c r="B556" s="35"/>
      <c r="C556" s="27"/>
      <c r="D556" s="35"/>
      <c r="E556" s="31"/>
      <c r="F556" s="5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</row>
    <row r="557">
      <c r="A557" s="27"/>
      <c r="B557" s="35"/>
      <c r="C557" s="27"/>
      <c r="D557" s="35"/>
      <c r="E557" s="31"/>
      <c r="F557" s="5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</row>
    <row r="558">
      <c r="A558" s="27"/>
      <c r="B558" s="35"/>
      <c r="C558" s="27"/>
      <c r="D558" s="35"/>
      <c r="E558" s="31"/>
      <c r="F558" s="5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</row>
    <row r="559">
      <c r="A559" s="27"/>
      <c r="B559" s="35"/>
      <c r="C559" s="27"/>
      <c r="D559" s="35"/>
      <c r="E559" s="31"/>
      <c r="F559" s="5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</row>
    <row r="560">
      <c r="A560" s="27"/>
      <c r="B560" s="35"/>
      <c r="C560" s="27"/>
      <c r="D560" s="35"/>
      <c r="E560" s="31"/>
      <c r="F560" s="5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</row>
    <row r="561">
      <c r="A561" s="27"/>
      <c r="B561" s="35"/>
      <c r="C561" s="27"/>
      <c r="D561" s="35"/>
      <c r="E561" s="31"/>
      <c r="F561" s="5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</row>
    <row r="562">
      <c r="A562" s="27"/>
      <c r="B562" s="35"/>
      <c r="C562" s="27"/>
      <c r="D562" s="35"/>
      <c r="E562" s="31"/>
      <c r="F562" s="5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</row>
    <row r="563">
      <c r="A563" s="27"/>
      <c r="B563" s="35"/>
      <c r="C563" s="27"/>
      <c r="D563" s="35"/>
      <c r="E563" s="31"/>
      <c r="F563" s="5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</row>
    <row r="564">
      <c r="A564" s="27"/>
      <c r="B564" s="35"/>
      <c r="C564" s="27"/>
      <c r="D564" s="35"/>
      <c r="E564" s="31"/>
      <c r="F564" s="5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</row>
    <row r="565">
      <c r="A565" s="27"/>
      <c r="B565" s="35"/>
      <c r="C565" s="27"/>
      <c r="D565" s="35"/>
      <c r="E565" s="31"/>
      <c r="F565" s="5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</row>
    <row r="566">
      <c r="A566" s="27"/>
      <c r="B566" s="35"/>
      <c r="C566" s="27"/>
      <c r="D566" s="35"/>
      <c r="E566" s="31"/>
      <c r="F566" s="5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</row>
    <row r="567">
      <c r="A567" s="27"/>
      <c r="B567" s="35"/>
      <c r="C567" s="27"/>
      <c r="D567" s="35"/>
      <c r="E567" s="31"/>
      <c r="F567" s="5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</row>
    <row r="568">
      <c r="A568" s="27"/>
      <c r="B568" s="35"/>
      <c r="C568" s="27"/>
      <c r="D568" s="35"/>
      <c r="E568" s="31"/>
      <c r="F568" s="5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</row>
    <row r="569">
      <c r="A569" s="27"/>
      <c r="B569" s="35"/>
      <c r="C569" s="27"/>
      <c r="D569" s="35"/>
      <c r="E569" s="31"/>
      <c r="F569" s="5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</row>
    <row r="570">
      <c r="A570" s="27"/>
      <c r="B570" s="35"/>
      <c r="C570" s="27"/>
      <c r="D570" s="35"/>
      <c r="E570" s="31"/>
      <c r="F570" s="5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</row>
    <row r="571">
      <c r="A571" s="27"/>
      <c r="B571" s="35"/>
      <c r="C571" s="27"/>
      <c r="D571" s="35"/>
      <c r="E571" s="31"/>
      <c r="F571" s="5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</row>
    <row r="572">
      <c r="A572" s="27"/>
      <c r="B572" s="35"/>
      <c r="C572" s="27"/>
      <c r="D572" s="35"/>
      <c r="E572" s="31"/>
      <c r="F572" s="5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</row>
    <row r="573">
      <c r="A573" s="27"/>
      <c r="B573" s="35"/>
      <c r="C573" s="27"/>
      <c r="D573" s="35"/>
      <c r="E573" s="31"/>
      <c r="F573" s="5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</row>
    <row r="574">
      <c r="A574" s="27"/>
      <c r="B574" s="35"/>
      <c r="C574" s="27"/>
      <c r="D574" s="35"/>
      <c r="E574" s="31"/>
      <c r="F574" s="5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</row>
    <row r="575">
      <c r="A575" s="27"/>
      <c r="B575" s="35"/>
      <c r="C575" s="27"/>
      <c r="D575" s="35"/>
      <c r="E575" s="31"/>
      <c r="F575" s="5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</row>
    <row r="576">
      <c r="A576" s="27"/>
      <c r="B576" s="35"/>
      <c r="C576" s="27"/>
      <c r="D576" s="35"/>
      <c r="E576" s="31"/>
      <c r="F576" s="5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</row>
    <row r="577">
      <c r="A577" s="27"/>
      <c r="B577" s="35"/>
      <c r="C577" s="27"/>
      <c r="D577" s="35"/>
      <c r="E577" s="31"/>
      <c r="F577" s="5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</row>
    <row r="578">
      <c r="A578" s="27"/>
      <c r="B578" s="35"/>
      <c r="C578" s="27"/>
      <c r="D578" s="35"/>
      <c r="E578" s="31"/>
      <c r="F578" s="5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</row>
    <row r="579">
      <c r="A579" s="27"/>
      <c r="B579" s="35"/>
      <c r="C579" s="27"/>
      <c r="D579" s="35"/>
      <c r="E579" s="31"/>
      <c r="F579" s="5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</row>
    <row r="580">
      <c r="A580" s="27"/>
      <c r="B580" s="35"/>
      <c r="C580" s="27"/>
      <c r="D580" s="35"/>
      <c r="E580" s="31"/>
      <c r="F580" s="5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</row>
    <row r="581">
      <c r="A581" s="27"/>
      <c r="B581" s="35"/>
      <c r="C581" s="27"/>
      <c r="D581" s="35"/>
      <c r="E581" s="31"/>
      <c r="F581" s="5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</row>
    <row r="582">
      <c r="A582" s="27"/>
      <c r="B582" s="35"/>
      <c r="C582" s="27"/>
      <c r="D582" s="35"/>
      <c r="E582" s="31"/>
      <c r="F582" s="5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</row>
    <row r="583">
      <c r="A583" s="27"/>
      <c r="B583" s="35"/>
      <c r="C583" s="27"/>
      <c r="D583" s="35"/>
      <c r="E583" s="31"/>
      <c r="F583" s="5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</row>
    <row r="584">
      <c r="A584" s="27"/>
      <c r="B584" s="35"/>
      <c r="C584" s="27"/>
      <c r="D584" s="35"/>
      <c r="E584" s="31"/>
      <c r="F584" s="5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</row>
    <row r="585">
      <c r="A585" s="27"/>
      <c r="B585" s="35"/>
      <c r="C585" s="27"/>
      <c r="D585" s="35"/>
      <c r="E585" s="31"/>
      <c r="F585" s="5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</row>
    <row r="586">
      <c r="A586" s="27"/>
      <c r="B586" s="35"/>
      <c r="C586" s="27"/>
      <c r="D586" s="35"/>
      <c r="E586" s="31"/>
      <c r="F586" s="5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</row>
    <row r="587">
      <c r="A587" s="27"/>
      <c r="B587" s="35"/>
      <c r="C587" s="27"/>
      <c r="D587" s="35"/>
      <c r="E587" s="31"/>
      <c r="F587" s="5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</row>
    <row r="588">
      <c r="A588" s="27"/>
      <c r="B588" s="35"/>
      <c r="C588" s="27"/>
      <c r="D588" s="35"/>
      <c r="E588" s="31"/>
      <c r="F588" s="5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</row>
    <row r="589">
      <c r="A589" s="27"/>
      <c r="B589" s="35"/>
      <c r="C589" s="27"/>
      <c r="D589" s="35"/>
      <c r="E589" s="31"/>
      <c r="F589" s="5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</row>
    <row r="590">
      <c r="A590" s="27"/>
      <c r="B590" s="35"/>
      <c r="C590" s="27"/>
      <c r="D590" s="35"/>
      <c r="E590" s="31"/>
      <c r="F590" s="5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</row>
    <row r="591">
      <c r="A591" s="27"/>
      <c r="B591" s="35"/>
      <c r="C591" s="27"/>
      <c r="D591" s="35"/>
      <c r="E591" s="31"/>
      <c r="F591" s="5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</row>
    <row r="592">
      <c r="A592" s="27"/>
      <c r="B592" s="35"/>
      <c r="C592" s="27"/>
      <c r="D592" s="35"/>
      <c r="E592" s="31"/>
      <c r="F592" s="5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</row>
    <row r="593">
      <c r="A593" s="27"/>
      <c r="B593" s="35"/>
      <c r="C593" s="27"/>
      <c r="D593" s="35"/>
      <c r="E593" s="31"/>
      <c r="F593" s="5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</row>
    <row r="594">
      <c r="A594" s="27"/>
      <c r="B594" s="35"/>
      <c r="C594" s="27"/>
      <c r="D594" s="35"/>
      <c r="E594" s="31"/>
      <c r="F594" s="5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</row>
    <row r="595">
      <c r="A595" s="27"/>
      <c r="B595" s="35"/>
      <c r="C595" s="27"/>
      <c r="D595" s="35"/>
      <c r="E595" s="31"/>
      <c r="F595" s="5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</row>
    <row r="596">
      <c r="A596" s="27"/>
      <c r="B596" s="35"/>
      <c r="C596" s="27"/>
      <c r="D596" s="35"/>
      <c r="E596" s="31"/>
      <c r="F596" s="5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</row>
    <row r="597">
      <c r="A597" s="27"/>
      <c r="B597" s="35"/>
      <c r="C597" s="27"/>
      <c r="D597" s="35"/>
      <c r="E597" s="31"/>
      <c r="F597" s="5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</row>
    <row r="598">
      <c r="A598" s="27"/>
      <c r="B598" s="35"/>
      <c r="C598" s="27"/>
      <c r="D598" s="35"/>
      <c r="E598" s="31"/>
      <c r="F598" s="5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</row>
    <row r="599">
      <c r="A599" s="27"/>
      <c r="B599" s="35"/>
      <c r="C599" s="27"/>
      <c r="D599" s="35"/>
      <c r="E599" s="31"/>
      <c r="F599" s="5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</row>
    <row r="600">
      <c r="A600" s="27"/>
      <c r="B600" s="35"/>
      <c r="C600" s="27"/>
      <c r="D600" s="35"/>
      <c r="E600" s="31"/>
      <c r="F600" s="5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</row>
    <row r="601">
      <c r="A601" s="27"/>
      <c r="B601" s="35"/>
      <c r="C601" s="27"/>
      <c r="D601" s="35"/>
      <c r="E601" s="31"/>
      <c r="F601" s="5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</row>
    <row r="602">
      <c r="A602" s="27"/>
      <c r="B602" s="35"/>
      <c r="C602" s="27"/>
      <c r="D602" s="35"/>
      <c r="E602" s="31"/>
      <c r="F602" s="5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</row>
    <row r="603">
      <c r="A603" s="27"/>
      <c r="B603" s="35"/>
      <c r="C603" s="27"/>
      <c r="D603" s="35"/>
      <c r="E603" s="31"/>
      <c r="F603" s="5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</row>
    <row r="604">
      <c r="A604" s="27"/>
      <c r="B604" s="35"/>
      <c r="C604" s="27"/>
      <c r="D604" s="35"/>
      <c r="E604" s="31"/>
      <c r="F604" s="5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</row>
    <row r="605">
      <c r="A605" s="27"/>
      <c r="B605" s="35"/>
      <c r="C605" s="27"/>
      <c r="D605" s="35"/>
      <c r="E605" s="31"/>
      <c r="F605" s="5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</row>
    <row r="606">
      <c r="A606" s="27"/>
      <c r="B606" s="35"/>
      <c r="C606" s="27"/>
      <c r="D606" s="35"/>
      <c r="E606" s="31"/>
      <c r="F606" s="5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</row>
    <row r="607">
      <c r="A607" s="27"/>
      <c r="B607" s="35"/>
      <c r="C607" s="27"/>
      <c r="D607" s="35"/>
      <c r="E607" s="31"/>
      <c r="F607" s="5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</row>
    <row r="608">
      <c r="A608" s="27"/>
      <c r="B608" s="35"/>
      <c r="C608" s="27"/>
      <c r="D608" s="35"/>
      <c r="E608" s="31"/>
      <c r="F608" s="5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</row>
    <row r="609">
      <c r="A609" s="27"/>
      <c r="B609" s="35"/>
      <c r="C609" s="27"/>
      <c r="D609" s="35"/>
      <c r="E609" s="31"/>
      <c r="F609" s="5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</row>
    <row r="610">
      <c r="A610" s="27"/>
      <c r="B610" s="35"/>
      <c r="C610" s="27"/>
      <c r="D610" s="35"/>
      <c r="E610" s="31"/>
      <c r="F610" s="5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</row>
    <row r="611">
      <c r="A611" s="27"/>
      <c r="B611" s="35"/>
      <c r="C611" s="27"/>
      <c r="D611" s="35"/>
      <c r="E611" s="31"/>
      <c r="F611" s="5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</row>
    <row r="612">
      <c r="A612" s="27"/>
      <c r="B612" s="35"/>
      <c r="C612" s="27"/>
      <c r="D612" s="35"/>
      <c r="E612" s="35"/>
      <c r="F612" s="5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</row>
    <row r="613">
      <c r="A613" s="27"/>
      <c r="B613" s="35"/>
      <c r="C613" s="27"/>
      <c r="D613" s="35"/>
      <c r="E613" s="35"/>
      <c r="F613" s="5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</row>
    <row r="614">
      <c r="A614" s="27"/>
      <c r="B614" s="35"/>
      <c r="C614" s="27"/>
      <c r="D614" s="35"/>
      <c r="E614" s="35"/>
      <c r="F614" s="5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</row>
    <row r="615">
      <c r="A615" s="27"/>
      <c r="B615" s="35"/>
      <c r="C615" s="27"/>
      <c r="D615" s="35"/>
      <c r="E615" s="35"/>
      <c r="F615" s="5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</row>
    <row r="616">
      <c r="A616" s="27"/>
      <c r="B616" s="35"/>
      <c r="C616" s="27"/>
      <c r="D616" s="35"/>
      <c r="E616" s="35"/>
      <c r="F616" s="5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</row>
    <row r="617">
      <c r="A617" s="27"/>
      <c r="B617" s="35"/>
      <c r="C617" s="27"/>
      <c r="D617" s="35"/>
      <c r="E617" s="35"/>
      <c r="F617" s="5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</row>
    <row r="618">
      <c r="A618" s="27"/>
      <c r="B618" s="35"/>
      <c r="C618" s="27"/>
      <c r="D618" s="35"/>
      <c r="E618" s="35"/>
      <c r="F618" s="5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</row>
    <row r="619">
      <c r="A619" s="27"/>
      <c r="B619" s="35"/>
      <c r="C619" s="27"/>
      <c r="D619" s="35"/>
      <c r="E619" s="35"/>
      <c r="F619" s="5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</row>
    <row r="620">
      <c r="A620" s="27"/>
      <c r="B620" s="35"/>
      <c r="C620" s="27"/>
      <c r="D620" s="35"/>
      <c r="E620" s="35"/>
      <c r="F620" s="5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</row>
    <row r="621">
      <c r="A621" s="27"/>
      <c r="B621" s="35"/>
      <c r="C621" s="27"/>
      <c r="D621" s="35"/>
      <c r="E621" s="35"/>
      <c r="F621" s="5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</row>
    <row r="622">
      <c r="A622" s="27"/>
      <c r="B622" s="35"/>
      <c r="C622" s="27"/>
      <c r="D622" s="35"/>
      <c r="E622" s="35"/>
      <c r="F622" s="5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</row>
    <row r="623">
      <c r="A623" s="27"/>
      <c r="B623" s="35"/>
      <c r="C623" s="27"/>
      <c r="D623" s="35"/>
      <c r="E623" s="35"/>
      <c r="F623" s="5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</row>
    <row r="624">
      <c r="A624" s="27"/>
      <c r="B624" s="35"/>
      <c r="C624" s="27"/>
      <c r="D624" s="35"/>
      <c r="E624" s="35"/>
      <c r="F624" s="5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</row>
    <row r="625">
      <c r="A625" s="27"/>
      <c r="B625" s="35"/>
      <c r="C625" s="27"/>
      <c r="D625" s="35"/>
      <c r="E625" s="35"/>
      <c r="F625" s="5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</row>
    <row r="626">
      <c r="A626" s="27"/>
      <c r="B626" s="35"/>
      <c r="C626" s="27"/>
      <c r="D626" s="35"/>
      <c r="E626" s="35"/>
      <c r="F626" s="5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</row>
    <row r="627">
      <c r="A627" s="27"/>
      <c r="B627" s="35"/>
      <c r="C627" s="27"/>
      <c r="D627" s="35"/>
      <c r="E627" s="35"/>
      <c r="F627" s="5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</row>
    <row r="628">
      <c r="A628" s="27"/>
      <c r="B628" s="35"/>
      <c r="C628" s="27"/>
      <c r="D628" s="35"/>
      <c r="E628" s="35"/>
      <c r="F628" s="5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</row>
    <row r="629">
      <c r="A629" s="27"/>
      <c r="B629" s="35"/>
      <c r="C629" s="27"/>
      <c r="D629" s="35"/>
      <c r="E629" s="35"/>
      <c r="F629" s="5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</row>
    <row r="630">
      <c r="A630" s="27"/>
      <c r="B630" s="35"/>
      <c r="C630" s="27"/>
      <c r="D630" s="35"/>
      <c r="E630" s="35"/>
      <c r="F630" s="5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</row>
    <row r="631">
      <c r="A631" s="27"/>
      <c r="B631" s="35"/>
      <c r="C631" s="27"/>
      <c r="D631" s="35"/>
      <c r="E631" s="35"/>
      <c r="F631" s="5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</row>
    <row r="632">
      <c r="A632" s="27"/>
      <c r="B632" s="35"/>
      <c r="C632" s="27"/>
      <c r="D632" s="35"/>
      <c r="E632" s="35"/>
      <c r="F632" s="5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</row>
    <row r="633">
      <c r="A633" s="27"/>
      <c r="B633" s="35"/>
      <c r="C633" s="27"/>
      <c r="D633" s="35"/>
      <c r="E633" s="35"/>
      <c r="F633" s="5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</row>
    <row r="634">
      <c r="A634" s="27"/>
      <c r="B634" s="35"/>
      <c r="C634" s="27"/>
      <c r="D634" s="35"/>
      <c r="E634" s="35"/>
      <c r="F634" s="5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</row>
    <row r="635">
      <c r="A635" s="27"/>
      <c r="B635" s="35"/>
      <c r="C635" s="27"/>
      <c r="D635" s="35"/>
      <c r="E635" s="35"/>
      <c r="F635" s="5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</row>
    <row r="636">
      <c r="A636" s="27"/>
      <c r="B636" s="35"/>
      <c r="C636" s="27"/>
      <c r="D636" s="35"/>
      <c r="E636" s="35"/>
      <c r="F636" s="5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</row>
    <row r="637">
      <c r="A637" s="27"/>
      <c r="B637" s="35"/>
      <c r="C637" s="27"/>
      <c r="D637" s="35"/>
      <c r="E637" s="35"/>
      <c r="F637" s="5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</row>
    <row r="638">
      <c r="A638" s="27"/>
      <c r="B638" s="35"/>
      <c r="C638" s="27"/>
      <c r="D638" s="35"/>
      <c r="E638" s="35"/>
      <c r="F638" s="5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</row>
    <row r="639">
      <c r="A639" s="27"/>
      <c r="B639" s="35"/>
      <c r="C639" s="27"/>
      <c r="D639" s="35"/>
      <c r="E639" s="35"/>
      <c r="F639" s="5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</row>
    <row r="640">
      <c r="A640" s="27"/>
      <c r="B640" s="35"/>
      <c r="C640" s="27"/>
      <c r="D640" s="35"/>
      <c r="E640" s="35"/>
      <c r="F640" s="5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</row>
    <row r="641">
      <c r="A641" s="27"/>
      <c r="B641" s="35"/>
      <c r="C641" s="27"/>
      <c r="D641" s="35"/>
      <c r="E641" s="35"/>
      <c r="F641" s="5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</row>
    <row r="642">
      <c r="A642" s="27"/>
      <c r="B642" s="35"/>
      <c r="C642" s="27"/>
      <c r="D642" s="35"/>
      <c r="E642" s="35"/>
      <c r="F642" s="5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</row>
    <row r="643">
      <c r="A643" s="27"/>
      <c r="B643" s="35"/>
      <c r="C643" s="27"/>
      <c r="D643" s="35"/>
      <c r="E643" s="35"/>
      <c r="F643" s="5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</row>
    <row r="644">
      <c r="A644" s="27"/>
      <c r="B644" s="35"/>
      <c r="C644" s="27"/>
      <c r="D644" s="35"/>
      <c r="E644" s="35"/>
      <c r="F644" s="5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</row>
    <row r="645">
      <c r="A645" s="27"/>
      <c r="B645" s="35"/>
      <c r="C645" s="27"/>
      <c r="D645" s="35"/>
      <c r="E645" s="35"/>
      <c r="F645" s="5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</row>
    <row r="646">
      <c r="A646" s="27"/>
      <c r="B646" s="35"/>
      <c r="C646" s="27"/>
      <c r="D646" s="35"/>
      <c r="E646" s="35"/>
      <c r="F646" s="5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</row>
    <row r="647">
      <c r="A647" s="27"/>
      <c r="B647" s="35"/>
      <c r="C647" s="27"/>
      <c r="D647" s="35"/>
      <c r="E647" s="35"/>
      <c r="F647" s="5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</row>
    <row r="648">
      <c r="A648" s="27"/>
      <c r="B648" s="35"/>
      <c r="C648" s="27"/>
      <c r="D648" s="35"/>
      <c r="E648" s="35"/>
      <c r="F648" s="5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</row>
    <row r="649">
      <c r="A649" s="27"/>
      <c r="B649" s="35"/>
      <c r="C649" s="27"/>
      <c r="D649" s="35"/>
      <c r="E649" s="35"/>
      <c r="F649" s="5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</row>
    <row r="650">
      <c r="A650" s="27"/>
      <c r="B650" s="35"/>
      <c r="C650" s="27"/>
      <c r="D650" s="35"/>
      <c r="E650" s="35"/>
      <c r="F650" s="5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</row>
    <row r="651">
      <c r="A651" s="27"/>
      <c r="B651" s="35"/>
      <c r="C651" s="27"/>
      <c r="D651" s="35"/>
      <c r="E651" s="35"/>
      <c r="F651" s="5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</row>
    <row r="652">
      <c r="A652" s="27"/>
      <c r="B652" s="35"/>
      <c r="C652" s="27"/>
      <c r="D652" s="35"/>
      <c r="E652" s="35"/>
      <c r="F652" s="5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</row>
    <row r="653">
      <c r="A653" s="27"/>
      <c r="B653" s="35"/>
      <c r="C653" s="27"/>
      <c r="D653" s="35"/>
      <c r="E653" s="35"/>
      <c r="F653" s="5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</row>
    <row r="654">
      <c r="A654" s="27"/>
      <c r="B654" s="35"/>
      <c r="C654" s="27"/>
      <c r="D654" s="35"/>
      <c r="E654" s="35"/>
      <c r="F654" s="5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</row>
    <row r="655">
      <c r="A655" s="27"/>
      <c r="B655" s="35"/>
      <c r="C655" s="27"/>
      <c r="D655" s="35"/>
      <c r="E655" s="35"/>
      <c r="F655" s="5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</row>
    <row r="656">
      <c r="A656" s="27"/>
      <c r="B656" s="35"/>
      <c r="C656" s="27"/>
      <c r="D656" s="35"/>
      <c r="E656" s="35"/>
      <c r="F656" s="5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</row>
    <row r="657">
      <c r="A657" s="27"/>
      <c r="B657" s="35"/>
      <c r="C657" s="27"/>
      <c r="D657" s="35"/>
      <c r="E657" s="35"/>
      <c r="F657" s="5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</row>
    <row r="658">
      <c r="A658" s="27"/>
      <c r="B658" s="35"/>
      <c r="C658" s="27"/>
      <c r="D658" s="35"/>
      <c r="E658" s="35"/>
      <c r="F658" s="5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</row>
    <row r="659">
      <c r="A659" s="27"/>
      <c r="B659" s="35"/>
      <c r="C659" s="27"/>
      <c r="D659" s="35"/>
      <c r="E659" s="35"/>
      <c r="F659" s="5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</row>
    <row r="660">
      <c r="A660" s="27"/>
      <c r="B660" s="35"/>
      <c r="C660" s="27"/>
      <c r="D660" s="35"/>
      <c r="E660" s="35"/>
      <c r="F660" s="5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</row>
    <row r="661">
      <c r="A661" s="27"/>
      <c r="B661" s="35"/>
      <c r="C661" s="27"/>
      <c r="D661" s="35"/>
      <c r="E661" s="35"/>
      <c r="F661" s="5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</row>
    <row r="662">
      <c r="A662" s="27"/>
      <c r="B662" s="35"/>
      <c r="C662" s="27"/>
      <c r="D662" s="35"/>
      <c r="E662" s="35"/>
      <c r="F662" s="5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</row>
    <row r="663">
      <c r="A663" s="27"/>
      <c r="B663" s="35"/>
      <c r="C663" s="27"/>
      <c r="D663" s="35"/>
      <c r="E663" s="35"/>
      <c r="F663" s="5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</row>
    <row r="664">
      <c r="A664" s="27"/>
      <c r="B664" s="35"/>
      <c r="C664" s="27"/>
      <c r="D664" s="35"/>
      <c r="E664" s="35"/>
      <c r="F664" s="5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</row>
    <row r="665">
      <c r="A665" s="27"/>
      <c r="B665" s="35"/>
      <c r="C665" s="27"/>
      <c r="D665" s="35"/>
      <c r="E665" s="35"/>
      <c r="F665" s="5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</row>
    <row r="666">
      <c r="A666" s="27"/>
      <c r="B666" s="35"/>
      <c r="C666" s="27"/>
      <c r="D666" s="35"/>
      <c r="E666" s="35"/>
      <c r="F666" s="5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</row>
    <row r="667">
      <c r="A667" s="27"/>
      <c r="B667" s="35"/>
      <c r="C667" s="27"/>
      <c r="D667" s="35"/>
      <c r="E667" s="35"/>
      <c r="F667" s="5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</row>
    <row r="668">
      <c r="A668" s="27"/>
      <c r="B668" s="35"/>
      <c r="C668" s="27"/>
      <c r="D668" s="35"/>
      <c r="E668" s="35"/>
      <c r="F668" s="5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</row>
    <row r="669">
      <c r="A669" s="27"/>
      <c r="B669" s="35"/>
      <c r="C669" s="27"/>
      <c r="D669" s="35"/>
      <c r="E669" s="35"/>
      <c r="F669" s="5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</row>
    <row r="670">
      <c r="A670" s="27"/>
      <c r="B670" s="35"/>
      <c r="C670" s="27"/>
      <c r="D670" s="35"/>
      <c r="E670" s="35"/>
      <c r="F670" s="5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</row>
    <row r="671">
      <c r="A671" s="27"/>
      <c r="B671" s="35"/>
      <c r="C671" s="27"/>
      <c r="D671" s="35"/>
      <c r="E671" s="35"/>
      <c r="F671" s="5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</row>
    <row r="672">
      <c r="A672" s="27"/>
      <c r="B672" s="35"/>
      <c r="C672" s="27"/>
      <c r="D672" s="35"/>
      <c r="E672" s="35"/>
      <c r="F672" s="5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</row>
    <row r="673">
      <c r="A673" s="27"/>
      <c r="B673" s="35"/>
      <c r="C673" s="27"/>
      <c r="D673" s="35"/>
      <c r="E673" s="35"/>
      <c r="F673" s="5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</row>
    <row r="674">
      <c r="A674" s="27"/>
      <c r="B674" s="35"/>
      <c r="C674" s="27"/>
      <c r="D674" s="35"/>
      <c r="E674" s="35"/>
      <c r="F674" s="5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</row>
    <row r="675">
      <c r="A675" s="27"/>
      <c r="B675" s="35"/>
      <c r="C675" s="27"/>
      <c r="D675" s="35"/>
      <c r="E675" s="35"/>
      <c r="F675" s="5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</row>
    <row r="676">
      <c r="A676" s="27"/>
      <c r="B676" s="35"/>
      <c r="C676" s="27"/>
      <c r="D676" s="35"/>
      <c r="E676" s="35"/>
      <c r="F676" s="5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</row>
    <row r="677">
      <c r="A677" s="27"/>
      <c r="B677" s="35"/>
      <c r="C677" s="27"/>
      <c r="D677" s="35"/>
      <c r="E677" s="35"/>
      <c r="F677" s="5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</row>
    <row r="678">
      <c r="A678" s="27"/>
      <c r="B678" s="35"/>
      <c r="C678" s="27"/>
      <c r="D678" s="35"/>
      <c r="E678" s="35"/>
      <c r="F678" s="5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</row>
    <row r="679">
      <c r="A679" s="27"/>
      <c r="B679" s="35"/>
      <c r="C679" s="27"/>
      <c r="D679" s="35"/>
      <c r="E679" s="35"/>
      <c r="F679" s="5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</row>
    <row r="680">
      <c r="A680" s="27"/>
      <c r="B680" s="35"/>
      <c r="C680" s="27"/>
      <c r="D680" s="35"/>
      <c r="E680" s="35"/>
      <c r="F680" s="5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</row>
    <row r="681">
      <c r="A681" s="27"/>
      <c r="B681" s="35"/>
      <c r="C681" s="27"/>
      <c r="D681" s="35"/>
      <c r="E681" s="35"/>
      <c r="F681" s="5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</row>
    <row r="682">
      <c r="A682" s="27"/>
      <c r="B682" s="35"/>
      <c r="C682" s="27"/>
      <c r="D682" s="35"/>
      <c r="E682" s="35"/>
      <c r="F682" s="5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</row>
    <row r="683">
      <c r="A683" s="27"/>
      <c r="B683" s="35"/>
      <c r="C683" s="27"/>
      <c r="D683" s="35"/>
      <c r="E683" s="35"/>
      <c r="F683" s="5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</row>
    <row r="684">
      <c r="A684" s="27"/>
      <c r="B684" s="35"/>
      <c r="C684" s="27"/>
      <c r="D684" s="35"/>
      <c r="E684" s="35"/>
      <c r="F684" s="5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</row>
    <row r="685">
      <c r="A685" s="27"/>
      <c r="B685" s="35"/>
      <c r="C685" s="27"/>
      <c r="D685" s="35"/>
      <c r="E685" s="35"/>
      <c r="F685" s="5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</row>
    <row r="686">
      <c r="A686" s="27"/>
      <c r="B686" s="35"/>
      <c r="C686" s="27"/>
      <c r="D686" s="35"/>
      <c r="E686" s="35"/>
      <c r="F686" s="5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</row>
    <row r="687">
      <c r="A687" s="27"/>
      <c r="B687" s="35"/>
      <c r="C687" s="27"/>
      <c r="D687" s="35"/>
      <c r="E687" s="35"/>
      <c r="F687" s="5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</row>
    <row r="688">
      <c r="A688" s="27"/>
      <c r="B688" s="35"/>
      <c r="C688" s="27"/>
      <c r="D688" s="35"/>
      <c r="E688" s="35"/>
      <c r="F688" s="5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</row>
    <row r="689">
      <c r="A689" s="27"/>
      <c r="B689" s="35"/>
      <c r="C689" s="27"/>
      <c r="D689" s="35"/>
      <c r="E689" s="35"/>
      <c r="F689" s="5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</row>
    <row r="690">
      <c r="A690" s="27"/>
      <c r="B690" s="35"/>
      <c r="C690" s="27"/>
      <c r="D690" s="35"/>
      <c r="E690" s="35"/>
      <c r="F690" s="5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</row>
    <row r="691">
      <c r="A691" s="27"/>
      <c r="B691" s="35"/>
      <c r="C691" s="27"/>
      <c r="D691" s="35"/>
      <c r="E691" s="35"/>
      <c r="F691" s="5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</row>
    <row r="692">
      <c r="A692" s="27"/>
      <c r="B692" s="35"/>
      <c r="C692" s="27"/>
      <c r="D692" s="35"/>
      <c r="E692" s="35"/>
      <c r="F692" s="5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</row>
    <row r="693">
      <c r="A693" s="27"/>
      <c r="B693" s="35"/>
      <c r="C693" s="27"/>
      <c r="D693" s="35"/>
      <c r="E693" s="35"/>
      <c r="F693" s="5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</row>
    <row r="694">
      <c r="A694" s="27"/>
      <c r="B694" s="35"/>
      <c r="C694" s="27"/>
      <c r="D694" s="35"/>
      <c r="E694" s="35"/>
      <c r="F694" s="5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</row>
    <row r="695">
      <c r="A695" s="27"/>
      <c r="B695" s="35"/>
      <c r="C695" s="27"/>
      <c r="D695" s="35"/>
      <c r="E695" s="35"/>
      <c r="F695" s="5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</row>
    <row r="696">
      <c r="A696" s="27"/>
      <c r="B696" s="35"/>
      <c r="C696" s="27"/>
      <c r="D696" s="35"/>
      <c r="E696" s="35"/>
      <c r="F696" s="5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</row>
    <row r="697">
      <c r="A697" s="27"/>
      <c r="B697" s="35"/>
      <c r="C697" s="27"/>
      <c r="D697" s="35"/>
      <c r="E697" s="35"/>
      <c r="F697" s="5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</row>
    <row r="698">
      <c r="A698" s="27"/>
      <c r="B698" s="35"/>
      <c r="C698" s="27"/>
      <c r="D698" s="35"/>
      <c r="E698" s="35"/>
      <c r="F698" s="5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</row>
    <row r="699">
      <c r="A699" s="27"/>
      <c r="B699" s="35"/>
      <c r="C699" s="27"/>
      <c r="D699" s="35"/>
      <c r="E699" s="35"/>
      <c r="F699" s="5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</row>
    <row r="700">
      <c r="A700" s="27"/>
      <c r="B700" s="35"/>
      <c r="C700" s="27"/>
      <c r="D700" s="35"/>
      <c r="E700" s="35"/>
      <c r="F700" s="5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</row>
    <row r="701">
      <c r="A701" s="27"/>
      <c r="B701" s="35"/>
      <c r="C701" s="27"/>
      <c r="D701" s="35"/>
      <c r="E701" s="35"/>
      <c r="F701" s="5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</row>
    <row r="702">
      <c r="A702" s="27"/>
      <c r="B702" s="35"/>
      <c r="C702" s="27"/>
      <c r="D702" s="35"/>
      <c r="E702" s="35"/>
      <c r="F702" s="5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</row>
    <row r="703">
      <c r="A703" s="27"/>
      <c r="B703" s="35"/>
      <c r="C703" s="27"/>
      <c r="D703" s="35"/>
      <c r="E703" s="35"/>
      <c r="F703" s="5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</row>
    <row r="704">
      <c r="A704" s="27"/>
      <c r="B704" s="35"/>
      <c r="C704" s="27"/>
      <c r="D704" s="35"/>
      <c r="E704" s="35"/>
      <c r="F704" s="5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</row>
    <row r="705">
      <c r="A705" s="27"/>
      <c r="B705" s="35"/>
      <c r="C705" s="27"/>
      <c r="D705" s="35"/>
      <c r="E705" s="35"/>
      <c r="F705" s="5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</row>
    <row r="706">
      <c r="A706" s="27"/>
      <c r="B706" s="35"/>
      <c r="C706" s="27"/>
      <c r="D706" s="35"/>
      <c r="E706" s="35"/>
      <c r="F706" s="5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</row>
    <row r="707">
      <c r="A707" s="27"/>
      <c r="B707" s="35"/>
      <c r="C707" s="27"/>
      <c r="D707" s="35"/>
      <c r="E707" s="35"/>
      <c r="F707" s="5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</row>
    <row r="708">
      <c r="A708" s="27"/>
      <c r="B708" s="35"/>
      <c r="C708" s="27"/>
      <c r="D708" s="35"/>
      <c r="E708" s="35"/>
      <c r="F708" s="5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</row>
    <row r="709">
      <c r="A709" s="27"/>
      <c r="B709" s="35"/>
      <c r="C709" s="27"/>
      <c r="D709" s="35"/>
      <c r="E709" s="35"/>
      <c r="F709" s="5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</row>
    <row r="710">
      <c r="A710" s="27"/>
      <c r="B710" s="35"/>
      <c r="C710" s="27"/>
      <c r="D710" s="35"/>
      <c r="E710" s="35"/>
      <c r="F710" s="5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</row>
    <row r="711">
      <c r="A711" s="27"/>
      <c r="B711" s="35"/>
      <c r="C711" s="27"/>
      <c r="D711" s="35"/>
      <c r="E711" s="35"/>
      <c r="F711" s="5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</row>
    <row r="712">
      <c r="A712" s="27"/>
      <c r="B712" s="35"/>
      <c r="C712" s="27"/>
      <c r="D712" s="35"/>
      <c r="E712" s="35"/>
      <c r="F712" s="5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</row>
    <row r="713">
      <c r="A713" s="27"/>
      <c r="B713" s="35"/>
      <c r="C713" s="27"/>
      <c r="D713" s="35"/>
      <c r="E713" s="35"/>
      <c r="F713" s="5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</row>
    <row r="714">
      <c r="A714" s="27"/>
      <c r="B714" s="35"/>
      <c r="C714" s="27"/>
      <c r="D714" s="35"/>
      <c r="E714" s="35"/>
      <c r="F714" s="5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</row>
    <row r="715">
      <c r="A715" s="27"/>
      <c r="B715" s="35"/>
      <c r="C715" s="27"/>
      <c r="D715" s="35"/>
      <c r="E715" s="35"/>
      <c r="F715" s="5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</row>
    <row r="716">
      <c r="A716" s="27"/>
      <c r="B716" s="35"/>
      <c r="C716" s="27"/>
      <c r="D716" s="35"/>
      <c r="E716" s="35"/>
      <c r="F716" s="5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</row>
    <row r="717">
      <c r="A717" s="27"/>
      <c r="B717" s="35"/>
      <c r="C717" s="27"/>
      <c r="D717" s="35"/>
      <c r="E717" s="35"/>
      <c r="F717" s="5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</row>
    <row r="718">
      <c r="A718" s="27"/>
      <c r="B718" s="35"/>
      <c r="C718" s="27"/>
      <c r="D718" s="35"/>
      <c r="E718" s="35"/>
      <c r="F718" s="5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</row>
    <row r="719">
      <c r="A719" s="27"/>
      <c r="B719" s="35"/>
      <c r="C719" s="27"/>
      <c r="D719" s="35"/>
      <c r="E719" s="35"/>
      <c r="F719" s="5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</row>
    <row r="720">
      <c r="A720" s="27"/>
      <c r="B720" s="35"/>
      <c r="C720" s="27"/>
      <c r="D720" s="35"/>
      <c r="E720" s="35"/>
      <c r="F720" s="5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</row>
    <row r="721">
      <c r="A721" s="27"/>
      <c r="B721" s="35"/>
      <c r="C721" s="27"/>
      <c r="D721" s="35"/>
      <c r="E721" s="35"/>
      <c r="F721" s="5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</row>
    <row r="722">
      <c r="A722" s="27"/>
      <c r="B722" s="35"/>
      <c r="C722" s="27"/>
      <c r="D722" s="35"/>
      <c r="E722" s="35"/>
      <c r="F722" s="5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</row>
    <row r="723">
      <c r="A723" s="27"/>
      <c r="B723" s="35"/>
      <c r="C723" s="27"/>
      <c r="D723" s="35"/>
      <c r="E723" s="35"/>
      <c r="F723" s="5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</row>
    <row r="724">
      <c r="A724" s="27"/>
      <c r="B724" s="35"/>
      <c r="C724" s="27"/>
      <c r="D724" s="35"/>
      <c r="E724" s="35"/>
      <c r="F724" s="5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</row>
    <row r="725">
      <c r="A725" s="27"/>
      <c r="B725" s="35"/>
      <c r="C725" s="27"/>
      <c r="D725" s="35"/>
      <c r="E725" s="35"/>
      <c r="F725" s="5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</row>
    <row r="726">
      <c r="A726" s="27"/>
      <c r="B726" s="35"/>
      <c r="C726" s="27"/>
      <c r="D726" s="35"/>
      <c r="E726" s="35"/>
      <c r="F726" s="5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</row>
    <row r="727">
      <c r="A727" s="27"/>
      <c r="B727" s="35"/>
      <c r="C727" s="27"/>
      <c r="D727" s="35"/>
      <c r="E727" s="35"/>
      <c r="F727" s="5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</row>
    <row r="728">
      <c r="A728" s="27"/>
      <c r="B728" s="35"/>
      <c r="C728" s="27"/>
      <c r="D728" s="35"/>
      <c r="E728" s="35"/>
      <c r="F728" s="5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</row>
    <row r="729">
      <c r="A729" s="27"/>
      <c r="B729" s="35"/>
      <c r="C729" s="27"/>
      <c r="D729" s="35"/>
      <c r="E729" s="35"/>
      <c r="F729" s="5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</row>
    <row r="730">
      <c r="A730" s="27"/>
      <c r="B730" s="35"/>
      <c r="C730" s="27"/>
      <c r="D730" s="35"/>
      <c r="E730" s="35"/>
      <c r="F730" s="5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</row>
    <row r="731">
      <c r="A731" s="27"/>
      <c r="B731" s="35"/>
      <c r="C731" s="27"/>
      <c r="D731" s="35"/>
      <c r="E731" s="35"/>
      <c r="F731" s="5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</row>
    <row r="732">
      <c r="A732" s="27"/>
      <c r="B732" s="35"/>
      <c r="C732" s="27"/>
      <c r="D732" s="35"/>
      <c r="E732" s="35"/>
      <c r="F732" s="5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</row>
    <row r="733">
      <c r="A733" s="27"/>
      <c r="B733" s="35"/>
      <c r="C733" s="27"/>
      <c r="D733" s="35"/>
      <c r="E733" s="35"/>
      <c r="F733" s="5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</row>
    <row r="734">
      <c r="A734" s="27"/>
      <c r="B734" s="35"/>
      <c r="C734" s="27"/>
      <c r="D734" s="35"/>
      <c r="E734" s="35"/>
      <c r="F734" s="58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</row>
    <row r="735">
      <c r="A735" s="27"/>
      <c r="B735" s="35"/>
      <c r="C735" s="27"/>
      <c r="D735" s="35"/>
      <c r="E735" s="35"/>
      <c r="F735" s="58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</row>
    <row r="736">
      <c r="A736" s="27"/>
      <c r="B736" s="35"/>
      <c r="C736" s="27"/>
      <c r="D736" s="35"/>
      <c r="E736" s="35"/>
      <c r="F736" s="58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</row>
    <row r="737">
      <c r="A737" s="27"/>
      <c r="B737" s="35"/>
      <c r="C737" s="27"/>
      <c r="D737" s="35"/>
      <c r="E737" s="35"/>
      <c r="F737" s="58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</row>
    <row r="738">
      <c r="A738" s="27"/>
      <c r="B738" s="35"/>
      <c r="C738" s="27"/>
      <c r="D738" s="35"/>
      <c r="E738" s="35"/>
      <c r="F738" s="58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</row>
    <row r="739">
      <c r="A739" s="27"/>
      <c r="B739" s="35"/>
      <c r="C739" s="27"/>
      <c r="D739" s="35"/>
      <c r="E739" s="35"/>
      <c r="F739" s="58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</row>
    <row r="740">
      <c r="A740" s="27"/>
      <c r="B740" s="35"/>
      <c r="C740" s="27"/>
      <c r="D740" s="35"/>
      <c r="E740" s="35"/>
      <c r="F740" s="58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</row>
    <row r="741">
      <c r="A741" s="27"/>
      <c r="B741" s="35"/>
      <c r="C741" s="27"/>
      <c r="D741" s="35"/>
      <c r="E741" s="35"/>
      <c r="F741" s="58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</row>
    <row r="742">
      <c r="A742" s="27"/>
      <c r="B742" s="35"/>
      <c r="C742" s="27"/>
      <c r="D742" s="35"/>
      <c r="E742" s="35"/>
      <c r="F742" s="58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</row>
    <row r="743">
      <c r="A743" s="27"/>
      <c r="B743" s="35"/>
      <c r="C743" s="27"/>
      <c r="D743" s="35"/>
      <c r="E743" s="35"/>
      <c r="F743" s="58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</row>
    <row r="744">
      <c r="A744" s="27"/>
      <c r="B744" s="35"/>
      <c r="C744" s="27"/>
      <c r="D744" s="35"/>
      <c r="E744" s="35"/>
      <c r="F744" s="58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</row>
    <row r="745">
      <c r="A745" s="27"/>
      <c r="B745" s="35"/>
      <c r="C745" s="27"/>
      <c r="D745" s="35"/>
      <c r="E745" s="35"/>
      <c r="F745" s="58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</row>
    <row r="746">
      <c r="A746" s="27"/>
      <c r="B746" s="35"/>
      <c r="C746" s="27"/>
      <c r="D746" s="35"/>
      <c r="E746" s="35"/>
      <c r="F746" s="58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</row>
    <row r="747">
      <c r="A747" s="27"/>
      <c r="B747" s="35"/>
      <c r="C747" s="27"/>
      <c r="D747" s="35"/>
      <c r="E747" s="35"/>
      <c r="F747" s="58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</row>
    <row r="748">
      <c r="A748" s="27"/>
      <c r="B748" s="35"/>
      <c r="C748" s="27"/>
      <c r="D748" s="35"/>
      <c r="E748" s="35"/>
      <c r="F748" s="58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</row>
    <row r="749">
      <c r="A749" s="27"/>
      <c r="B749" s="35"/>
      <c r="C749" s="27"/>
      <c r="D749" s="35"/>
      <c r="E749" s="35"/>
      <c r="F749" s="58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</row>
    <row r="750">
      <c r="A750" s="27"/>
      <c r="B750" s="35"/>
      <c r="C750" s="27"/>
      <c r="D750" s="35"/>
      <c r="E750" s="35"/>
      <c r="F750" s="58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</row>
    <row r="751">
      <c r="A751" s="27"/>
      <c r="B751" s="35"/>
      <c r="C751" s="27"/>
      <c r="D751" s="35"/>
      <c r="E751" s="35"/>
      <c r="F751" s="58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</row>
    <row r="752">
      <c r="A752" s="27"/>
      <c r="B752" s="35"/>
      <c r="C752" s="27"/>
      <c r="D752" s="35"/>
      <c r="E752" s="35"/>
      <c r="F752" s="58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</row>
    <row r="753">
      <c r="A753" s="27"/>
      <c r="B753" s="35"/>
      <c r="C753" s="27"/>
      <c r="D753" s="35"/>
      <c r="E753" s="35"/>
      <c r="F753" s="58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</row>
    <row r="754">
      <c r="A754" s="27"/>
      <c r="B754" s="35"/>
      <c r="C754" s="27"/>
      <c r="D754" s="35"/>
      <c r="E754" s="35"/>
      <c r="F754" s="58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</row>
    <row r="755">
      <c r="A755" s="27"/>
      <c r="B755" s="35"/>
      <c r="C755" s="27"/>
      <c r="D755" s="35"/>
      <c r="E755" s="35"/>
      <c r="F755" s="58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</row>
    <row r="756">
      <c r="A756" s="27"/>
      <c r="B756" s="35"/>
      <c r="C756" s="27"/>
      <c r="D756" s="35"/>
      <c r="E756" s="35"/>
      <c r="F756" s="58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</row>
    <row r="757">
      <c r="A757" s="27"/>
      <c r="B757" s="35"/>
      <c r="C757" s="27"/>
      <c r="D757" s="35"/>
      <c r="E757" s="35"/>
      <c r="F757" s="58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</row>
    <row r="758">
      <c r="A758" s="27"/>
      <c r="B758" s="35"/>
      <c r="C758" s="27"/>
      <c r="D758" s="35"/>
      <c r="E758" s="35"/>
      <c r="F758" s="58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</row>
    <row r="759">
      <c r="A759" s="27"/>
      <c r="B759" s="35"/>
      <c r="C759" s="27"/>
      <c r="D759" s="35"/>
      <c r="E759" s="35"/>
      <c r="F759" s="58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</row>
    <row r="760">
      <c r="A760" s="27"/>
      <c r="B760" s="35"/>
      <c r="C760" s="27"/>
      <c r="D760" s="35"/>
      <c r="E760" s="35"/>
      <c r="F760" s="58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</row>
    <row r="761">
      <c r="A761" s="27"/>
      <c r="B761" s="35"/>
      <c r="C761" s="27"/>
      <c r="D761" s="35"/>
      <c r="E761" s="35"/>
      <c r="F761" s="58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</row>
    <row r="762">
      <c r="A762" s="27"/>
      <c r="B762" s="35"/>
      <c r="C762" s="27"/>
      <c r="D762" s="35"/>
      <c r="E762" s="35"/>
      <c r="F762" s="58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</row>
    <row r="763">
      <c r="A763" s="27"/>
      <c r="B763" s="35"/>
      <c r="C763" s="27"/>
      <c r="D763" s="35"/>
      <c r="E763" s="35"/>
      <c r="F763" s="58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</row>
    <row r="764">
      <c r="A764" s="27"/>
      <c r="B764" s="35"/>
      <c r="C764" s="27"/>
      <c r="D764" s="35"/>
      <c r="E764" s="35"/>
      <c r="F764" s="58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</row>
    <row r="765">
      <c r="A765" s="27"/>
      <c r="B765" s="35"/>
      <c r="C765" s="27"/>
      <c r="D765" s="35"/>
      <c r="E765" s="35"/>
      <c r="F765" s="58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</row>
    <row r="766">
      <c r="A766" s="27"/>
      <c r="B766" s="35"/>
      <c r="C766" s="27"/>
      <c r="D766" s="35"/>
      <c r="E766" s="35"/>
      <c r="F766" s="58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</row>
    <row r="767">
      <c r="A767" s="27"/>
      <c r="B767" s="35"/>
      <c r="C767" s="27"/>
      <c r="D767" s="35"/>
      <c r="E767" s="35"/>
      <c r="F767" s="58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</row>
    <row r="768">
      <c r="A768" s="27"/>
      <c r="B768" s="35"/>
      <c r="C768" s="27"/>
      <c r="D768" s="35"/>
      <c r="E768" s="35"/>
      <c r="F768" s="58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</row>
    <row r="769">
      <c r="A769" s="27"/>
      <c r="B769" s="35"/>
      <c r="C769" s="27"/>
      <c r="D769" s="35"/>
      <c r="E769" s="35"/>
      <c r="F769" s="58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</row>
    <row r="770">
      <c r="A770" s="27"/>
      <c r="B770" s="35"/>
      <c r="C770" s="27"/>
      <c r="D770" s="35"/>
      <c r="E770" s="35"/>
      <c r="F770" s="58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</row>
    <row r="771">
      <c r="A771" s="27"/>
      <c r="B771" s="35"/>
      <c r="C771" s="27"/>
      <c r="D771" s="35"/>
      <c r="E771" s="35"/>
      <c r="F771" s="58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</row>
    <row r="772">
      <c r="A772" s="27"/>
      <c r="B772" s="35"/>
      <c r="C772" s="27"/>
      <c r="D772" s="35"/>
      <c r="E772" s="35"/>
      <c r="F772" s="58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</row>
    <row r="773">
      <c r="A773" s="27"/>
      <c r="B773" s="35"/>
      <c r="C773" s="27"/>
      <c r="D773" s="35"/>
      <c r="E773" s="35"/>
      <c r="F773" s="58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</row>
    <row r="774">
      <c r="A774" s="27"/>
      <c r="B774" s="35"/>
      <c r="C774" s="27"/>
      <c r="D774" s="35"/>
      <c r="E774" s="35"/>
      <c r="F774" s="58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</row>
    <row r="775">
      <c r="A775" s="27"/>
      <c r="B775" s="35"/>
      <c r="C775" s="27"/>
      <c r="D775" s="35"/>
      <c r="E775" s="35"/>
      <c r="F775" s="58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</row>
    <row r="776">
      <c r="A776" s="27"/>
      <c r="B776" s="35"/>
      <c r="C776" s="27"/>
      <c r="D776" s="35"/>
      <c r="E776" s="35"/>
      <c r="F776" s="58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</row>
    <row r="777">
      <c r="A777" s="27"/>
      <c r="B777" s="35"/>
      <c r="C777" s="27"/>
      <c r="D777" s="35"/>
      <c r="E777" s="35"/>
      <c r="F777" s="58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</row>
    <row r="778">
      <c r="A778" s="27"/>
      <c r="B778" s="35"/>
      <c r="C778" s="27"/>
      <c r="D778" s="35"/>
      <c r="E778" s="35"/>
      <c r="F778" s="58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</row>
    <row r="779">
      <c r="A779" s="27"/>
      <c r="B779" s="35"/>
      <c r="C779" s="27"/>
      <c r="D779" s="35"/>
      <c r="E779" s="35"/>
      <c r="F779" s="58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</row>
    <row r="780">
      <c r="A780" s="27"/>
      <c r="B780" s="35"/>
      <c r="C780" s="27"/>
      <c r="D780" s="35"/>
      <c r="E780" s="35"/>
      <c r="F780" s="58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</row>
    <row r="781">
      <c r="A781" s="27"/>
      <c r="B781" s="35"/>
      <c r="C781" s="27"/>
      <c r="D781" s="35"/>
      <c r="E781" s="35"/>
      <c r="F781" s="58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</row>
    <row r="782">
      <c r="A782" s="27"/>
      <c r="B782" s="35"/>
      <c r="C782" s="27"/>
      <c r="D782" s="35"/>
      <c r="E782" s="35"/>
      <c r="F782" s="58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</row>
    <row r="783">
      <c r="A783" s="27"/>
      <c r="B783" s="35"/>
      <c r="C783" s="27"/>
      <c r="D783" s="35"/>
      <c r="E783" s="35"/>
      <c r="F783" s="58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</row>
    <row r="784">
      <c r="A784" s="27"/>
      <c r="B784" s="35"/>
      <c r="C784" s="27"/>
      <c r="D784" s="35"/>
      <c r="E784" s="35"/>
      <c r="F784" s="58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</row>
    <row r="785">
      <c r="A785" s="27"/>
      <c r="B785" s="35"/>
      <c r="C785" s="27"/>
      <c r="D785" s="35"/>
      <c r="E785" s="35"/>
      <c r="F785" s="58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</row>
    <row r="786">
      <c r="A786" s="27"/>
      <c r="B786" s="35"/>
      <c r="C786" s="27"/>
      <c r="D786" s="35"/>
      <c r="E786" s="35"/>
      <c r="F786" s="58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</row>
    <row r="787">
      <c r="A787" s="27"/>
      <c r="B787" s="35"/>
      <c r="C787" s="27"/>
      <c r="D787" s="35"/>
      <c r="E787" s="35"/>
      <c r="F787" s="58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</row>
    <row r="788">
      <c r="A788" s="27"/>
      <c r="B788" s="35"/>
      <c r="C788" s="27"/>
      <c r="D788" s="35"/>
      <c r="E788" s="35"/>
      <c r="F788" s="58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</row>
    <row r="789">
      <c r="A789" s="27"/>
      <c r="B789" s="35"/>
      <c r="C789" s="27"/>
      <c r="D789" s="35"/>
      <c r="E789" s="35"/>
      <c r="F789" s="58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</row>
    <row r="790">
      <c r="A790" s="27"/>
      <c r="B790" s="35"/>
      <c r="C790" s="27"/>
      <c r="D790" s="35"/>
      <c r="E790" s="35"/>
      <c r="F790" s="58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</row>
    <row r="791">
      <c r="A791" s="27"/>
      <c r="B791" s="35"/>
      <c r="C791" s="27"/>
      <c r="D791" s="35"/>
      <c r="E791" s="35"/>
      <c r="F791" s="58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</row>
    <row r="792">
      <c r="A792" s="27"/>
      <c r="B792" s="35"/>
      <c r="C792" s="27"/>
      <c r="D792" s="35"/>
      <c r="E792" s="35"/>
      <c r="F792" s="58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</row>
    <row r="793">
      <c r="A793" s="27"/>
      <c r="B793" s="35"/>
      <c r="C793" s="27"/>
      <c r="D793" s="35"/>
      <c r="E793" s="35"/>
      <c r="F793" s="58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</row>
    <row r="794">
      <c r="A794" s="27"/>
      <c r="B794" s="35"/>
      <c r="C794" s="27"/>
      <c r="D794" s="35"/>
      <c r="E794" s="35"/>
      <c r="F794" s="58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</row>
    <row r="795">
      <c r="A795" s="27"/>
      <c r="B795" s="35"/>
      <c r="C795" s="27"/>
      <c r="D795" s="35"/>
      <c r="E795" s="35"/>
      <c r="F795" s="58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</row>
    <row r="796">
      <c r="A796" s="27"/>
      <c r="B796" s="35"/>
      <c r="C796" s="27"/>
      <c r="D796" s="35"/>
      <c r="E796" s="35"/>
      <c r="F796" s="58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</row>
    <row r="797">
      <c r="A797" s="27"/>
      <c r="B797" s="35"/>
      <c r="C797" s="27"/>
      <c r="D797" s="35"/>
      <c r="E797" s="35"/>
      <c r="F797" s="58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</row>
    <row r="798">
      <c r="A798" s="27"/>
      <c r="B798" s="35"/>
      <c r="C798" s="27"/>
      <c r="D798" s="35"/>
      <c r="E798" s="35"/>
      <c r="F798" s="58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</row>
    <row r="799">
      <c r="A799" s="27"/>
      <c r="B799" s="35"/>
      <c r="C799" s="27"/>
      <c r="D799" s="35"/>
      <c r="E799" s="35"/>
      <c r="F799" s="58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</row>
    <row r="800">
      <c r="A800" s="27"/>
      <c r="B800" s="35"/>
      <c r="C800" s="27"/>
      <c r="D800" s="35"/>
      <c r="E800" s="35"/>
      <c r="F800" s="58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</row>
    <row r="801">
      <c r="A801" s="27"/>
      <c r="B801" s="35"/>
      <c r="C801" s="27"/>
      <c r="D801" s="35"/>
      <c r="E801" s="35"/>
      <c r="F801" s="58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</row>
    <row r="802">
      <c r="A802" s="27"/>
      <c r="B802" s="35"/>
      <c r="C802" s="27"/>
      <c r="D802" s="35"/>
      <c r="E802" s="35"/>
      <c r="F802" s="58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</row>
    <row r="803">
      <c r="A803" s="27"/>
      <c r="B803" s="35"/>
      <c r="C803" s="27"/>
      <c r="D803" s="35"/>
      <c r="E803" s="35"/>
      <c r="F803" s="58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</row>
    <row r="804">
      <c r="A804" s="27"/>
      <c r="B804" s="35"/>
      <c r="C804" s="27"/>
      <c r="D804" s="35"/>
      <c r="E804" s="35"/>
      <c r="F804" s="58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</row>
    <row r="805">
      <c r="A805" s="27"/>
      <c r="B805" s="35"/>
      <c r="C805" s="27"/>
      <c r="D805" s="35"/>
      <c r="E805" s="35"/>
      <c r="F805" s="58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</row>
    <row r="806">
      <c r="A806" s="27"/>
      <c r="B806" s="35"/>
      <c r="C806" s="27"/>
      <c r="D806" s="35"/>
      <c r="E806" s="35"/>
      <c r="F806" s="58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</row>
    <row r="807">
      <c r="A807" s="27"/>
      <c r="B807" s="35"/>
      <c r="C807" s="27"/>
      <c r="D807" s="35"/>
      <c r="E807" s="35"/>
      <c r="F807" s="58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</row>
    <row r="808">
      <c r="A808" s="27"/>
      <c r="B808" s="35"/>
      <c r="C808" s="27"/>
      <c r="D808" s="35"/>
      <c r="E808" s="35"/>
      <c r="F808" s="58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</row>
    <row r="809">
      <c r="A809" s="27"/>
      <c r="B809" s="35"/>
      <c r="C809" s="27"/>
      <c r="D809" s="35"/>
      <c r="E809" s="35"/>
      <c r="F809" s="58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</row>
    <row r="810">
      <c r="A810" s="27"/>
      <c r="B810" s="35"/>
      <c r="C810" s="27"/>
      <c r="D810" s="35"/>
      <c r="E810" s="35"/>
      <c r="F810" s="58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</row>
    <row r="811">
      <c r="A811" s="27"/>
      <c r="B811" s="35"/>
      <c r="C811" s="27"/>
      <c r="D811" s="35"/>
      <c r="E811" s="35"/>
      <c r="F811" s="58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</row>
    <row r="812">
      <c r="A812" s="27"/>
      <c r="B812" s="35"/>
      <c r="C812" s="27"/>
      <c r="D812" s="35"/>
      <c r="E812" s="35"/>
      <c r="F812" s="58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</row>
    <row r="813">
      <c r="A813" s="27"/>
      <c r="B813" s="35"/>
      <c r="C813" s="27"/>
      <c r="D813" s="35"/>
      <c r="E813" s="35"/>
      <c r="F813" s="58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</row>
    <row r="814">
      <c r="A814" s="27"/>
      <c r="B814" s="35"/>
      <c r="C814" s="27"/>
      <c r="D814" s="35"/>
      <c r="E814" s="35"/>
      <c r="F814" s="58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</row>
    <row r="815">
      <c r="A815" s="27"/>
      <c r="B815" s="35"/>
      <c r="C815" s="27"/>
      <c r="D815" s="35"/>
      <c r="E815" s="35"/>
      <c r="F815" s="58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</row>
    <row r="816">
      <c r="A816" s="27"/>
      <c r="B816" s="35"/>
      <c r="C816" s="27"/>
      <c r="D816" s="35"/>
      <c r="E816" s="35"/>
      <c r="F816" s="58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</row>
    <row r="817">
      <c r="A817" s="27"/>
      <c r="B817" s="35"/>
      <c r="C817" s="27"/>
      <c r="D817" s="35"/>
      <c r="E817" s="35"/>
      <c r="F817" s="58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</row>
    <row r="818">
      <c r="A818" s="27"/>
      <c r="B818" s="35"/>
      <c r="C818" s="27"/>
      <c r="D818" s="35"/>
      <c r="E818" s="35"/>
      <c r="F818" s="58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</row>
    <row r="819">
      <c r="A819" s="27"/>
      <c r="B819" s="35"/>
      <c r="C819" s="27"/>
      <c r="D819" s="35"/>
      <c r="E819" s="35"/>
      <c r="F819" s="58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</row>
    <row r="820">
      <c r="A820" s="27"/>
      <c r="B820" s="35"/>
      <c r="C820" s="27"/>
      <c r="D820" s="35"/>
      <c r="E820" s="35"/>
      <c r="F820" s="58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</row>
    <row r="821">
      <c r="A821" s="27"/>
      <c r="B821" s="35"/>
      <c r="C821" s="27"/>
      <c r="D821" s="35"/>
      <c r="E821" s="35"/>
      <c r="F821" s="58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</row>
    <row r="822">
      <c r="A822" s="27"/>
      <c r="B822" s="35"/>
      <c r="C822" s="27"/>
      <c r="D822" s="35"/>
      <c r="E822" s="35"/>
      <c r="F822" s="58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</row>
    <row r="823">
      <c r="A823" s="27"/>
      <c r="B823" s="35"/>
      <c r="C823" s="27"/>
      <c r="D823" s="35"/>
      <c r="E823" s="35"/>
      <c r="F823" s="58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</row>
    <row r="824">
      <c r="A824" s="27"/>
      <c r="B824" s="35"/>
      <c r="C824" s="27"/>
      <c r="D824" s="35"/>
      <c r="E824" s="35"/>
      <c r="F824" s="58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</row>
    <row r="825">
      <c r="A825" s="27"/>
      <c r="B825" s="35"/>
      <c r="C825" s="27"/>
      <c r="D825" s="35"/>
      <c r="E825" s="35"/>
      <c r="F825" s="58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</row>
    <row r="826">
      <c r="A826" s="27"/>
      <c r="B826" s="35"/>
      <c r="C826" s="27"/>
      <c r="D826" s="35"/>
      <c r="E826" s="35"/>
      <c r="F826" s="58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</row>
    <row r="827">
      <c r="A827" s="27"/>
      <c r="B827" s="35"/>
      <c r="C827" s="27"/>
      <c r="D827" s="35"/>
      <c r="E827" s="35"/>
      <c r="F827" s="58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</row>
    <row r="828">
      <c r="A828" s="27"/>
      <c r="B828" s="35"/>
      <c r="C828" s="27"/>
      <c r="D828" s="35"/>
      <c r="E828" s="35"/>
      <c r="F828" s="58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</row>
    <row r="829">
      <c r="A829" s="27"/>
      <c r="B829" s="35"/>
      <c r="C829" s="27"/>
      <c r="D829" s="35"/>
      <c r="E829" s="35"/>
      <c r="F829" s="58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</row>
    <row r="830">
      <c r="A830" s="27"/>
      <c r="B830" s="35"/>
      <c r="C830" s="27"/>
      <c r="D830" s="35"/>
      <c r="E830" s="35"/>
      <c r="F830" s="58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</row>
    <row r="831">
      <c r="A831" s="27"/>
      <c r="B831" s="35"/>
      <c r="C831" s="27"/>
      <c r="D831" s="35"/>
      <c r="E831" s="35"/>
      <c r="F831" s="58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</row>
    <row r="832">
      <c r="A832" s="27"/>
      <c r="B832" s="35"/>
      <c r="C832" s="27"/>
      <c r="D832" s="35"/>
      <c r="E832" s="35"/>
      <c r="F832" s="58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</row>
    <row r="833">
      <c r="A833" s="27"/>
      <c r="B833" s="35"/>
      <c r="C833" s="27"/>
      <c r="D833" s="35"/>
      <c r="E833" s="35"/>
      <c r="F833" s="58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</row>
    <row r="834">
      <c r="A834" s="27"/>
      <c r="B834" s="35"/>
      <c r="C834" s="27"/>
      <c r="D834" s="35"/>
      <c r="E834" s="35"/>
      <c r="F834" s="58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</row>
    <row r="835">
      <c r="A835" s="27"/>
      <c r="B835" s="35"/>
      <c r="C835" s="27"/>
      <c r="D835" s="35"/>
      <c r="E835" s="35"/>
      <c r="F835" s="58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</row>
    <row r="836">
      <c r="A836" s="27"/>
      <c r="B836" s="35"/>
      <c r="C836" s="27"/>
      <c r="D836" s="35"/>
      <c r="E836" s="35"/>
      <c r="F836" s="58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</row>
    <row r="837">
      <c r="A837" s="27"/>
      <c r="B837" s="35"/>
      <c r="C837" s="27"/>
      <c r="D837" s="35"/>
      <c r="E837" s="35"/>
      <c r="F837" s="58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</row>
    <row r="838">
      <c r="A838" s="27"/>
      <c r="B838" s="35"/>
      <c r="C838" s="27"/>
      <c r="D838" s="35"/>
      <c r="E838" s="35"/>
      <c r="F838" s="58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</row>
    <row r="839">
      <c r="A839" s="27"/>
      <c r="B839" s="35"/>
      <c r="C839" s="27"/>
      <c r="D839" s="35"/>
      <c r="E839" s="35"/>
      <c r="F839" s="58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</row>
    <row r="840">
      <c r="A840" s="27"/>
      <c r="B840" s="35"/>
      <c r="C840" s="27"/>
      <c r="D840" s="35"/>
      <c r="E840" s="35"/>
      <c r="F840" s="58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</row>
    <row r="841">
      <c r="A841" s="27"/>
      <c r="B841" s="35"/>
      <c r="C841" s="27"/>
      <c r="D841" s="35"/>
      <c r="E841" s="35"/>
      <c r="F841" s="58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</row>
    <row r="842">
      <c r="A842" s="27"/>
      <c r="B842" s="35"/>
      <c r="C842" s="27"/>
      <c r="D842" s="35"/>
      <c r="E842" s="35"/>
      <c r="F842" s="58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</row>
    <row r="843">
      <c r="A843" s="27"/>
      <c r="B843" s="35"/>
      <c r="C843" s="27"/>
      <c r="D843" s="35"/>
      <c r="E843" s="35"/>
      <c r="F843" s="58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</row>
    <row r="844">
      <c r="A844" s="27"/>
      <c r="B844" s="35"/>
      <c r="C844" s="27"/>
      <c r="D844" s="35"/>
      <c r="E844" s="35"/>
      <c r="F844" s="58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</row>
    <row r="845">
      <c r="A845" s="27"/>
      <c r="B845" s="35"/>
      <c r="C845" s="27"/>
      <c r="D845" s="35"/>
      <c r="E845" s="35"/>
      <c r="F845" s="58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</row>
    <row r="846">
      <c r="A846" s="27"/>
      <c r="B846" s="35"/>
      <c r="C846" s="27"/>
      <c r="D846" s="35"/>
      <c r="E846" s="35"/>
      <c r="F846" s="58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</row>
    <row r="847">
      <c r="A847" s="27"/>
      <c r="B847" s="35"/>
      <c r="C847" s="27"/>
      <c r="D847" s="35"/>
      <c r="E847" s="35"/>
      <c r="F847" s="58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</row>
    <row r="848">
      <c r="A848" s="27"/>
      <c r="B848" s="35"/>
      <c r="C848" s="27"/>
      <c r="D848" s="35"/>
      <c r="E848" s="35"/>
      <c r="F848" s="58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</row>
    <row r="849">
      <c r="A849" s="27"/>
      <c r="B849" s="35"/>
      <c r="C849" s="27"/>
      <c r="D849" s="35"/>
      <c r="E849" s="35"/>
      <c r="F849" s="58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</row>
    <row r="850">
      <c r="A850" s="27"/>
      <c r="B850" s="35"/>
      <c r="C850" s="27"/>
      <c r="D850" s="35"/>
      <c r="E850" s="35"/>
      <c r="F850" s="58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</row>
    <row r="851">
      <c r="A851" s="27"/>
      <c r="B851" s="35"/>
      <c r="C851" s="27"/>
      <c r="D851" s="35"/>
      <c r="E851" s="35"/>
      <c r="F851" s="58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</row>
    <row r="852">
      <c r="A852" s="27"/>
      <c r="B852" s="35"/>
      <c r="C852" s="27"/>
      <c r="D852" s="35"/>
      <c r="E852" s="35"/>
      <c r="F852" s="58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</row>
    <row r="853">
      <c r="A853" s="27"/>
      <c r="B853" s="35"/>
      <c r="C853" s="27"/>
      <c r="D853" s="35"/>
      <c r="E853" s="35"/>
      <c r="F853" s="58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</row>
    <row r="854">
      <c r="A854" s="27"/>
      <c r="B854" s="35"/>
      <c r="C854" s="27"/>
      <c r="D854" s="35"/>
      <c r="E854" s="35"/>
      <c r="F854" s="58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</row>
    <row r="855">
      <c r="A855" s="27"/>
      <c r="B855" s="35"/>
      <c r="C855" s="27"/>
      <c r="D855" s="35"/>
      <c r="E855" s="35"/>
      <c r="F855" s="58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</row>
    <row r="856">
      <c r="A856" s="27"/>
      <c r="B856" s="35"/>
      <c r="C856" s="27"/>
      <c r="D856" s="35"/>
      <c r="E856" s="35"/>
      <c r="F856" s="58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</row>
    <row r="857">
      <c r="A857" s="27"/>
      <c r="B857" s="35"/>
      <c r="C857" s="27"/>
      <c r="D857" s="35"/>
      <c r="E857" s="35"/>
      <c r="F857" s="58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</row>
    <row r="858">
      <c r="A858" s="27"/>
      <c r="B858" s="35"/>
      <c r="C858" s="27"/>
      <c r="D858" s="35"/>
      <c r="E858" s="35"/>
      <c r="F858" s="58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</row>
    <row r="859">
      <c r="A859" s="27"/>
      <c r="B859" s="35"/>
      <c r="C859" s="27"/>
      <c r="D859" s="35"/>
      <c r="E859" s="35"/>
      <c r="F859" s="58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</row>
    <row r="860">
      <c r="A860" s="27"/>
      <c r="B860" s="35"/>
      <c r="C860" s="27"/>
      <c r="D860" s="35"/>
      <c r="E860" s="35"/>
      <c r="F860" s="58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</row>
    <row r="861">
      <c r="A861" s="27"/>
      <c r="B861" s="35"/>
      <c r="C861" s="27"/>
      <c r="D861" s="35"/>
      <c r="E861" s="35"/>
      <c r="F861" s="58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</row>
    <row r="862">
      <c r="A862" s="27"/>
      <c r="B862" s="35"/>
      <c r="C862" s="27"/>
      <c r="D862" s="35"/>
      <c r="E862" s="35"/>
      <c r="F862" s="58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</row>
    <row r="863">
      <c r="A863" s="27"/>
      <c r="B863" s="35"/>
      <c r="C863" s="27"/>
      <c r="D863" s="35"/>
      <c r="E863" s="35"/>
      <c r="F863" s="58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</row>
    <row r="864">
      <c r="A864" s="27"/>
      <c r="B864" s="35"/>
      <c r="C864" s="27"/>
      <c r="D864" s="35"/>
      <c r="E864" s="35"/>
      <c r="F864" s="58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</row>
    <row r="865">
      <c r="A865" s="27"/>
      <c r="B865" s="35"/>
      <c r="C865" s="27"/>
      <c r="D865" s="35"/>
      <c r="E865" s="35"/>
      <c r="F865" s="58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</row>
    <row r="866">
      <c r="A866" s="27"/>
      <c r="B866" s="35"/>
      <c r="C866" s="27"/>
      <c r="D866" s="35"/>
      <c r="E866" s="35"/>
      <c r="F866" s="58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</row>
    <row r="867">
      <c r="A867" s="27"/>
      <c r="B867" s="35"/>
      <c r="C867" s="27"/>
      <c r="D867" s="35"/>
      <c r="E867" s="35"/>
      <c r="F867" s="58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</row>
    <row r="868">
      <c r="A868" s="27"/>
      <c r="B868" s="35"/>
      <c r="C868" s="27"/>
      <c r="D868" s="35"/>
      <c r="E868" s="35"/>
      <c r="F868" s="58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</row>
    <row r="869">
      <c r="A869" s="27"/>
      <c r="B869" s="35"/>
      <c r="C869" s="27"/>
      <c r="D869" s="35"/>
      <c r="E869" s="35"/>
      <c r="F869" s="58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</row>
    <row r="870">
      <c r="A870" s="27"/>
      <c r="B870" s="35"/>
      <c r="C870" s="27"/>
      <c r="D870" s="35"/>
      <c r="E870" s="35"/>
      <c r="F870" s="58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</row>
    <row r="871">
      <c r="A871" s="27"/>
      <c r="B871" s="35"/>
      <c r="C871" s="27"/>
      <c r="D871" s="35"/>
      <c r="E871" s="35"/>
      <c r="F871" s="58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</row>
    <row r="872">
      <c r="A872" s="27"/>
      <c r="B872" s="35"/>
      <c r="C872" s="27"/>
      <c r="D872" s="35"/>
      <c r="E872" s="35"/>
      <c r="F872" s="58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</row>
    <row r="873">
      <c r="A873" s="27"/>
      <c r="B873" s="35"/>
      <c r="C873" s="27"/>
      <c r="D873" s="35"/>
      <c r="E873" s="35"/>
      <c r="F873" s="58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</row>
    <row r="874">
      <c r="A874" s="27"/>
      <c r="B874" s="35"/>
      <c r="C874" s="27"/>
      <c r="D874" s="35"/>
      <c r="E874" s="35"/>
      <c r="F874" s="58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</row>
    <row r="875">
      <c r="A875" s="27"/>
      <c r="B875" s="35"/>
      <c r="C875" s="27"/>
      <c r="D875" s="35"/>
      <c r="E875" s="35"/>
      <c r="F875" s="58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</row>
    <row r="876">
      <c r="A876" s="27"/>
      <c r="B876" s="35"/>
      <c r="C876" s="27"/>
      <c r="D876" s="35"/>
      <c r="E876" s="35"/>
      <c r="F876" s="58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</row>
    <row r="877">
      <c r="A877" s="27"/>
      <c r="B877" s="35"/>
      <c r="C877" s="27"/>
      <c r="D877" s="35"/>
      <c r="E877" s="35"/>
      <c r="F877" s="58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</row>
    <row r="878">
      <c r="A878" s="27"/>
      <c r="B878" s="35"/>
      <c r="C878" s="27"/>
      <c r="D878" s="35"/>
      <c r="E878" s="35"/>
      <c r="F878" s="58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</row>
    <row r="879">
      <c r="A879" s="27"/>
      <c r="B879" s="35"/>
      <c r="C879" s="27"/>
      <c r="D879" s="35"/>
      <c r="E879" s="35"/>
      <c r="F879" s="58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</row>
    <row r="880">
      <c r="A880" s="27"/>
      <c r="B880" s="35"/>
      <c r="C880" s="27"/>
      <c r="D880" s="35"/>
      <c r="E880" s="35"/>
      <c r="F880" s="58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</row>
    <row r="881">
      <c r="A881" s="27"/>
      <c r="B881" s="35"/>
      <c r="C881" s="27"/>
      <c r="D881" s="35"/>
      <c r="E881" s="35"/>
      <c r="F881" s="58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</row>
    <row r="882">
      <c r="A882" s="27"/>
      <c r="B882" s="35"/>
      <c r="C882" s="27"/>
      <c r="D882" s="35"/>
      <c r="E882" s="35"/>
      <c r="F882" s="58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</row>
    <row r="883">
      <c r="A883" s="27"/>
      <c r="B883" s="35"/>
      <c r="C883" s="27"/>
      <c r="D883" s="35"/>
      <c r="E883" s="35"/>
      <c r="F883" s="58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</row>
    <row r="884">
      <c r="A884" s="27"/>
      <c r="B884" s="35"/>
      <c r="C884" s="27"/>
      <c r="D884" s="35"/>
      <c r="E884" s="35"/>
      <c r="F884" s="58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</row>
    <row r="885">
      <c r="A885" s="27"/>
      <c r="B885" s="35"/>
      <c r="C885" s="27"/>
      <c r="D885" s="35"/>
      <c r="E885" s="35"/>
      <c r="F885" s="58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</row>
    <row r="886">
      <c r="A886" s="27"/>
      <c r="B886" s="35"/>
      <c r="C886" s="27"/>
      <c r="D886" s="35"/>
      <c r="E886" s="35"/>
      <c r="F886" s="58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</row>
    <row r="887">
      <c r="A887" s="27"/>
      <c r="B887" s="35"/>
      <c r="C887" s="27"/>
      <c r="D887" s="35"/>
      <c r="E887" s="35"/>
      <c r="F887" s="58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</row>
    <row r="888">
      <c r="A888" s="27"/>
      <c r="B888" s="35"/>
      <c r="C888" s="27"/>
      <c r="D888" s="35"/>
      <c r="E888" s="35"/>
      <c r="F888" s="58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</row>
    <row r="889">
      <c r="A889" s="27"/>
      <c r="B889" s="35"/>
      <c r="C889" s="27"/>
      <c r="D889" s="35"/>
      <c r="E889" s="35"/>
      <c r="F889" s="58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</row>
    <row r="890">
      <c r="A890" s="27"/>
      <c r="B890" s="35"/>
      <c r="C890" s="27"/>
      <c r="D890" s="35"/>
      <c r="E890" s="35"/>
      <c r="F890" s="58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</row>
    <row r="891">
      <c r="A891" s="27"/>
      <c r="B891" s="35"/>
      <c r="C891" s="27"/>
      <c r="D891" s="35"/>
      <c r="E891" s="35"/>
      <c r="F891" s="58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</row>
    <row r="892">
      <c r="A892" s="27"/>
      <c r="B892" s="35"/>
      <c r="C892" s="27"/>
      <c r="D892" s="35"/>
      <c r="E892" s="35"/>
      <c r="F892" s="58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</row>
    <row r="893">
      <c r="A893" s="27"/>
      <c r="B893" s="35"/>
      <c r="C893" s="27"/>
      <c r="D893" s="35"/>
      <c r="E893" s="35"/>
      <c r="F893" s="58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</row>
    <row r="894">
      <c r="A894" s="27"/>
      <c r="B894" s="35"/>
      <c r="C894" s="27"/>
      <c r="D894" s="35"/>
      <c r="E894" s="35"/>
      <c r="F894" s="58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</row>
    <row r="895">
      <c r="A895" s="27"/>
      <c r="B895" s="35"/>
      <c r="C895" s="27"/>
      <c r="D895" s="35"/>
      <c r="E895" s="35"/>
      <c r="F895" s="58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</row>
    <row r="896">
      <c r="A896" s="27"/>
      <c r="B896" s="35"/>
      <c r="C896" s="27"/>
      <c r="D896" s="35"/>
      <c r="E896" s="35"/>
      <c r="F896" s="58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</row>
    <row r="897">
      <c r="A897" s="27"/>
      <c r="B897" s="35"/>
      <c r="C897" s="27"/>
      <c r="D897" s="35"/>
      <c r="E897" s="35"/>
      <c r="F897" s="58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</row>
    <row r="898">
      <c r="A898" s="27"/>
      <c r="B898" s="35"/>
      <c r="C898" s="27"/>
      <c r="D898" s="35"/>
      <c r="E898" s="35"/>
      <c r="F898" s="58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</row>
    <row r="899">
      <c r="A899" s="27"/>
      <c r="B899" s="35"/>
      <c r="C899" s="27"/>
      <c r="D899" s="35"/>
      <c r="E899" s="35"/>
      <c r="F899" s="58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</row>
    <row r="900">
      <c r="A900" s="27"/>
      <c r="B900" s="35"/>
      <c r="C900" s="27"/>
      <c r="D900" s="35"/>
      <c r="E900" s="35"/>
      <c r="F900" s="58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</row>
    <row r="901">
      <c r="A901" s="27"/>
      <c r="B901" s="35"/>
      <c r="C901" s="27"/>
      <c r="D901" s="35"/>
      <c r="E901" s="35"/>
      <c r="F901" s="58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</row>
    <row r="902">
      <c r="A902" s="27"/>
      <c r="B902" s="35"/>
      <c r="C902" s="27"/>
      <c r="D902" s="35"/>
      <c r="E902" s="35"/>
      <c r="F902" s="58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</row>
    <row r="903">
      <c r="A903" s="27"/>
      <c r="B903" s="35"/>
      <c r="C903" s="27"/>
      <c r="D903" s="35"/>
      <c r="E903" s="35"/>
      <c r="F903" s="58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</row>
    <row r="904">
      <c r="A904" s="27"/>
      <c r="B904" s="35"/>
      <c r="C904" s="27"/>
      <c r="D904" s="35"/>
      <c r="E904" s="35"/>
      <c r="F904" s="58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</row>
    <row r="905">
      <c r="A905" s="27"/>
      <c r="B905" s="35"/>
      <c r="C905" s="27"/>
      <c r="D905" s="35"/>
      <c r="E905" s="35"/>
      <c r="F905" s="58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</row>
    <row r="906">
      <c r="A906" s="27"/>
      <c r="B906" s="35"/>
      <c r="C906" s="27"/>
      <c r="D906" s="35"/>
      <c r="E906" s="35"/>
      <c r="F906" s="58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</row>
    <row r="907">
      <c r="A907" s="27"/>
      <c r="B907" s="35"/>
      <c r="C907" s="27"/>
      <c r="D907" s="35"/>
      <c r="E907" s="35"/>
      <c r="F907" s="58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</row>
    <row r="908">
      <c r="A908" s="27"/>
      <c r="B908" s="35"/>
      <c r="C908" s="27"/>
      <c r="D908" s="35"/>
      <c r="E908" s="35"/>
      <c r="F908" s="58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</row>
    <row r="909">
      <c r="A909" s="27"/>
      <c r="B909" s="35"/>
      <c r="C909" s="27"/>
      <c r="D909" s="35"/>
      <c r="E909" s="35"/>
      <c r="F909" s="58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</row>
    <row r="910">
      <c r="A910" s="27"/>
      <c r="B910" s="35"/>
      <c r="C910" s="27"/>
      <c r="D910" s="35"/>
      <c r="E910" s="35"/>
      <c r="F910" s="58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</row>
    <row r="911">
      <c r="A911" s="27"/>
      <c r="B911" s="35"/>
      <c r="C911" s="27"/>
      <c r="D911" s="35"/>
      <c r="E911" s="35"/>
      <c r="F911" s="58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</row>
    <row r="912">
      <c r="A912" s="27"/>
      <c r="B912" s="35"/>
      <c r="C912" s="27"/>
      <c r="D912" s="35"/>
      <c r="E912" s="35"/>
      <c r="F912" s="58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</row>
    <row r="913">
      <c r="A913" s="27"/>
      <c r="B913" s="35"/>
      <c r="C913" s="27"/>
      <c r="D913" s="35"/>
      <c r="E913" s="35"/>
      <c r="F913" s="58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</row>
    <row r="914">
      <c r="A914" s="27"/>
      <c r="B914" s="35"/>
      <c r="C914" s="27"/>
      <c r="D914" s="35"/>
      <c r="E914" s="35"/>
      <c r="F914" s="58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</row>
    <row r="915">
      <c r="A915" s="27"/>
      <c r="B915" s="35"/>
      <c r="C915" s="27"/>
      <c r="D915" s="35"/>
      <c r="E915" s="35"/>
      <c r="F915" s="58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</row>
    <row r="916">
      <c r="A916" s="27"/>
      <c r="B916" s="35"/>
      <c r="C916" s="27"/>
      <c r="D916" s="35"/>
      <c r="E916" s="35"/>
      <c r="F916" s="58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</row>
    <row r="917">
      <c r="A917" s="27"/>
      <c r="B917" s="35"/>
      <c r="C917" s="27"/>
      <c r="D917" s="35"/>
      <c r="E917" s="35"/>
      <c r="F917" s="58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</row>
    <row r="918">
      <c r="A918" s="27"/>
      <c r="B918" s="35"/>
      <c r="C918" s="27"/>
      <c r="D918" s="35"/>
      <c r="E918" s="35"/>
      <c r="F918" s="58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</row>
    <row r="919">
      <c r="A919" s="27"/>
      <c r="B919" s="35"/>
      <c r="C919" s="27"/>
      <c r="D919" s="35"/>
      <c r="E919" s="35"/>
      <c r="F919" s="58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</row>
    <row r="920">
      <c r="A920" s="27"/>
      <c r="B920" s="35"/>
      <c r="C920" s="27"/>
      <c r="D920" s="35"/>
      <c r="E920" s="35"/>
      <c r="F920" s="58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</row>
    <row r="921">
      <c r="A921" s="27"/>
      <c r="B921" s="35"/>
      <c r="C921" s="27"/>
      <c r="D921" s="35"/>
      <c r="E921" s="35"/>
      <c r="F921" s="58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</row>
    <row r="922">
      <c r="A922" s="27"/>
      <c r="B922" s="35"/>
      <c r="C922" s="27"/>
      <c r="D922" s="35"/>
      <c r="E922" s="35"/>
      <c r="F922" s="58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</row>
    <row r="923">
      <c r="A923" s="27"/>
      <c r="B923" s="35"/>
      <c r="C923" s="27"/>
      <c r="D923" s="35"/>
      <c r="E923" s="35"/>
      <c r="F923" s="58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</row>
    <row r="924">
      <c r="A924" s="27"/>
      <c r="B924" s="35"/>
      <c r="C924" s="27"/>
      <c r="D924" s="35"/>
      <c r="E924" s="35"/>
      <c r="F924" s="58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</row>
    <row r="925">
      <c r="A925" s="27"/>
      <c r="B925" s="35"/>
      <c r="C925" s="27"/>
      <c r="D925" s="35"/>
      <c r="E925" s="35"/>
      <c r="F925" s="58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</row>
    <row r="926">
      <c r="A926" s="27"/>
      <c r="B926" s="35"/>
      <c r="C926" s="27"/>
      <c r="D926" s="35"/>
      <c r="E926" s="35"/>
      <c r="F926" s="58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</row>
    <row r="927">
      <c r="A927" s="27"/>
      <c r="B927" s="35"/>
      <c r="C927" s="27"/>
      <c r="D927" s="35"/>
      <c r="E927" s="35"/>
      <c r="F927" s="58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</row>
    <row r="928">
      <c r="A928" s="27"/>
      <c r="B928" s="35"/>
      <c r="C928" s="27"/>
      <c r="D928" s="35"/>
      <c r="E928" s="35"/>
      <c r="F928" s="58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</row>
    <row r="929">
      <c r="A929" s="27"/>
      <c r="B929" s="35"/>
      <c r="C929" s="27"/>
      <c r="D929" s="35"/>
      <c r="E929" s="35"/>
      <c r="F929" s="58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</row>
    <row r="930">
      <c r="A930" s="27"/>
      <c r="B930" s="35"/>
      <c r="C930" s="27"/>
      <c r="D930" s="35"/>
      <c r="E930" s="35"/>
      <c r="F930" s="58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</row>
    <row r="931">
      <c r="A931" s="27"/>
      <c r="B931" s="35"/>
      <c r="C931" s="27"/>
      <c r="D931" s="35"/>
      <c r="E931" s="35"/>
      <c r="F931" s="58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</row>
    <row r="932">
      <c r="A932" s="27"/>
      <c r="B932" s="35"/>
      <c r="C932" s="27"/>
      <c r="D932" s="35"/>
      <c r="E932" s="35"/>
      <c r="F932" s="58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</row>
    <row r="933">
      <c r="A933" s="27"/>
      <c r="B933" s="35"/>
      <c r="C933" s="27"/>
      <c r="D933" s="35"/>
      <c r="E933" s="35"/>
      <c r="F933" s="58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</row>
    <row r="934">
      <c r="A934" s="27"/>
      <c r="B934" s="35"/>
      <c r="C934" s="27"/>
      <c r="D934" s="35"/>
      <c r="E934" s="35"/>
      <c r="F934" s="58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</row>
    <row r="935">
      <c r="A935" s="27"/>
      <c r="B935" s="35"/>
      <c r="C935" s="27"/>
      <c r="D935" s="35"/>
      <c r="E935" s="35"/>
      <c r="F935" s="58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</row>
    <row r="936">
      <c r="A936" s="27"/>
      <c r="B936" s="35"/>
      <c r="C936" s="27"/>
      <c r="D936" s="35"/>
      <c r="E936" s="35"/>
      <c r="F936" s="58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</row>
    <row r="937">
      <c r="A937" s="27"/>
      <c r="B937" s="35"/>
      <c r="C937" s="27"/>
      <c r="D937" s="35"/>
      <c r="E937" s="35"/>
      <c r="F937" s="58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</row>
    <row r="938">
      <c r="A938" s="27"/>
      <c r="B938" s="35"/>
      <c r="C938" s="27"/>
      <c r="D938" s="35"/>
      <c r="E938" s="35"/>
      <c r="F938" s="58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</row>
    <row r="939">
      <c r="A939" s="27"/>
      <c r="B939" s="35"/>
      <c r="C939" s="27"/>
      <c r="D939" s="35"/>
      <c r="E939" s="35"/>
      <c r="F939" s="58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</row>
    <row r="940">
      <c r="A940" s="27"/>
      <c r="B940" s="35"/>
      <c r="C940" s="27"/>
      <c r="D940" s="35"/>
      <c r="E940" s="35"/>
      <c r="F940" s="58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</row>
    <row r="941">
      <c r="A941" s="27"/>
      <c r="B941" s="35"/>
      <c r="C941" s="27"/>
      <c r="D941" s="35"/>
      <c r="E941" s="35"/>
      <c r="F941" s="58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</row>
    <row r="942">
      <c r="A942" s="27"/>
      <c r="B942" s="35"/>
      <c r="C942" s="27"/>
      <c r="D942" s="35"/>
      <c r="E942" s="35"/>
      <c r="F942" s="58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</row>
    <row r="943">
      <c r="A943" s="27"/>
      <c r="B943" s="35"/>
      <c r="C943" s="27"/>
      <c r="D943" s="35"/>
      <c r="E943" s="35"/>
      <c r="F943" s="58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</row>
    <row r="944">
      <c r="A944" s="27"/>
      <c r="B944" s="35"/>
      <c r="C944" s="27"/>
      <c r="D944" s="35"/>
      <c r="E944" s="35"/>
      <c r="F944" s="58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</row>
    <row r="945">
      <c r="A945" s="27"/>
      <c r="B945" s="35"/>
      <c r="C945" s="27"/>
      <c r="D945" s="35"/>
      <c r="E945" s="35"/>
      <c r="F945" s="58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</row>
    <row r="946">
      <c r="A946" s="27"/>
      <c r="B946" s="35"/>
      <c r="C946" s="27"/>
      <c r="D946" s="35"/>
      <c r="E946" s="35"/>
      <c r="F946" s="58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</row>
    <row r="947">
      <c r="A947" s="27"/>
      <c r="B947" s="35"/>
      <c r="C947" s="27"/>
      <c r="D947" s="35"/>
      <c r="E947" s="35"/>
      <c r="F947" s="58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</row>
    <row r="948">
      <c r="A948" s="27"/>
      <c r="B948" s="35"/>
      <c r="C948" s="27"/>
      <c r="D948" s="35"/>
      <c r="E948" s="35"/>
      <c r="F948" s="58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</row>
    <row r="949">
      <c r="A949" s="27"/>
      <c r="B949" s="35"/>
      <c r="C949" s="27"/>
      <c r="D949" s="35"/>
      <c r="E949" s="35"/>
      <c r="F949" s="58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</row>
    <row r="950">
      <c r="A950" s="27"/>
      <c r="B950" s="35"/>
      <c r="C950" s="27"/>
      <c r="D950" s="35"/>
      <c r="E950" s="35"/>
      <c r="F950" s="58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</row>
    <row r="951">
      <c r="A951" s="27"/>
      <c r="B951" s="35"/>
      <c r="C951" s="27"/>
      <c r="D951" s="35"/>
      <c r="E951" s="35"/>
      <c r="F951" s="58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</row>
    <row r="952">
      <c r="A952" s="27"/>
      <c r="B952" s="35"/>
      <c r="C952" s="27"/>
      <c r="D952" s="35"/>
      <c r="E952" s="35"/>
      <c r="F952" s="58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</row>
    <row r="953">
      <c r="A953" s="27"/>
      <c r="B953" s="35"/>
      <c r="C953" s="27"/>
      <c r="D953" s="35"/>
      <c r="E953" s="35"/>
      <c r="F953" s="58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</row>
    <row r="954">
      <c r="A954" s="27"/>
      <c r="B954" s="35"/>
      <c r="C954" s="27"/>
      <c r="D954" s="35"/>
      <c r="E954" s="35"/>
      <c r="F954" s="58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</row>
    <row r="955">
      <c r="A955" s="27"/>
      <c r="B955" s="35"/>
      <c r="C955" s="27"/>
      <c r="D955" s="35"/>
      <c r="E955" s="35"/>
      <c r="F955" s="58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</row>
    <row r="956">
      <c r="A956" s="27"/>
      <c r="B956" s="35"/>
      <c r="C956" s="27"/>
      <c r="D956" s="35"/>
      <c r="E956" s="35"/>
      <c r="F956" s="58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</row>
    <row r="957">
      <c r="A957" s="27"/>
      <c r="B957" s="35"/>
      <c r="C957" s="27"/>
      <c r="D957" s="35"/>
      <c r="E957" s="35"/>
      <c r="F957" s="58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</row>
    <row r="958">
      <c r="A958" s="27"/>
      <c r="B958" s="35"/>
      <c r="C958" s="27"/>
      <c r="D958" s="35"/>
      <c r="E958" s="35"/>
      <c r="F958" s="58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</row>
    <row r="959">
      <c r="A959" s="27"/>
      <c r="B959" s="35"/>
      <c r="C959" s="27"/>
      <c r="D959" s="35"/>
      <c r="E959" s="35"/>
      <c r="F959" s="58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</row>
    <row r="960">
      <c r="A960" s="27"/>
      <c r="B960" s="35"/>
      <c r="C960" s="27"/>
      <c r="D960" s="35"/>
      <c r="E960" s="35"/>
      <c r="F960" s="58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</row>
    <row r="961">
      <c r="A961" s="27"/>
      <c r="B961" s="35"/>
      <c r="C961" s="27"/>
      <c r="D961" s="35"/>
      <c r="E961" s="35"/>
      <c r="F961" s="58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</row>
    <row r="962">
      <c r="A962" s="27"/>
      <c r="B962" s="35"/>
      <c r="C962" s="27"/>
      <c r="D962" s="35"/>
      <c r="E962" s="35"/>
      <c r="F962" s="58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</row>
    <row r="963">
      <c r="A963" s="27"/>
      <c r="B963" s="35"/>
      <c r="C963" s="27"/>
      <c r="D963" s="35"/>
      <c r="E963" s="35"/>
      <c r="F963" s="58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</row>
    <row r="964">
      <c r="A964" s="27"/>
      <c r="B964" s="35"/>
      <c r="C964" s="27"/>
      <c r="D964" s="35"/>
      <c r="E964" s="35"/>
      <c r="F964" s="58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</row>
    <row r="965">
      <c r="A965" s="27"/>
      <c r="B965" s="35"/>
      <c r="C965" s="27"/>
      <c r="D965" s="35"/>
      <c r="E965" s="35"/>
      <c r="F965" s="58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</row>
    <row r="966">
      <c r="A966" s="27"/>
      <c r="B966" s="35"/>
      <c r="C966" s="27"/>
      <c r="D966" s="35"/>
      <c r="E966" s="35"/>
      <c r="F966" s="58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</row>
    <row r="967">
      <c r="A967" s="27"/>
      <c r="B967" s="35"/>
      <c r="C967" s="27"/>
      <c r="D967" s="35"/>
      <c r="E967" s="35"/>
      <c r="F967" s="58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</row>
    <row r="968">
      <c r="A968" s="27"/>
      <c r="B968" s="35"/>
      <c r="C968" s="27"/>
      <c r="D968" s="35"/>
      <c r="E968" s="35"/>
      <c r="F968" s="58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</row>
    <row r="969">
      <c r="A969" s="27"/>
      <c r="B969" s="35"/>
      <c r="C969" s="27"/>
      <c r="D969" s="35"/>
      <c r="E969" s="35"/>
      <c r="F969" s="58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</row>
    <row r="970">
      <c r="A970" s="27"/>
      <c r="B970" s="35"/>
      <c r="C970" s="27"/>
      <c r="D970" s="35"/>
      <c r="E970" s="35"/>
      <c r="F970" s="58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</row>
    <row r="971">
      <c r="A971" s="27"/>
      <c r="B971" s="35"/>
      <c r="C971" s="27"/>
      <c r="D971" s="35"/>
      <c r="E971" s="35"/>
      <c r="F971" s="58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</row>
    <row r="972">
      <c r="A972" s="27"/>
      <c r="B972" s="35"/>
      <c r="C972" s="27"/>
      <c r="D972" s="35"/>
      <c r="E972" s="35"/>
      <c r="F972" s="58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</row>
    <row r="973">
      <c r="A973" s="27"/>
      <c r="B973" s="35"/>
      <c r="C973" s="27"/>
      <c r="D973" s="35"/>
      <c r="E973" s="35"/>
      <c r="F973" s="58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</row>
    <row r="974">
      <c r="A974" s="27"/>
      <c r="B974" s="35"/>
      <c r="C974" s="27"/>
      <c r="D974" s="35"/>
      <c r="E974" s="35"/>
      <c r="F974" s="58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</row>
    <row r="975">
      <c r="A975" s="27"/>
      <c r="B975" s="35"/>
      <c r="C975" s="27"/>
      <c r="D975" s="35"/>
      <c r="E975" s="35"/>
      <c r="F975" s="58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</row>
    <row r="976">
      <c r="A976" s="27"/>
      <c r="B976" s="35"/>
      <c r="C976" s="27"/>
      <c r="D976" s="35"/>
      <c r="E976" s="35"/>
      <c r="F976" s="58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</row>
    <row r="977">
      <c r="A977" s="27"/>
      <c r="B977" s="35"/>
      <c r="C977" s="27"/>
      <c r="D977" s="35"/>
      <c r="E977" s="35"/>
      <c r="F977" s="58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</row>
    <row r="978">
      <c r="A978" s="27"/>
      <c r="B978" s="35"/>
      <c r="C978" s="27"/>
      <c r="D978" s="35"/>
      <c r="E978" s="35"/>
      <c r="F978" s="58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</row>
    <row r="979">
      <c r="A979" s="27"/>
      <c r="B979" s="35"/>
      <c r="C979" s="27"/>
      <c r="D979" s="35"/>
      <c r="E979" s="35"/>
      <c r="F979" s="58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</row>
    <row r="980">
      <c r="A980" s="27"/>
      <c r="B980" s="35"/>
      <c r="C980" s="27"/>
      <c r="D980" s="35"/>
      <c r="E980" s="35"/>
      <c r="F980" s="58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</row>
    <row r="981">
      <c r="A981" s="27"/>
      <c r="B981" s="35"/>
      <c r="C981" s="27"/>
      <c r="D981" s="35"/>
      <c r="E981" s="35"/>
      <c r="F981" s="58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</row>
    <row r="982">
      <c r="A982" s="27"/>
      <c r="B982" s="35"/>
      <c r="C982" s="27"/>
      <c r="D982" s="35"/>
      <c r="E982" s="35"/>
      <c r="F982" s="58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</row>
    <row r="983">
      <c r="A983" s="27"/>
      <c r="B983" s="35"/>
      <c r="C983" s="27"/>
      <c r="D983" s="35"/>
      <c r="E983" s="35"/>
      <c r="F983" s="58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</row>
    <row r="984">
      <c r="A984" s="27"/>
      <c r="B984" s="35"/>
      <c r="C984" s="27"/>
      <c r="D984" s="35"/>
      <c r="E984" s="35"/>
      <c r="F984" s="58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</row>
    <row r="985">
      <c r="A985" s="27"/>
      <c r="B985" s="35"/>
      <c r="C985" s="27"/>
      <c r="D985" s="35"/>
      <c r="E985" s="35"/>
      <c r="F985" s="58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</row>
    <row r="986">
      <c r="A986" s="27"/>
      <c r="B986" s="35"/>
      <c r="C986" s="27"/>
      <c r="D986" s="35"/>
      <c r="E986" s="35"/>
      <c r="F986" s="58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</row>
    <row r="987">
      <c r="A987" s="27"/>
      <c r="B987" s="35"/>
      <c r="C987" s="27"/>
      <c r="D987" s="35"/>
      <c r="E987" s="35"/>
      <c r="F987" s="58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</row>
    <row r="988">
      <c r="A988" s="27"/>
      <c r="B988" s="35"/>
      <c r="C988" s="27"/>
      <c r="D988" s="35"/>
      <c r="E988" s="35"/>
      <c r="F988" s="58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</row>
    <row r="989">
      <c r="A989" s="27"/>
      <c r="B989" s="35"/>
      <c r="C989" s="27"/>
      <c r="D989" s="35"/>
      <c r="E989" s="35"/>
      <c r="F989" s="58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</row>
    <row r="990">
      <c r="A990" s="27"/>
      <c r="B990" s="35"/>
      <c r="C990" s="27"/>
      <c r="D990" s="35"/>
      <c r="E990" s="35"/>
      <c r="F990" s="58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</row>
    <row r="991">
      <c r="A991" s="27"/>
      <c r="B991" s="35"/>
      <c r="C991" s="27"/>
      <c r="D991" s="35"/>
      <c r="E991" s="35"/>
      <c r="F991" s="58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</row>
    <row r="992">
      <c r="A992" s="27"/>
      <c r="B992" s="35"/>
      <c r="C992" s="27"/>
      <c r="D992" s="35"/>
      <c r="E992" s="35"/>
      <c r="F992" s="58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</row>
    <row r="993">
      <c r="A993" s="27"/>
      <c r="B993" s="35"/>
      <c r="C993" s="27"/>
      <c r="D993" s="35"/>
      <c r="E993" s="35"/>
      <c r="F993" s="58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</row>
    <row r="994">
      <c r="A994" s="27"/>
      <c r="B994" s="35"/>
      <c r="C994" s="27"/>
      <c r="D994" s="35"/>
      <c r="E994" s="35"/>
      <c r="F994" s="58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</row>
    <row r="995">
      <c r="A995" s="27"/>
      <c r="B995" s="35"/>
      <c r="C995" s="27"/>
      <c r="D995" s="35"/>
      <c r="E995" s="35"/>
      <c r="F995" s="58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</row>
    <row r="996">
      <c r="A996" s="27"/>
      <c r="B996" s="35"/>
      <c r="C996" s="27"/>
      <c r="D996" s="35"/>
      <c r="E996" s="35"/>
      <c r="F996" s="58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</row>
    <row r="997">
      <c r="A997" s="27"/>
      <c r="B997" s="35"/>
      <c r="C997" s="27"/>
      <c r="D997" s="35"/>
      <c r="E997" s="35"/>
      <c r="F997" s="58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</row>
    <row r="998">
      <c r="A998" s="27"/>
      <c r="B998" s="35"/>
      <c r="C998" s="27"/>
      <c r="D998" s="35"/>
      <c r="E998" s="35"/>
      <c r="F998" s="58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</row>
    <row r="999">
      <c r="A999" s="27"/>
      <c r="B999" s="35"/>
      <c r="C999" s="27"/>
      <c r="D999" s="35"/>
      <c r="E999" s="35"/>
      <c r="F999" s="58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</row>
    <row r="1000">
      <c r="A1000" s="27"/>
      <c r="B1000" s="35"/>
      <c r="C1000" s="27"/>
      <c r="D1000" s="35"/>
      <c r="E1000" s="35"/>
      <c r="F1000" s="58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5.0"/>
    <col customWidth="1" min="2" max="2" width="21.38"/>
    <col customWidth="1" min="3" max="3" width="17.13"/>
    <col customWidth="1" min="4" max="4" width="14.63"/>
    <col customWidth="1" min="5" max="5" width="21.0"/>
    <col customWidth="1" min="6" max="6" width="18.5"/>
    <col customWidth="1" min="7" max="7" width="19.63"/>
    <col customWidth="1" min="8" max="8" width="16.25"/>
    <col customWidth="1" min="9" max="27" width="13.13"/>
  </cols>
  <sheetData>
    <row r="1" ht="32.25" customHeight="1">
      <c r="A1" s="59" t="s">
        <v>0</v>
      </c>
      <c r="B1" s="59" t="s">
        <v>104</v>
      </c>
      <c r="C1" s="59" t="s">
        <v>105</v>
      </c>
      <c r="D1" s="59" t="s">
        <v>106</v>
      </c>
      <c r="E1" s="59" t="s">
        <v>107</v>
      </c>
      <c r="F1" s="59" t="s">
        <v>3</v>
      </c>
      <c r="G1" s="59" t="s">
        <v>108</v>
      </c>
      <c r="H1" s="59" t="s">
        <v>109</v>
      </c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ht="29.25" customHeight="1">
      <c r="A2" s="59" t="s">
        <v>110</v>
      </c>
      <c r="B2" s="61"/>
      <c r="C2" s="59"/>
      <c r="D2" s="59"/>
      <c r="E2" s="59"/>
      <c r="F2" s="59"/>
      <c r="G2" s="59"/>
      <c r="H2" s="59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</row>
    <row r="3" ht="24.0" customHeight="1">
      <c r="A3" s="62" t="s">
        <v>111</v>
      </c>
      <c r="B3" s="62" t="s">
        <v>112</v>
      </c>
      <c r="C3" s="62" t="s">
        <v>113</v>
      </c>
      <c r="D3" s="62" t="s">
        <v>114</v>
      </c>
      <c r="E3" s="62" t="s">
        <v>115</v>
      </c>
      <c r="F3" s="62" t="s">
        <v>116</v>
      </c>
      <c r="G3" s="63" t="s">
        <v>5</v>
      </c>
      <c r="H3" s="64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ht="24.0" customHeight="1">
      <c r="A4" s="65">
        <v>1514817.5800000005</v>
      </c>
      <c r="B4" s="66">
        <v>14.0</v>
      </c>
      <c r="C4" s="66">
        <v>564484.7100000001</v>
      </c>
      <c r="D4" s="66">
        <v>689553.8999999999</v>
      </c>
      <c r="E4" s="67">
        <v>1920836.9500000002</v>
      </c>
      <c r="F4" s="66">
        <v>3435654.5300000007</v>
      </c>
      <c r="G4" s="66">
        <v>260764.97000000064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ht="24.0" customHeight="1">
      <c r="A5" s="68" t="s">
        <v>117</v>
      </c>
      <c r="B5" s="68" t="s">
        <v>118</v>
      </c>
      <c r="C5" s="68" t="s">
        <v>119</v>
      </c>
      <c r="D5" s="68" t="s">
        <v>120</v>
      </c>
      <c r="E5" s="68" t="s">
        <v>121</v>
      </c>
      <c r="F5" s="62" t="s">
        <v>122</v>
      </c>
      <c r="G5" s="63" t="s">
        <v>123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</row>
    <row r="6" ht="24.0" customHeight="1">
      <c r="A6" s="70">
        <v>-104613.0</v>
      </c>
      <c r="B6" s="71">
        <v>2451.0</v>
      </c>
      <c r="C6" s="71">
        <v>-107357.0</v>
      </c>
      <c r="D6" s="71">
        <v>293.0</v>
      </c>
      <c r="E6" s="72">
        <v>0.0</v>
      </c>
      <c r="F6" s="71">
        <v>-104613.0</v>
      </c>
      <c r="G6" s="71">
        <v>4.6626914389832095</v>
      </c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</row>
    <row r="7" ht="24.0" customHeight="1">
      <c r="A7" s="73" t="s">
        <v>0</v>
      </c>
      <c r="B7" s="73" t="s">
        <v>124</v>
      </c>
      <c r="C7" s="73" t="s">
        <v>125</v>
      </c>
      <c r="D7" s="73" t="s">
        <v>1</v>
      </c>
      <c r="E7" s="73" t="s">
        <v>2</v>
      </c>
      <c r="F7" s="73" t="s">
        <v>4</v>
      </c>
      <c r="G7" s="73" t="s">
        <v>6</v>
      </c>
      <c r="H7" s="73" t="s">
        <v>126</v>
      </c>
      <c r="I7" s="73" t="s">
        <v>127</v>
      </c>
      <c r="J7" s="74" t="s">
        <v>128</v>
      </c>
      <c r="K7" s="75" t="s">
        <v>8</v>
      </c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ht="24.0" customHeight="1">
      <c r="A8" s="76" t="s">
        <v>35</v>
      </c>
      <c r="B8" s="76" t="s">
        <v>129</v>
      </c>
      <c r="C8" s="76" t="s">
        <v>130</v>
      </c>
      <c r="D8" s="76">
        <v>7800.0</v>
      </c>
      <c r="E8" s="76">
        <v>4.7</v>
      </c>
      <c r="F8" s="76">
        <v>36660.0</v>
      </c>
      <c r="G8" s="76"/>
      <c r="H8" s="76"/>
      <c r="I8" s="76" t="s">
        <v>119</v>
      </c>
      <c r="J8" s="76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ht="24.0" customHeight="1">
      <c r="A9" s="76" t="s">
        <v>35</v>
      </c>
      <c r="B9" s="76" t="s">
        <v>129</v>
      </c>
      <c r="C9" s="76" t="s">
        <v>130</v>
      </c>
      <c r="D9" s="76">
        <v>100.0</v>
      </c>
      <c r="E9" s="76">
        <v>4.7</v>
      </c>
      <c r="F9" s="76">
        <v>470.0</v>
      </c>
      <c r="G9" s="77"/>
      <c r="H9" s="76"/>
      <c r="I9" s="76" t="s">
        <v>120</v>
      </c>
      <c r="J9" s="76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</row>
    <row r="10" ht="24.0" customHeight="1">
      <c r="A10" s="76" t="s">
        <v>35</v>
      </c>
      <c r="B10" s="76" t="s">
        <v>129</v>
      </c>
      <c r="C10" s="76" t="s">
        <v>131</v>
      </c>
      <c r="D10" s="76">
        <v>32198.0</v>
      </c>
      <c r="E10" s="76">
        <v>4.7</v>
      </c>
      <c r="F10" s="76">
        <v>151330.6</v>
      </c>
      <c r="G10" s="76"/>
      <c r="H10" s="77"/>
      <c r="I10" s="76" t="s">
        <v>119</v>
      </c>
      <c r="J10" s="76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</row>
    <row r="11" ht="24.0" customHeight="1">
      <c r="A11" s="76" t="s">
        <v>35</v>
      </c>
      <c r="B11" s="76" t="s">
        <v>129</v>
      </c>
      <c r="C11" s="76" t="s">
        <v>132</v>
      </c>
      <c r="D11" s="76">
        <v>8600.0</v>
      </c>
      <c r="E11" s="76">
        <v>4.7</v>
      </c>
      <c r="F11" s="76">
        <v>40420.0</v>
      </c>
      <c r="G11" s="77"/>
      <c r="H11" s="77"/>
      <c r="I11" s="76" t="s">
        <v>119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</row>
    <row r="12" ht="24.0" customHeight="1">
      <c r="A12" s="76" t="s">
        <v>36</v>
      </c>
      <c r="B12" s="76" t="s">
        <v>129</v>
      </c>
      <c r="C12" s="76" t="s">
        <v>130</v>
      </c>
      <c r="D12" s="76">
        <v>2183.0</v>
      </c>
      <c r="E12" s="76">
        <v>4.7</v>
      </c>
      <c r="F12" s="76">
        <v>10260.1</v>
      </c>
      <c r="G12" s="77"/>
      <c r="H12" s="77"/>
      <c r="I12" s="76" t="s">
        <v>119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ht="24.0" customHeight="1">
      <c r="A13" s="76" t="s">
        <v>36</v>
      </c>
      <c r="B13" s="76" t="s">
        <v>129</v>
      </c>
      <c r="C13" s="76" t="s">
        <v>131</v>
      </c>
      <c r="D13" s="76">
        <v>6999.0</v>
      </c>
      <c r="E13" s="76">
        <v>4.7</v>
      </c>
      <c r="F13" s="76">
        <v>32895.3</v>
      </c>
      <c r="G13" s="77"/>
      <c r="H13" s="77"/>
      <c r="I13" s="76" t="s">
        <v>119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ht="24.0" customHeight="1">
      <c r="A14" s="76" t="s">
        <v>36</v>
      </c>
      <c r="B14" s="76" t="s">
        <v>129</v>
      </c>
      <c r="C14" s="76" t="s">
        <v>133</v>
      </c>
      <c r="D14" s="76">
        <v>10800.0</v>
      </c>
      <c r="E14" s="76">
        <v>4.7</v>
      </c>
      <c r="F14" s="76">
        <v>50760.0</v>
      </c>
      <c r="G14" s="76"/>
      <c r="H14" s="77"/>
      <c r="I14" s="76" t="s">
        <v>119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</row>
    <row r="15" ht="24.0" customHeight="1">
      <c r="A15" s="76" t="s">
        <v>37</v>
      </c>
      <c r="B15" s="76" t="s">
        <v>129</v>
      </c>
      <c r="C15" s="76" t="s">
        <v>130</v>
      </c>
      <c r="D15" s="76">
        <v>25000.0</v>
      </c>
      <c r="E15" s="76">
        <v>4.7</v>
      </c>
      <c r="F15" s="76">
        <v>117500.0</v>
      </c>
      <c r="G15" s="77"/>
      <c r="H15" s="76"/>
      <c r="I15" s="76" t="s">
        <v>119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</row>
    <row r="16" ht="24.0" customHeight="1">
      <c r="A16" s="76" t="s">
        <v>37</v>
      </c>
      <c r="B16" s="76" t="s">
        <v>6</v>
      </c>
      <c r="C16" s="76" t="s">
        <v>130</v>
      </c>
      <c r="D16" s="76"/>
      <c r="E16" s="76"/>
      <c r="F16" s="76"/>
      <c r="G16" s="76">
        <v>400000.0</v>
      </c>
      <c r="H16" s="77"/>
      <c r="I16" s="76"/>
      <c r="J16" s="76" t="s">
        <v>114</v>
      </c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</row>
    <row r="17" ht="24.0" customHeight="1">
      <c r="A17" s="76" t="s">
        <v>37</v>
      </c>
      <c r="B17" s="76" t="s">
        <v>6</v>
      </c>
      <c r="C17" s="76" t="s">
        <v>131</v>
      </c>
      <c r="D17" s="77"/>
      <c r="E17" s="77"/>
      <c r="F17" s="77"/>
      <c r="G17" s="76">
        <v>250000.0</v>
      </c>
      <c r="H17" s="77"/>
      <c r="I17" s="77"/>
      <c r="J17" s="76" t="s">
        <v>114</v>
      </c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</row>
    <row r="18" ht="24.0" customHeight="1">
      <c r="A18" s="76" t="s">
        <v>37</v>
      </c>
      <c r="B18" s="76" t="s">
        <v>6</v>
      </c>
      <c r="C18" s="76" t="s">
        <v>133</v>
      </c>
      <c r="D18" s="77"/>
      <c r="E18" s="77"/>
      <c r="F18" s="77"/>
      <c r="G18" s="76">
        <v>120000.0</v>
      </c>
      <c r="H18" s="77"/>
      <c r="I18" s="77"/>
      <c r="J18" s="76" t="s">
        <v>114</v>
      </c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</row>
    <row r="19" ht="24.0" customHeight="1">
      <c r="A19" s="76" t="s">
        <v>37</v>
      </c>
      <c r="B19" s="76" t="s">
        <v>129</v>
      </c>
      <c r="C19" s="76" t="s">
        <v>130</v>
      </c>
      <c r="D19" s="76">
        <v>6700.0</v>
      </c>
      <c r="E19" s="76">
        <v>4.7</v>
      </c>
      <c r="F19" s="76">
        <v>31490.0</v>
      </c>
      <c r="G19" s="76"/>
      <c r="H19" s="77"/>
      <c r="I19" s="76" t="s">
        <v>119</v>
      </c>
      <c r="J19" s="76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</row>
    <row r="20" ht="24.0" customHeight="1">
      <c r="A20" s="76" t="s">
        <v>38</v>
      </c>
      <c r="B20" s="76" t="s">
        <v>129</v>
      </c>
      <c r="C20" s="76" t="s">
        <v>133</v>
      </c>
      <c r="D20" s="76">
        <v>6639.0</v>
      </c>
      <c r="E20" s="76">
        <v>4.7</v>
      </c>
      <c r="F20" s="76">
        <v>31203.300000000003</v>
      </c>
      <c r="G20" s="76"/>
      <c r="H20" s="77"/>
      <c r="I20" s="76" t="s">
        <v>119</v>
      </c>
      <c r="J20" s="76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</row>
    <row r="21" ht="24.0" customHeight="1">
      <c r="A21" s="76" t="s">
        <v>38</v>
      </c>
      <c r="B21" s="76" t="s">
        <v>129</v>
      </c>
      <c r="C21" s="76" t="s">
        <v>132</v>
      </c>
      <c r="D21" s="76">
        <v>9880.0</v>
      </c>
      <c r="E21" s="76">
        <v>4.7</v>
      </c>
      <c r="F21" s="76">
        <v>46436.0</v>
      </c>
      <c r="G21" s="77"/>
      <c r="H21" s="77"/>
      <c r="I21" s="76" t="s">
        <v>119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ht="24.0" customHeight="1">
      <c r="A22" s="76" t="s">
        <v>38</v>
      </c>
      <c r="B22" s="76" t="s">
        <v>6</v>
      </c>
      <c r="C22" s="76" t="s">
        <v>132</v>
      </c>
      <c r="D22" s="77"/>
      <c r="E22" s="77"/>
      <c r="F22" s="77"/>
      <c r="G22" s="76">
        <v>250000.0</v>
      </c>
      <c r="H22" s="77"/>
      <c r="I22" s="77"/>
      <c r="J22" s="76" t="s">
        <v>113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</row>
    <row r="23" ht="24.0" customHeight="1">
      <c r="A23" s="76" t="s">
        <v>38</v>
      </c>
      <c r="B23" s="76" t="s">
        <v>129</v>
      </c>
      <c r="C23" s="76" t="s">
        <v>130</v>
      </c>
      <c r="D23" s="76">
        <v>7100.0</v>
      </c>
      <c r="E23" s="76">
        <v>4.7</v>
      </c>
      <c r="F23" s="76">
        <v>33370.0</v>
      </c>
      <c r="G23" s="77"/>
      <c r="H23" s="77"/>
      <c r="I23" s="76" t="s">
        <v>119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ht="24.0" customHeight="1">
      <c r="A24" s="76" t="s">
        <v>38</v>
      </c>
      <c r="B24" s="76" t="s">
        <v>134</v>
      </c>
      <c r="C24" s="77"/>
      <c r="D24" s="77"/>
      <c r="E24" s="77"/>
      <c r="F24" s="77"/>
      <c r="G24" s="76">
        <v>250000.0</v>
      </c>
      <c r="H24" s="77"/>
      <c r="I24" s="76" t="s">
        <v>113</v>
      </c>
      <c r="J24" s="76" t="s">
        <v>114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ht="24.0" customHeight="1">
      <c r="A25" s="76" t="s">
        <v>38</v>
      </c>
      <c r="B25" s="76" t="s">
        <v>135</v>
      </c>
      <c r="C25" s="77"/>
      <c r="D25" s="76">
        <v>217864.0</v>
      </c>
      <c r="E25" s="76">
        <v>4.59</v>
      </c>
      <c r="F25" s="77"/>
      <c r="G25" s="77"/>
      <c r="H25" s="76">
        <v>999995.76</v>
      </c>
      <c r="I25" s="76" t="s">
        <v>114</v>
      </c>
      <c r="J25" s="76" t="s">
        <v>119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ht="24.0" customHeight="1">
      <c r="A26" s="76" t="s">
        <v>38</v>
      </c>
      <c r="B26" s="76" t="s">
        <v>129</v>
      </c>
      <c r="C26" s="76" t="s">
        <v>131</v>
      </c>
      <c r="D26" s="76">
        <v>3089.0</v>
      </c>
      <c r="E26" s="76">
        <v>4.7</v>
      </c>
      <c r="F26" s="76">
        <v>14518.300000000001</v>
      </c>
      <c r="G26" s="77"/>
      <c r="H26" s="77"/>
      <c r="I26" s="76" t="s">
        <v>119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ht="24.0" customHeight="1">
      <c r="A27" s="76" t="s">
        <v>38</v>
      </c>
      <c r="B27" s="76" t="s">
        <v>129</v>
      </c>
      <c r="C27" s="76" t="s">
        <v>131</v>
      </c>
      <c r="D27" s="76">
        <v>3074.0</v>
      </c>
      <c r="E27" s="76">
        <v>4.7</v>
      </c>
      <c r="F27" s="76">
        <v>14447.800000000001</v>
      </c>
      <c r="G27" s="77"/>
      <c r="H27" s="77"/>
      <c r="I27" s="76" t="s">
        <v>119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ht="24.0" customHeight="1">
      <c r="A28" s="76" t="s">
        <v>38</v>
      </c>
      <c r="B28" s="76" t="s">
        <v>129</v>
      </c>
      <c r="C28" s="76" t="s">
        <v>133</v>
      </c>
      <c r="D28" s="76">
        <v>5229.0</v>
      </c>
      <c r="E28" s="76">
        <v>4.7</v>
      </c>
      <c r="F28" s="76">
        <v>24576.3</v>
      </c>
      <c r="G28" s="77"/>
      <c r="H28" s="77"/>
      <c r="I28" s="76" t="s">
        <v>119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</row>
    <row r="29" ht="24.0" customHeight="1">
      <c r="A29" s="76" t="s">
        <v>38</v>
      </c>
      <c r="B29" s="76" t="s">
        <v>129</v>
      </c>
      <c r="C29" s="76" t="s">
        <v>132</v>
      </c>
      <c r="D29" s="76">
        <v>3700.0</v>
      </c>
      <c r="E29" s="76">
        <v>4.7</v>
      </c>
      <c r="F29" s="76">
        <v>17390.0</v>
      </c>
      <c r="G29" s="77"/>
      <c r="H29" s="77"/>
      <c r="I29" s="76" t="s">
        <v>119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ht="24.0" customHeight="1">
      <c r="A30" s="76" t="s">
        <v>38</v>
      </c>
      <c r="B30" s="76" t="s">
        <v>6</v>
      </c>
      <c r="C30" s="76" t="s">
        <v>133</v>
      </c>
      <c r="D30" s="77"/>
      <c r="E30" s="77"/>
      <c r="F30" s="77"/>
      <c r="G30" s="76">
        <v>100000.0</v>
      </c>
      <c r="H30" s="77"/>
      <c r="I30" s="77"/>
      <c r="J30" s="76" t="s">
        <v>114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ht="24.0" customHeight="1">
      <c r="A31" s="76" t="s">
        <v>38</v>
      </c>
      <c r="B31" s="76" t="s">
        <v>6</v>
      </c>
      <c r="C31" s="76" t="s">
        <v>133</v>
      </c>
      <c r="D31" s="77"/>
      <c r="E31" s="77"/>
      <c r="F31" s="77"/>
      <c r="G31" s="76">
        <v>20000.0</v>
      </c>
      <c r="H31" s="77"/>
      <c r="I31" s="77"/>
      <c r="J31" s="76" t="s">
        <v>113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ht="24.0" customHeight="1">
      <c r="A32" s="76" t="s">
        <v>92</v>
      </c>
      <c r="B32" s="76" t="s">
        <v>129</v>
      </c>
      <c r="C32" s="76" t="s">
        <v>132</v>
      </c>
      <c r="D32" s="76">
        <v>32880.0</v>
      </c>
      <c r="E32" s="76">
        <v>4.7</v>
      </c>
      <c r="F32" s="76">
        <v>154536.0</v>
      </c>
      <c r="G32" s="76"/>
      <c r="H32" s="77"/>
      <c r="I32" s="76" t="s">
        <v>119</v>
      </c>
      <c r="J32" s="76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ht="24.0" customHeight="1">
      <c r="A33" s="76" t="s">
        <v>92</v>
      </c>
      <c r="B33" s="76" t="s">
        <v>6</v>
      </c>
      <c r="C33" s="76" t="s">
        <v>132</v>
      </c>
      <c r="D33" s="77"/>
      <c r="E33" s="77"/>
      <c r="F33" s="77"/>
      <c r="G33" s="76">
        <v>100000.0</v>
      </c>
      <c r="H33" s="77"/>
      <c r="I33" s="77"/>
      <c r="J33" s="76" t="s">
        <v>114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ht="24.0" customHeight="1">
      <c r="A34" s="76" t="s">
        <v>39</v>
      </c>
      <c r="B34" s="76" t="s">
        <v>129</v>
      </c>
      <c r="C34" s="76" t="s">
        <v>130</v>
      </c>
      <c r="D34" s="76">
        <v>44700.0</v>
      </c>
      <c r="E34" s="76">
        <v>4.7</v>
      </c>
      <c r="F34" s="76">
        <v>210090.0</v>
      </c>
      <c r="G34" s="77"/>
      <c r="H34" s="77"/>
      <c r="I34" s="76" t="s">
        <v>119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ht="24.0" customHeight="1">
      <c r="A35" s="76" t="s">
        <v>39</v>
      </c>
      <c r="B35" s="76" t="s">
        <v>6</v>
      </c>
      <c r="C35" s="76" t="s">
        <v>130</v>
      </c>
      <c r="D35" s="77"/>
      <c r="E35" s="77"/>
      <c r="F35" s="77"/>
      <c r="G35" s="76">
        <v>100000.0</v>
      </c>
      <c r="H35" s="77"/>
      <c r="I35" s="77"/>
      <c r="J35" s="76" t="s">
        <v>114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ht="24.0" customHeight="1">
      <c r="A36" s="76" t="s">
        <v>39</v>
      </c>
      <c r="B36" s="76" t="s">
        <v>129</v>
      </c>
      <c r="C36" s="76" t="s">
        <v>132</v>
      </c>
      <c r="D36" s="76">
        <v>7999.0</v>
      </c>
      <c r="E36" s="76">
        <v>4.7</v>
      </c>
      <c r="F36" s="76">
        <v>37595.3</v>
      </c>
      <c r="G36" s="77"/>
      <c r="H36" s="77"/>
      <c r="I36" s="76" t="s">
        <v>119</v>
      </c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ht="24.0" customHeight="1">
      <c r="A37" s="76" t="s">
        <v>40</v>
      </c>
      <c r="B37" s="76" t="s">
        <v>129</v>
      </c>
      <c r="C37" s="76" t="s">
        <v>130</v>
      </c>
      <c r="D37" s="76">
        <v>29549.0</v>
      </c>
      <c r="E37" s="76">
        <v>4.7</v>
      </c>
      <c r="F37" s="76">
        <v>138880.30000000002</v>
      </c>
      <c r="G37" s="77"/>
      <c r="H37" s="77"/>
      <c r="I37" s="76" t="s">
        <v>119</v>
      </c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ht="24.0" customHeight="1">
      <c r="A38" s="76" t="s">
        <v>40</v>
      </c>
      <c r="B38" s="76" t="s">
        <v>129</v>
      </c>
      <c r="C38" s="76" t="s">
        <v>131</v>
      </c>
      <c r="D38" s="76">
        <v>8079.0</v>
      </c>
      <c r="E38" s="76">
        <v>4.7</v>
      </c>
      <c r="F38" s="76">
        <v>37971.3</v>
      </c>
      <c r="G38" s="77"/>
      <c r="H38" s="77"/>
      <c r="I38" s="76" t="s">
        <v>119</v>
      </c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ht="24.0" customHeight="1">
      <c r="A39" s="76" t="s">
        <v>40</v>
      </c>
      <c r="B39" s="76" t="s">
        <v>129</v>
      </c>
      <c r="C39" s="76" t="s">
        <v>133</v>
      </c>
      <c r="D39" s="76">
        <v>3810.0</v>
      </c>
      <c r="E39" s="76">
        <v>4.7</v>
      </c>
      <c r="F39" s="76">
        <v>17907.0</v>
      </c>
      <c r="G39" s="77"/>
      <c r="H39" s="77"/>
      <c r="I39" s="76" t="s">
        <v>119</v>
      </c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ht="24.0" customHeight="1">
      <c r="A40" s="76" t="s">
        <v>40</v>
      </c>
      <c r="B40" s="76" t="s">
        <v>129</v>
      </c>
      <c r="C40" s="76" t="s">
        <v>132</v>
      </c>
      <c r="D40" s="76">
        <v>11880.0</v>
      </c>
      <c r="E40" s="76">
        <v>4.7</v>
      </c>
      <c r="F40" s="76">
        <v>55836.0</v>
      </c>
      <c r="G40" s="77"/>
      <c r="H40" s="77"/>
      <c r="I40" s="76" t="s">
        <v>119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ht="24.0" customHeight="1">
      <c r="A41" s="76" t="s">
        <v>41</v>
      </c>
      <c r="B41" s="76" t="s">
        <v>129</v>
      </c>
      <c r="C41" s="76" t="s">
        <v>130</v>
      </c>
      <c r="D41" s="76">
        <v>45600.0</v>
      </c>
      <c r="E41" s="76">
        <v>4.7</v>
      </c>
      <c r="F41" s="76">
        <v>214320.0</v>
      </c>
      <c r="G41" s="77"/>
      <c r="H41" s="77"/>
      <c r="I41" s="76" t="s">
        <v>119</v>
      </c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</row>
    <row r="42" ht="24.0" customHeight="1">
      <c r="A42" s="76" t="s">
        <v>42</v>
      </c>
      <c r="B42" s="76" t="s">
        <v>129</v>
      </c>
      <c r="C42" s="76" t="s">
        <v>130</v>
      </c>
      <c r="D42" s="76">
        <v>7500.0</v>
      </c>
      <c r="E42" s="76">
        <v>4.7</v>
      </c>
      <c r="F42" s="76">
        <v>35250.0</v>
      </c>
      <c r="G42" s="76"/>
      <c r="H42" s="77"/>
      <c r="I42" s="76" t="s">
        <v>119</v>
      </c>
      <c r="J42" s="76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</row>
    <row r="43" ht="24.0" customHeight="1">
      <c r="A43" s="76" t="s">
        <v>43</v>
      </c>
      <c r="B43" s="76" t="s">
        <v>6</v>
      </c>
      <c r="C43" s="76" t="s">
        <v>130</v>
      </c>
      <c r="D43" s="77"/>
      <c r="E43" s="77"/>
      <c r="F43" s="77"/>
      <c r="G43" s="76">
        <v>98800.0</v>
      </c>
      <c r="H43" s="77"/>
      <c r="I43" s="77"/>
      <c r="J43" s="76" t="s">
        <v>113</v>
      </c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</row>
    <row r="44" ht="24.0" customHeight="1">
      <c r="A44" s="76" t="s">
        <v>43</v>
      </c>
      <c r="B44" s="76" t="s">
        <v>129</v>
      </c>
      <c r="C44" s="76" t="s">
        <v>130</v>
      </c>
      <c r="D44" s="76">
        <v>77030.0</v>
      </c>
      <c r="E44" s="76" t="s">
        <v>136</v>
      </c>
      <c r="F44" s="76">
        <v>362041.0</v>
      </c>
      <c r="G44" s="77"/>
      <c r="H44" s="77"/>
      <c r="I44" s="76" t="s">
        <v>119</v>
      </c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</row>
    <row r="45" ht="24.0" customHeight="1">
      <c r="A45" s="76" t="s">
        <v>43</v>
      </c>
      <c r="B45" s="76" t="s">
        <v>129</v>
      </c>
      <c r="C45" s="76" t="s">
        <v>130</v>
      </c>
      <c r="D45" s="76">
        <v>100.0</v>
      </c>
      <c r="E45" s="76">
        <v>4.7</v>
      </c>
      <c r="F45" s="76">
        <v>470.0</v>
      </c>
      <c r="G45" s="77"/>
      <c r="H45" s="77"/>
      <c r="I45" s="76" t="s">
        <v>119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</row>
    <row r="46" ht="24.0" customHeight="1">
      <c r="A46" s="76" t="s">
        <v>43</v>
      </c>
      <c r="B46" s="76" t="s">
        <v>6</v>
      </c>
      <c r="C46" s="76" t="s">
        <v>130</v>
      </c>
      <c r="D46" s="77"/>
      <c r="E46" s="77"/>
      <c r="F46" s="77"/>
      <c r="G46" s="76">
        <v>450000.0</v>
      </c>
      <c r="H46" s="77"/>
      <c r="I46" s="77"/>
      <c r="J46" s="76" t="s">
        <v>114</v>
      </c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</row>
    <row r="47" ht="24.0" customHeight="1">
      <c r="A47" s="76" t="s">
        <v>43</v>
      </c>
      <c r="B47" s="76" t="s">
        <v>129</v>
      </c>
      <c r="C47" s="76" t="s">
        <v>131</v>
      </c>
      <c r="D47" s="76">
        <v>38429.0</v>
      </c>
      <c r="E47" s="76">
        <v>4.7</v>
      </c>
      <c r="F47" s="76">
        <v>180616.30000000002</v>
      </c>
      <c r="G47" s="76"/>
      <c r="H47" s="77"/>
      <c r="I47" s="76" t="s">
        <v>119</v>
      </c>
      <c r="J47" s="76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</row>
    <row r="48" ht="24.0" customHeight="1">
      <c r="A48" s="76" t="s">
        <v>43</v>
      </c>
      <c r="B48" s="76" t="s">
        <v>129</v>
      </c>
      <c r="C48" s="76" t="s">
        <v>137</v>
      </c>
      <c r="D48" s="76">
        <v>1860.0</v>
      </c>
      <c r="E48" s="76">
        <v>4.7</v>
      </c>
      <c r="F48" s="76">
        <v>8742.0</v>
      </c>
      <c r="G48" s="77"/>
      <c r="H48" s="77"/>
      <c r="I48" s="76" t="s">
        <v>120</v>
      </c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</row>
    <row r="49" ht="24.0" customHeight="1">
      <c r="A49" s="76" t="s">
        <v>43</v>
      </c>
      <c r="B49" s="76" t="s">
        <v>129</v>
      </c>
      <c r="C49" s="76" t="s">
        <v>132</v>
      </c>
      <c r="D49" s="76">
        <v>3600.0</v>
      </c>
      <c r="E49" s="76">
        <v>4.7</v>
      </c>
      <c r="F49" s="76">
        <v>16920.0</v>
      </c>
      <c r="G49" s="77"/>
      <c r="H49" s="77"/>
      <c r="I49" s="76" t="s">
        <v>119</v>
      </c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</row>
    <row r="50" ht="24.0" customHeight="1">
      <c r="A50" s="76" t="s">
        <v>43</v>
      </c>
      <c r="B50" s="76" t="s">
        <v>6</v>
      </c>
      <c r="C50" s="76" t="s">
        <v>138</v>
      </c>
      <c r="D50" s="77"/>
      <c r="E50" s="77"/>
      <c r="F50" s="77"/>
      <c r="G50" s="76">
        <v>100000.0</v>
      </c>
      <c r="H50" s="77"/>
      <c r="I50" s="77"/>
      <c r="J50" s="76" t="s">
        <v>113</v>
      </c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</row>
    <row r="51" ht="24.0" customHeight="1">
      <c r="A51" s="76" t="s">
        <v>43</v>
      </c>
      <c r="B51" s="76" t="s">
        <v>6</v>
      </c>
      <c r="C51" s="76" t="s">
        <v>130</v>
      </c>
      <c r="D51" s="77"/>
      <c r="E51" s="77"/>
      <c r="F51" s="77"/>
      <c r="G51" s="76">
        <v>200000.0</v>
      </c>
      <c r="H51" s="77"/>
      <c r="I51" s="77"/>
      <c r="J51" s="76" t="s">
        <v>114</v>
      </c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</row>
    <row r="52" ht="24.0" customHeight="1">
      <c r="A52" s="76" t="s">
        <v>43</v>
      </c>
      <c r="B52" s="76" t="s">
        <v>129</v>
      </c>
      <c r="C52" s="76" t="s">
        <v>130</v>
      </c>
      <c r="D52" s="76">
        <v>19000.0</v>
      </c>
      <c r="E52" s="76">
        <v>4.72</v>
      </c>
      <c r="F52" s="76">
        <v>89680.0</v>
      </c>
      <c r="G52" s="77"/>
      <c r="H52" s="77"/>
      <c r="I52" s="76" t="s">
        <v>119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</row>
    <row r="53" ht="24.0" customHeight="1">
      <c r="A53" s="76" t="s">
        <v>43</v>
      </c>
      <c r="B53" s="76" t="s">
        <v>129</v>
      </c>
      <c r="C53" s="76" t="s">
        <v>130</v>
      </c>
      <c r="D53" s="76">
        <v>22600.0</v>
      </c>
      <c r="E53" s="76">
        <v>4.72</v>
      </c>
      <c r="F53" s="76">
        <v>106672.0</v>
      </c>
      <c r="G53" s="77"/>
      <c r="H53" s="77"/>
      <c r="I53" s="76" t="s">
        <v>119</v>
      </c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</row>
    <row r="54" ht="24.0" customHeight="1">
      <c r="A54" s="76" t="s">
        <v>43</v>
      </c>
      <c r="B54" s="76" t="s">
        <v>129</v>
      </c>
      <c r="C54" s="76" t="s">
        <v>131</v>
      </c>
      <c r="D54" s="76">
        <v>13074.0</v>
      </c>
      <c r="E54" s="76">
        <v>4.72</v>
      </c>
      <c r="F54" s="76">
        <v>61709.28</v>
      </c>
      <c r="G54" s="77"/>
      <c r="H54" s="77"/>
      <c r="I54" s="76" t="s">
        <v>119</v>
      </c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</row>
    <row r="55" ht="24.0" customHeight="1">
      <c r="A55" s="76" t="s">
        <v>43</v>
      </c>
      <c r="B55" s="76" t="s">
        <v>129</v>
      </c>
      <c r="C55" s="76" t="s">
        <v>130</v>
      </c>
      <c r="D55" s="76">
        <v>46680.0</v>
      </c>
      <c r="E55" s="76">
        <v>4.72</v>
      </c>
      <c r="F55" s="76">
        <v>220329.59999999998</v>
      </c>
      <c r="G55" s="77"/>
      <c r="H55" s="77"/>
      <c r="I55" s="76" t="s">
        <v>119</v>
      </c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ht="24.0" customHeight="1">
      <c r="A56" s="76" t="s">
        <v>43</v>
      </c>
      <c r="B56" s="76" t="s">
        <v>6</v>
      </c>
      <c r="C56" s="76" t="s">
        <v>130</v>
      </c>
      <c r="D56" s="77"/>
      <c r="E56" s="77"/>
      <c r="F56" s="77"/>
      <c r="G56" s="76">
        <v>134364.0</v>
      </c>
      <c r="H56" s="77"/>
      <c r="I56" s="77"/>
      <c r="J56" s="76" t="s">
        <v>112</v>
      </c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</row>
    <row r="57" ht="24.0" customHeight="1">
      <c r="A57" s="76" t="s">
        <v>43</v>
      </c>
      <c r="B57" s="76" t="s">
        <v>129</v>
      </c>
      <c r="C57" s="76" t="s">
        <v>130</v>
      </c>
      <c r="D57" s="76">
        <v>47400.0</v>
      </c>
      <c r="E57" s="76">
        <v>4.72</v>
      </c>
      <c r="F57" s="76">
        <v>223728.0</v>
      </c>
      <c r="G57" s="77"/>
      <c r="H57" s="77"/>
      <c r="I57" s="76" t="s">
        <v>119</v>
      </c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</row>
    <row r="58" ht="24.0" customHeight="1">
      <c r="A58" s="76" t="s">
        <v>43</v>
      </c>
      <c r="B58" s="76" t="s">
        <v>129</v>
      </c>
      <c r="C58" s="76" t="s">
        <v>132</v>
      </c>
      <c r="D58" s="76">
        <v>4045.0</v>
      </c>
      <c r="E58" s="76">
        <v>4.72</v>
      </c>
      <c r="F58" s="76">
        <v>19092.399999999998</v>
      </c>
      <c r="G58" s="77"/>
      <c r="H58" s="77"/>
      <c r="I58" s="76" t="s">
        <v>119</v>
      </c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</row>
    <row r="59" ht="24.0" customHeight="1">
      <c r="A59" s="76" t="s">
        <v>43</v>
      </c>
      <c r="B59" s="76" t="s">
        <v>6</v>
      </c>
      <c r="C59" s="76" t="s">
        <v>130</v>
      </c>
      <c r="D59" s="77"/>
      <c r="E59" s="77"/>
      <c r="F59" s="77"/>
      <c r="G59" s="76">
        <v>589800.0</v>
      </c>
      <c r="H59" s="77"/>
      <c r="I59" s="77"/>
      <c r="J59" s="76" t="s">
        <v>114</v>
      </c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</row>
    <row r="60" ht="24.0" customHeight="1">
      <c r="A60" s="76" t="s">
        <v>43</v>
      </c>
      <c r="B60" s="76" t="s">
        <v>129</v>
      </c>
      <c r="C60" s="76" t="s">
        <v>130</v>
      </c>
      <c r="D60" s="76">
        <v>300.0</v>
      </c>
      <c r="E60" s="76">
        <v>4.72</v>
      </c>
      <c r="F60" s="76">
        <v>1416.0</v>
      </c>
      <c r="G60" s="77"/>
      <c r="H60" s="77"/>
      <c r="I60" s="76" t="s">
        <v>119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</row>
    <row r="61" ht="24.0" customHeight="1">
      <c r="A61" s="76" t="s">
        <v>43</v>
      </c>
      <c r="B61" s="76" t="s">
        <v>6</v>
      </c>
      <c r="C61" s="76" t="s">
        <v>131</v>
      </c>
      <c r="D61" s="77"/>
      <c r="E61" s="77"/>
      <c r="F61" s="77"/>
      <c r="G61" s="76">
        <v>300000.0</v>
      </c>
      <c r="H61" s="77"/>
      <c r="I61" s="77"/>
      <c r="J61" s="76" t="s">
        <v>114</v>
      </c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</row>
    <row r="62" ht="24.0" customHeight="1">
      <c r="A62" s="76" t="s">
        <v>43</v>
      </c>
      <c r="B62" s="76" t="s">
        <v>6</v>
      </c>
      <c r="C62" s="76" t="s">
        <v>132</v>
      </c>
      <c r="D62" s="77"/>
      <c r="E62" s="77"/>
      <c r="F62" s="77"/>
      <c r="G62" s="76">
        <v>200000.0</v>
      </c>
      <c r="H62" s="77"/>
      <c r="I62" s="77"/>
      <c r="J62" s="76" t="s">
        <v>114</v>
      </c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</row>
    <row r="63" ht="24.0" customHeight="1">
      <c r="A63" s="76" t="s">
        <v>43</v>
      </c>
      <c r="B63" s="76" t="s">
        <v>129</v>
      </c>
      <c r="C63" s="76" t="s">
        <v>132</v>
      </c>
      <c r="D63" s="76">
        <v>2580.0</v>
      </c>
      <c r="E63" s="76">
        <v>4.72</v>
      </c>
      <c r="F63" s="76">
        <v>12177.599999999999</v>
      </c>
      <c r="G63" s="77"/>
      <c r="H63" s="77"/>
      <c r="I63" s="76" t="s">
        <v>119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</row>
    <row r="64" ht="24.0" customHeight="1">
      <c r="A64" s="76" t="s">
        <v>43</v>
      </c>
      <c r="B64" s="76" t="s">
        <v>6</v>
      </c>
      <c r="C64" s="76" t="s">
        <v>138</v>
      </c>
      <c r="D64" s="77"/>
      <c r="E64" s="77"/>
      <c r="F64" s="77"/>
      <c r="G64" s="76">
        <v>170000.0</v>
      </c>
      <c r="H64" s="77"/>
      <c r="I64" s="77"/>
      <c r="J64" s="76" t="s">
        <v>114</v>
      </c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</row>
    <row r="65" ht="24.0" customHeight="1">
      <c r="A65" s="76" t="s">
        <v>44</v>
      </c>
      <c r="B65" s="76" t="s">
        <v>129</v>
      </c>
      <c r="C65" s="76" t="s">
        <v>138</v>
      </c>
      <c r="D65" s="76">
        <v>7300.0</v>
      </c>
      <c r="E65" s="76">
        <v>4.7</v>
      </c>
      <c r="F65" s="76">
        <v>34310.0</v>
      </c>
      <c r="G65" s="77"/>
      <c r="H65" s="77"/>
      <c r="I65" s="76" t="s">
        <v>119</v>
      </c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</row>
    <row r="66" ht="24.0" customHeight="1">
      <c r="A66" s="76" t="s">
        <v>44</v>
      </c>
      <c r="B66" s="76" t="s">
        <v>129</v>
      </c>
      <c r="C66" s="76" t="s">
        <v>138</v>
      </c>
      <c r="D66" s="76">
        <v>24500.0</v>
      </c>
      <c r="E66" s="76">
        <v>4.7</v>
      </c>
      <c r="F66" s="76">
        <v>115150.0</v>
      </c>
      <c r="G66" s="77"/>
      <c r="H66" s="77"/>
      <c r="I66" s="76" t="s">
        <v>119</v>
      </c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</row>
    <row r="67" ht="24.0" customHeight="1">
      <c r="A67" s="76" t="s">
        <v>44</v>
      </c>
      <c r="B67" s="76" t="s">
        <v>129</v>
      </c>
      <c r="C67" s="76" t="s">
        <v>130</v>
      </c>
      <c r="D67" s="76">
        <v>71800.0</v>
      </c>
      <c r="E67" s="76">
        <v>4.72</v>
      </c>
      <c r="F67" s="76">
        <v>338896.0</v>
      </c>
      <c r="G67" s="77"/>
      <c r="H67" s="77"/>
      <c r="I67" s="76" t="s">
        <v>119</v>
      </c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</row>
    <row r="68" ht="24.0" customHeight="1">
      <c r="A68" s="76" t="s">
        <v>44</v>
      </c>
      <c r="B68" s="76" t="s">
        <v>6</v>
      </c>
      <c r="C68" s="76" t="s">
        <v>130</v>
      </c>
      <c r="D68" s="77"/>
      <c r="E68" s="77"/>
      <c r="F68" s="77"/>
      <c r="G68" s="76">
        <v>400000.0</v>
      </c>
      <c r="H68" s="77"/>
      <c r="I68" s="77"/>
      <c r="J68" s="76" t="s">
        <v>113</v>
      </c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</row>
    <row r="69" ht="24.0" customHeight="1">
      <c r="A69" s="76" t="s">
        <v>44</v>
      </c>
      <c r="B69" s="76" t="s">
        <v>129</v>
      </c>
      <c r="C69" s="76" t="s">
        <v>133</v>
      </c>
      <c r="D69" s="76">
        <v>24480.0</v>
      </c>
      <c r="E69" s="76">
        <v>4.73</v>
      </c>
      <c r="F69" s="76">
        <v>115790.40000000001</v>
      </c>
      <c r="G69" s="77"/>
      <c r="H69" s="77"/>
      <c r="I69" s="76" t="s">
        <v>119</v>
      </c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</row>
    <row r="70" ht="24.0" customHeight="1">
      <c r="A70" s="76" t="s">
        <v>44</v>
      </c>
      <c r="B70" s="76" t="s">
        <v>129</v>
      </c>
      <c r="C70" s="76" t="s">
        <v>132</v>
      </c>
      <c r="D70" s="76">
        <v>3000.0</v>
      </c>
      <c r="E70" s="76">
        <v>4.73</v>
      </c>
      <c r="F70" s="76">
        <v>14190.000000000002</v>
      </c>
      <c r="G70" s="77"/>
      <c r="H70" s="77"/>
      <c r="I70" s="76" t="s">
        <v>119</v>
      </c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</row>
    <row r="71" ht="24.0" customHeight="1">
      <c r="A71" s="76" t="s">
        <v>45</v>
      </c>
      <c r="B71" s="76" t="s">
        <v>129</v>
      </c>
      <c r="C71" s="76" t="s">
        <v>130</v>
      </c>
      <c r="D71" s="76">
        <v>51100.0</v>
      </c>
      <c r="E71" s="76">
        <v>4.72</v>
      </c>
      <c r="F71" s="76">
        <v>241192.0</v>
      </c>
      <c r="G71" s="77"/>
      <c r="H71" s="77"/>
      <c r="I71" s="76" t="s">
        <v>119</v>
      </c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</row>
    <row r="72" ht="24.0" customHeight="1">
      <c r="A72" s="76" t="s">
        <v>45</v>
      </c>
      <c r="B72" s="76" t="s">
        <v>6</v>
      </c>
      <c r="C72" s="76" t="s">
        <v>130</v>
      </c>
      <c r="D72" s="77"/>
      <c r="E72" s="77"/>
      <c r="F72" s="77"/>
      <c r="G72" s="76">
        <v>150000.0</v>
      </c>
      <c r="H72" s="77"/>
      <c r="I72" s="77"/>
      <c r="J72" s="76" t="s">
        <v>114</v>
      </c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</row>
    <row r="73" ht="24.0" customHeight="1">
      <c r="A73" s="76" t="s">
        <v>45</v>
      </c>
      <c r="B73" s="76" t="s">
        <v>6</v>
      </c>
      <c r="C73" s="76" t="s">
        <v>132</v>
      </c>
      <c r="D73" s="77"/>
      <c r="E73" s="77"/>
      <c r="F73" s="77"/>
      <c r="G73" s="76">
        <v>100000.0</v>
      </c>
      <c r="H73" s="77"/>
      <c r="I73" s="77"/>
      <c r="J73" s="76" t="s">
        <v>114</v>
      </c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</row>
    <row r="74" ht="24.0" customHeight="1">
      <c r="A74" s="76" t="s">
        <v>45</v>
      </c>
      <c r="B74" s="76" t="s">
        <v>6</v>
      </c>
      <c r="C74" s="76" t="s">
        <v>133</v>
      </c>
      <c r="D74" s="77"/>
      <c r="E74" s="77"/>
      <c r="F74" s="77"/>
      <c r="G74" s="76">
        <v>50000.0</v>
      </c>
      <c r="H74" s="77"/>
      <c r="I74" s="77"/>
      <c r="J74" s="76" t="s">
        <v>114</v>
      </c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</row>
    <row r="75" ht="24.0" customHeight="1">
      <c r="A75" s="76" t="s">
        <v>45</v>
      </c>
      <c r="B75" s="76" t="s">
        <v>129</v>
      </c>
      <c r="C75" s="76" t="s">
        <v>138</v>
      </c>
      <c r="D75" s="76">
        <v>41500.0</v>
      </c>
      <c r="E75" s="76">
        <v>4.72</v>
      </c>
      <c r="F75" s="76">
        <v>195880.0</v>
      </c>
      <c r="G75" s="77"/>
      <c r="H75" s="77"/>
      <c r="I75" s="76" t="s">
        <v>119</v>
      </c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</row>
    <row r="76" ht="24.0" customHeight="1">
      <c r="A76" s="76" t="s">
        <v>45</v>
      </c>
      <c r="B76" s="76" t="s">
        <v>6</v>
      </c>
      <c r="C76" s="76" t="s">
        <v>138</v>
      </c>
      <c r="D76" s="77"/>
      <c r="E76" s="77"/>
      <c r="F76" s="77"/>
      <c r="G76" s="76">
        <v>100000.0</v>
      </c>
      <c r="H76" s="77"/>
      <c r="I76" s="77"/>
      <c r="J76" s="76" t="s">
        <v>114</v>
      </c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</row>
    <row r="77" ht="24.0" customHeight="1">
      <c r="A77" s="76" t="s">
        <v>45</v>
      </c>
      <c r="B77" s="76" t="s">
        <v>129</v>
      </c>
      <c r="C77" s="76" t="s">
        <v>130</v>
      </c>
      <c r="D77" s="76">
        <v>51490.0</v>
      </c>
      <c r="E77" s="76">
        <v>4.72</v>
      </c>
      <c r="F77" s="76">
        <v>243032.8</v>
      </c>
      <c r="G77" s="77"/>
      <c r="H77" s="77"/>
      <c r="I77" s="76" t="s">
        <v>119</v>
      </c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</row>
    <row r="78" ht="24.0" customHeight="1">
      <c r="A78" s="76" t="s">
        <v>45</v>
      </c>
      <c r="B78" s="76" t="s">
        <v>129</v>
      </c>
      <c r="C78" s="76" t="s">
        <v>131</v>
      </c>
      <c r="D78" s="76">
        <v>7600.0</v>
      </c>
      <c r="E78" s="76">
        <v>4.72</v>
      </c>
      <c r="F78" s="76">
        <v>35872.0</v>
      </c>
      <c r="G78" s="77"/>
      <c r="H78" s="77"/>
      <c r="I78" s="76" t="s">
        <v>119</v>
      </c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</row>
    <row r="79" ht="24.0" customHeight="1">
      <c r="A79" s="76" t="s">
        <v>93</v>
      </c>
      <c r="B79" s="76" t="s">
        <v>129</v>
      </c>
      <c r="C79" s="76" t="s">
        <v>132</v>
      </c>
      <c r="D79" s="76">
        <v>12700.0</v>
      </c>
      <c r="E79" s="76">
        <v>4.72</v>
      </c>
      <c r="F79" s="76">
        <v>59944.0</v>
      </c>
      <c r="G79" s="77"/>
      <c r="H79" s="77"/>
      <c r="I79" s="76" t="s">
        <v>119</v>
      </c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</row>
    <row r="80" ht="24.0" customHeight="1">
      <c r="A80" s="76" t="s">
        <v>46</v>
      </c>
      <c r="B80" s="76" t="s">
        <v>129</v>
      </c>
      <c r="C80" s="76" t="s">
        <v>130</v>
      </c>
      <c r="D80" s="76">
        <v>14700.0</v>
      </c>
      <c r="E80" s="76">
        <v>4.72</v>
      </c>
      <c r="F80" s="76">
        <v>69384.0</v>
      </c>
      <c r="G80" s="77"/>
      <c r="H80" s="77"/>
      <c r="I80" s="76" t="s">
        <v>119</v>
      </c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</row>
    <row r="81" ht="24.0" customHeight="1">
      <c r="A81" s="76" t="s">
        <v>46</v>
      </c>
      <c r="B81" s="76" t="s">
        <v>129</v>
      </c>
      <c r="C81" s="76" t="s">
        <v>131</v>
      </c>
      <c r="D81" s="76">
        <v>16900.0</v>
      </c>
      <c r="E81" s="76">
        <v>4.72</v>
      </c>
      <c r="F81" s="76">
        <v>79768.0</v>
      </c>
      <c r="G81" s="77"/>
      <c r="H81" s="77"/>
      <c r="I81" s="76" t="s">
        <v>119</v>
      </c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</row>
    <row r="82" ht="24.0" customHeight="1">
      <c r="A82" s="76" t="s">
        <v>46</v>
      </c>
      <c r="B82" s="76" t="s">
        <v>6</v>
      </c>
      <c r="C82" s="76" t="s">
        <v>131</v>
      </c>
      <c r="D82" s="77"/>
      <c r="E82" s="77"/>
      <c r="F82" s="77"/>
      <c r="G82" s="76">
        <v>51150.0</v>
      </c>
      <c r="H82" s="77"/>
      <c r="I82" s="77"/>
      <c r="J82" s="76" t="s">
        <v>113</v>
      </c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</row>
    <row r="83" ht="24.0" customHeight="1">
      <c r="A83" s="76" t="s">
        <v>46</v>
      </c>
      <c r="B83" s="76" t="s">
        <v>129</v>
      </c>
      <c r="C83" s="76" t="s">
        <v>132</v>
      </c>
      <c r="D83" s="76">
        <v>4012.0</v>
      </c>
      <c r="E83" s="76">
        <v>4.72</v>
      </c>
      <c r="F83" s="76">
        <v>18936.64</v>
      </c>
      <c r="G83" s="77"/>
      <c r="H83" s="77"/>
      <c r="I83" s="76" t="s">
        <v>119</v>
      </c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</row>
    <row r="84" ht="24.0" customHeight="1">
      <c r="A84" s="76" t="s">
        <v>47</v>
      </c>
      <c r="B84" s="76" t="s">
        <v>129</v>
      </c>
      <c r="C84" s="76" t="s">
        <v>130</v>
      </c>
      <c r="D84" s="76">
        <v>18900.0</v>
      </c>
      <c r="E84" s="76">
        <v>4.72</v>
      </c>
      <c r="F84" s="76">
        <v>89208.0</v>
      </c>
      <c r="G84" s="77"/>
      <c r="H84" s="77"/>
      <c r="I84" s="76" t="s">
        <v>119</v>
      </c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</row>
    <row r="85" ht="24.0" customHeight="1">
      <c r="A85" s="76" t="s">
        <v>47</v>
      </c>
      <c r="B85" s="76" t="s">
        <v>6</v>
      </c>
      <c r="C85" s="76" t="s">
        <v>131</v>
      </c>
      <c r="D85" s="77"/>
      <c r="E85" s="77"/>
      <c r="F85" s="77"/>
      <c r="G85" s="76">
        <v>133000.0</v>
      </c>
      <c r="H85" s="77"/>
      <c r="I85" s="77"/>
      <c r="J85" s="76" t="s">
        <v>114</v>
      </c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</row>
    <row r="86" ht="24.0" customHeight="1">
      <c r="A86" s="76" t="s">
        <v>47</v>
      </c>
      <c r="B86" s="76" t="s">
        <v>129</v>
      </c>
      <c r="C86" s="76" t="s">
        <v>131</v>
      </c>
      <c r="D86" s="76">
        <v>8999.0</v>
      </c>
      <c r="E86" s="76">
        <v>4.72</v>
      </c>
      <c r="F86" s="76">
        <v>42475.28</v>
      </c>
      <c r="G86" s="77"/>
      <c r="H86" s="77"/>
      <c r="I86" s="76" t="s">
        <v>119</v>
      </c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</row>
    <row r="87" ht="24.0" customHeight="1">
      <c r="A87" s="76" t="s">
        <v>47</v>
      </c>
      <c r="B87" s="76" t="s">
        <v>129</v>
      </c>
      <c r="C87" s="76" t="s">
        <v>132</v>
      </c>
      <c r="D87" s="76">
        <v>4699.0</v>
      </c>
      <c r="E87" s="76">
        <v>4.72</v>
      </c>
      <c r="F87" s="76">
        <v>22179.28</v>
      </c>
      <c r="G87" s="77"/>
      <c r="H87" s="77"/>
      <c r="I87" s="76" t="s">
        <v>119</v>
      </c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</row>
    <row r="88" ht="24.0" customHeight="1">
      <c r="A88" s="76" t="s">
        <v>48</v>
      </c>
      <c r="B88" s="76" t="s">
        <v>6</v>
      </c>
      <c r="C88" s="76" t="s">
        <v>130</v>
      </c>
      <c r="D88" s="77"/>
      <c r="E88" s="77"/>
      <c r="F88" s="77"/>
      <c r="G88" s="76">
        <v>150000.0</v>
      </c>
      <c r="H88" s="77"/>
      <c r="I88" s="77"/>
      <c r="J88" s="76" t="s">
        <v>112</v>
      </c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</row>
    <row r="89" ht="24.0" customHeight="1">
      <c r="A89" s="76" t="s">
        <v>48</v>
      </c>
      <c r="B89" s="76" t="s">
        <v>129</v>
      </c>
      <c r="C89" s="76" t="s">
        <v>132</v>
      </c>
      <c r="D89" s="76">
        <v>6655.0</v>
      </c>
      <c r="E89" s="76">
        <v>4.72</v>
      </c>
      <c r="F89" s="76">
        <v>31411.6</v>
      </c>
      <c r="G89" s="77"/>
      <c r="H89" s="77"/>
      <c r="I89" s="76" t="s">
        <v>119</v>
      </c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</row>
    <row r="90" ht="24.0" customHeight="1">
      <c r="A90" s="76" t="s">
        <v>49</v>
      </c>
      <c r="B90" s="76" t="s">
        <v>129</v>
      </c>
      <c r="C90" s="76" t="s">
        <v>130</v>
      </c>
      <c r="D90" s="76">
        <v>45400.0</v>
      </c>
      <c r="E90" s="76">
        <v>4.72</v>
      </c>
      <c r="F90" s="76">
        <v>214288.0</v>
      </c>
      <c r="G90" s="77"/>
      <c r="H90" s="77"/>
      <c r="I90" s="76" t="s">
        <v>119</v>
      </c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</row>
    <row r="91" ht="24.0" customHeight="1">
      <c r="A91" s="76" t="s">
        <v>49</v>
      </c>
      <c r="B91" s="76" t="s">
        <v>6</v>
      </c>
      <c r="C91" s="76" t="s">
        <v>130</v>
      </c>
      <c r="D91" s="77"/>
      <c r="E91" s="77"/>
      <c r="F91" s="77"/>
      <c r="G91" s="76">
        <v>150000.0</v>
      </c>
      <c r="H91" s="77"/>
      <c r="I91" s="77"/>
      <c r="J91" s="76" t="s">
        <v>113</v>
      </c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</row>
    <row r="92" ht="24.0" customHeight="1">
      <c r="A92" s="76" t="s">
        <v>49</v>
      </c>
      <c r="B92" s="76" t="s">
        <v>129</v>
      </c>
      <c r="C92" s="76" t="s">
        <v>130</v>
      </c>
      <c r="D92" s="76">
        <v>3000.0</v>
      </c>
      <c r="E92" s="76">
        <v>4.72</v>
      </c>
      <c r="F92" s="76">
        <v>14160.0</v>
      </c>
      <c r="G92" s="77"/>
      <c r="H92" s="77"/>
      <c r="I92" s="76" t="s">
        <v>119</v>
      </c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</row>
    <row r="93" ht="24.0" customHeight="1">
      <c r="A93" s="76" t="s">
        <v>49</v>
      </c>
      <c r="B93" s="76" t="s">
        <v>6</v>
      </c>
      <c r="C93" s="76" t="s">
        <v>130</v>
      </c>
      <c r="D93" s="77"/>
      <c r="E93" s="77"/>
      <c r="F93" s="77"/>
      <c r="G93" s="76">
        <v>250000.0</v>
      </c>
      <c r="H93" s="77"/>
      <c r="I93" s="77"/>
      <c r="J93" s="76" t="s">
        <v>113</v>
      </c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</row>
    <row r="94" ht="24.0" customHeight="1">
      <c r="A94" s="76" t="s">
        <v>50</v>
      </c>
      <c r="B94" s="76" t="s">
        <v>129</v>
      </c>
      <c r="C94" s="76" t="s">
        <v>138</v>
      </c>
      <c r="D94" s="76">
        <v>11400.0</v>
      </c>
      <c r="E94" s="76">
        <v>4.72</v>
      </c>
      <c r="F94" s="76">
        <v>53808.0</v>
      </c>
      <c r="G94" s="77"/>
      <c r="H94" s="77"/>
      <c r="I94" s="76" t="s">
        <v>119</v>
      </c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</row>
    <row r="95" ht="24.0" customHeight="1">
      <c r="A95" s="76" t="s">
        <v>50</v>
      </c>
      <c r="B95" s="76" t="s">
        <v>6</v>
      </c>
      <c r="C95" s="76" t="s">
        <v>130</v>
      </c>
      <c r="D95" s="77"/>
      <c r="E95" s="77"/>
      <c r="F95" s="77"/>
      <c r="G95" s="76">
        <v>173000.0</v>
      </c>
      <c r="H95" s="77"/>
      <c r="I95" s="77"/>
      <c r="J95" s="76" t="s">
        <v>112</v>
      </c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</row>
    <row r="96" ht="24.0" customHeight="1">
      <c r="A96" s="76" t="s">
        <v>50</v>
      </c>
      <c r="B96" s="76" t="s">
        <v>129</v>
      </c>
      <c r="C96" s="76" t="s">
        <v>130</v>
      </c>
      <c r="D96" s="76">
        <v>2088.0</v>
      </c>
      <c r="E96" s="76">
        <v>4.72</v>
      </c>
      <c r="F96" s="76">
        <v>9855.359999999999</v>
      </c>
      <c r="G96" s="77"/>
      <c r="H96" s="77"/>
      <c r="I96" s="76" t="s">
        <v>119</v>
      </c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</row>
    <row r="97" ht="24.0" customHeight="1">
      <c r="A97" s="76" t="s">
        <v>50</v>
      </c>
      <c r="B97" s="76" t="s">
        <v>134</v>
      </c>
      <c r="C97" s="77"/>
      <c r="D97" s="77"/>
      <c r="E97" s="77"/>
      <c r="F97" s="77"/>
      <c r="G97" s="76">
        <v>457364.0</v>
      </c>
      <c r="H97" s="77"/>
      <c r="I97" s="76" t="s">
        <v>112</v>
      </c>
      <c r="J97" s="76" t="s">
        <v>113</v>
      </c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</row>
    <row r="98" ht="24.0" customHeight="1">
      <c r="A98" s="76" t="s">
        <v>50</v>
      </c>
      <c r="B98" s="76" t="s">
        <v>6</v>
      </c>
      <c r="C98" s="76" t="s">
        <v>130</v>
      </c>
      <c r="D98" s="77"/>
      <c r="E98" s="77"/>
      <c r="F98" s="77"/>
      <c r="G98" s="76">
        <v>100000.0</v>
      </c>
      <c r="H98" s="77"/>
      <c r="I98" s="77"/>
      <c r="J98" s="76" t="s">
        <v>112</v>
      </c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</row>
    <row r="99" ht="24.0" customHeight="1">
      <c r="A99" s="76" t="s">
        <v>50</v>
      </c>
      <c r="B99" s="76" t="s">
        <v>134</v>
      </c>
      <c r="C99" s="77"/>
      <c r="D99" s="77"/>
      <c r="E99" s="77"/>
      <c r="F99" s="77"/>
      <c r="G99" s="76">
        <v>173000.0</v>
      </c>
      <c r="H99" s="77"/>
      <c r="I99" s="76" t="s">
        <v>113</v>
      </c>
      <c r="J99" s="76" t="s">
        <v>112</v>
      </c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</row>
    <row r="100" ht="24.0" customHeight="1">
      <c r="A100" s="76" t="s">
        <v>50</v>
      </c>
      <c r="B100" s="76" t="s">
        <v>129</v>
      </c>
      <c r="C100" s="76" t="s">
        <v>130</v>
      </c>
      <c r="D100" s="76">
        <v>39300.0</v>
      </c>
      <c r="E100" s="76">
        <v>4.74</v>
      </c>
      <c r="F100" s="76">
        <v>186282.0</v>
      </c>
      <c r="G100" s="77"/>
      <c r="H100" s="77"/>
      <c r="I100" s="76" t="s">
        <v>119</v>
      </c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</row>
    <row r="101" ht="24.0" customHeight="1">
      <c r="A101" s="76" t="s">
        <v>50</v>
      </c>
      <c r="B101" s="76" t="s">
        <v>129</v>
      </c>
      <c r="C101" s="76" t="s">
        <v>132</v>
      </c>
      <c r="D101" s="76">
        <v>3480.0</v>
      </c>
      <c r="E101" s="76">
        <v>4.72</v>
      </c>
      <c r="F101" s="76">
        <v>16425.6</v>
      </c>
      <c r="G101" s="77"/>
      <c r="H101" s="77"/>
      <c r="I101" s="76" t="s">
        <v>119</v>
      </c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</row>
    <row r="102" ht="24.0" customHeight="1">
      <c r="A102" s="76" t="s">
        <v>50</v>
      </c>
      <c r="B102" s="76" t="s">
        <v>129</v>
      </c>
      <c r="C102" s="76" t="s">
        <v>131</v>
      </c>
      <c r="D102" s="76">
        <v>9775.0</v>
      </c>
      <c r="E102" s="76">
        <v>4.72</v>
      </c>
      <c r="F102" s="76">
        <v>46138.0</v>
      </c>
      <c r="G102" s="77"/>
      <c r="H102" s="77"/>
      <c r="I102" s="76" t="s">
        <v>119</v>
      </c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</row>
    <row r="103" ht="24.0" customHeight="1">
      <c r="A103" s="76" t="s">
        <v>50</v>
      </c>
      <c r="B103" s="76" t="s">
        <v>129</v>
      </c>
      <c r="C103" s="76" t="s">
        <v>133</v>
      </c>
      <c r="D103" s="76">
        <v>15300.0</v>
      </c>
      <c r="E103" s="76">
        <v>4.74</v>
      </c>
      <c r="F103" s="76">
        <v>72522.0</v>
      </c>
      <c r="G103" s="77"/>
      <c r="H103" s="77"/>
      <c r="I103" s="76" t="s">
        <v>119</v>
      </c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</row>
    <row r="104" ht="24.0" customHeight="1">
      <c r="A104" s="76" t="s">
        <v>50</v>
      </c>
      <c r="B104" s="76" t="s">
        <v>6</v>
      </c>
      <c r="C104" s="76" t="s">
        <v>138</v>
      </c>
      <c r="D104" s="77"/>
      <c r="E104" s="77"/>
      <c r="F104" s="77"/>
      <c r="G104" s="76">
        <v>21265.0</v>
      </c>
      <c r="H104" s="77"/>
      <c r="I104" s="77"/>
      <c r="J104" s="76" t="s">
        <v>112</v>
      </c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</row>
    <row r="105" ht="24.0" customHeight="1">
      <c r="A105" s="76" t="s">
        <v>50</v>
      </c>
      <c r="B105" s="76" t="s">
        <v>129</v>
      </c>
      <c r="C105" s="76" t="s">
        <v>131</v>
      </c>
      <c r="D105" s="76">
        <v>6800.0</v>
      </c>
      <c r="E105" s="76">
        <v>4.74</v>
      </c>
      <c r="F105" s="76">
        <v>32232.0</v>
      </c>
      <c r="G105" s="77"/>
      <c r="H105" s="77"/>
      <c r="I105" s="76" t="s">
        <v>119</v>
      </c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</row>
    <row r="106" ht="24.0" customHeight="1">
      <c r="A106" s="76" t="s">
        <v>50</v>
      </c>
      <c r="B106" s="76" t="s">
        <v>129</v>
      </c>
      <c r="C106" s="76" t="s">
        <v>133</v>
      </c>
      <c r="D106" s="76">
        <v>6570.0</v>
      </c>
      <c r="E106" s="76">
        <v>4.74</v>
      </c>
      <c r="F106" s="76">
        <v>31141.800000000003</v>
      </c>
      <c r="G106" s="77"/>
      <c r="H106" s="77"/>
      <c r="I106" s="76" t="s">
        <v>119</v>
      </c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</row>
    <row r="107" ht="24.0" customHeight="1">
      <c r="A107" s="76" t="s">
        <v>50</v>
      </c>
      <c r="B107" s="76" t="s">
        <v>129</v>
      </c>
      <c r="C107" s="76" t="s">
        <v>132</v>
      </c>
      <c r="D107" s="76">
        <v>3999.0</v>
      </c>
      <c r="E107" s="76">
        <v>4.74</v>
      </c>
      <c r="F107" s="76">
        <v>18955.260000000002</v>
      </c>
      <c r="G107" s="77"/>
      <c r="H107" s="77"/>
      <c r="I107" s="76" t="s">
        <v>119</v>
      </c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</row>
    <row r="108" ht="24.0" customHeight="1">
      <c r="A108" s="76" t="s">
        <v>50</v>
      </c>
      <c r="B108" s="76" t="s">
        <v>6</v>
      </c>
      <c r="C108" s="76" t="s">
        <v>132</v>
      </c>
      <c r="D108" s="77"/>
      <c r="E108" s="77"/>
      <c r="F108" s="77"/>
      <c r="G108" s="76">
        <v>47554.0</v>
      </c>
      <c r="H108" s="77"/>
      <c r="I108" s="77"/>
      <c r="J108" s="76" t="s">
        <v>114</v>
      </c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</row>
    <row r="109" ht="24.0" customHeight="1">
      <c r="A109" s="76" t="s">
        <v>51</v>
      </c>
      <c r="B109" s="76" t="s">
        <v>129</v>
      </c>
      <c r="C109" s="76" t="s">
        <v>130</v>
      </c>
      <c r="D109" s="76">
        <v>70800.0</v>
      </c>
      <c r="E109" s="76">
        <v>4.74</v>
      </c>
      <c r="F109" s="76">
        <v>335592.0</v>
      </c>
      <c r="G109" s="76"/>
      <c r="H109" s="77"/>
      <c r="I109" s="76" t="s">
        <v>119</v>
      </c>
      <c r="J109" s="76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</row>
    <row r="110" ht="24.0" customHeight="1">
      <c r="A110" s="76" t="s">
        <v>51</v>
      </c>
      <c r="B110" s="76" t="s">
        <v>129</v>
      </c>
      <c r="C110" s="76" t="s">
        <v>131</v>
      </c>
      <c r="D110" s="76">
        <v>1000.0</v>
      </c>
      <c r="E110" s="76">
        <v>4.74</v>
      </c>
      <c r="F110" s="76">
        <v>4740.0</v>
      </c>
      <c r="G110" s="77"/>
      <c r="H110" s="77"/>
      <c r="I110" s="76" t="s">
        <v>119</v>
      </c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</row>
    <row r="111" ht="24.0" customHeight="1">
      <c r="A111" s="76" t="s">
        <v>51</v>
      </c>
      <c r="B111" s="76" t="s">
        <v>129</v>
      </c>
      <c r="C111" s="76" t="s">
        <v>132</v>
      </c>
      <c r="D111" s="76">
        <v>8599.0</v>
      </c>
      <c r="E111" s="76">
        <v>4.74</v>
      </c>
      <c r="F111" s="76">
        <v>40759.26</v>
      </c>
      <c r="G111" s="77"/>
      <c r="H111" s="77"/>
      <c r="I111" s="76" t="s">
        <v>119</v>
      </c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</row>
    <row r="112" ht="24.0" customHeight="1">
      <c r="A112" s="76" t="s">
        <v>52</v>
      </c>
      <c r="B112" s="76" t="s">
        <v>134</v>
      </c>
      <c r="C112" s="77"/>
      <c r="D112" s="77"/>
      <c r="E112" s="77"/>
      <c r="F112" s="77"/>
      <c r="G112" s="76">
        <v>273000.0</v>
      </c>
      <c r="H112" s="77"/>
      <c r="I112" s="76" t="s">
        <v>112</v>
      </c>
      <c r="J112" s="76" t="s">
        <v>113</v>
      </c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</row>
    <row r="113" ht="24.0" customHeight="1">
      <c r="A113" s="76" t="s">
        <v>51</v>
      </c>
      <c r="B113" s="76" t="s">
        <v>129</v>
      </c>
      <c r="C113" s="76" t="s">
        <v>139</v>
      </c>
      <c r="D113" s="76">
        <v>8438.0</v>
      </c>
      <c r="E113" s="76">
        <v>4.74</v>
      </c>
      <c r="F113" s="76">
        <v>39996.12</v>
      </c>
      <c r="G113" s="77"/>
      <c r="H113" s="77"/>
      <c r="I113" s="76" t="s">
        <v>119</v>
      </c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</row>
    <row r="114" ht="24.0" customHeight="1">
      <c r="A114" s="76" t="s">
        <v>51</v>
      </c>
      <c r="B114" s="76" t="s">
        <v>6</v>
      </c>
      <c r="C114" s="76" t="s">
        <v>139</v>
      </c>
      <c r="D114" s="77"/>
      <c r="E114" s="77"/>
      <c r="F114" s="77"/>
      <c r="G114" s="76">
        <v>40000.0</v>
      </c>
      <c r="H114" s="77"/>
      <c r="I114" s="77"/>
      <c r="J114" s="76" t="s">
        <v>112</v>
      </c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</row>
    <row r="115" ht="24.0" customHeight="1">
      <c r="A115" s="76" t="s">
        <v>51</v>
      </c>
      <c r="B115" s="76" t="s">
        <v>135</v>
      </c>
      <c r="C115" s="77"/>
      <c r="D115" s="76">
        <v>215054.0</v>
      </c>
      <c r="E115" s="76">
        <v>4.65</v>
      </c>
      <c r="F115" s="77"/>
      <c r="G115" s="77"/>
      <c r="H115" s="76">
        <v>1000001.1000000001</v>
      </c>
      <c r="I115" s="76" t="s">
        <v>114</v>
      </c>
      <c r="J115" s="76" t="s">
        <v>119</v>
      </c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</row>
    <row r="116" ht="24.0" customHeight="1">
      <c r="A116" s="76" t="s">
        <v>51</v>
      </c>
      <c r="B116" s="76" t="s">
        <v>135</v>
      </c>
      <c r="C116" s="77"/>
      <c r="D116" s="76">
        <v>128205.0</v>
      </c>
      <c r="E116" s="76">
        <v>4.68</v>
      </c>
      <c r="F116" s="77"/>
      <c r="G116" s="77"/>
      <c r="H116" s="76">
        <v>599999.3999999999</v>
      </c>
      <c r="I116" s="76" t="s">
        <v>113</v>
      </c>
      <c r="J116" s="76" t="s">
        <v>119</v>
      </c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</row>
    <row r="117" ht="24.0" customHeight="1">
      <c r="A117" s="76" t="s">
        <v>51</v>
      </c>
      <c r="B117" s="76" t="s">
        <v>135</v>
      </c>
      <c r="C117" s="77"/>
      <c r="D117" s="76">
        <v>317826.0</v>
      </c>
      <c r="E117" s="76">
        <v>4.67</v>
      </c>
      <c r="F117" s="77"/>
      <c r="G117" s="77"/>
      <c r="H117" s="76">
        <v>1484247.42</v>
      </c>
      <c r="I117" s="76" t="s">
        <v>113</v>
      </c>
      <c r="J117" s="76" t="s">
        <v>119</v>
      </c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</row>
    <row r="118" ht="24.0" customHeight="1">
      <c r="A118" s="76" t="s">
        <v>51</v>
      </c>
      <c r="B118" s="76" t="s">
        <v>134</v>
      </c>
      <c r="C118" s="77"/>
      <c r="D118" s="77"/>
      <c r="E118" s="77"/>
      <c r="F118" s="77"/>
      <c r="G118" s="76">
        <v>1444908.0</v>
      </c>
      <c r="H118" s="77"/>
      <c r="I118" s="76" t="s">
        <v>114</v>
      </c>
      <c r="J118" s="76" t="s">
        <v>113</v>
      </c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</row>
    <row r="119" ht="24.0" customHeight="1">
      <c r="A119" s="76" t="s">
        <v>51</v>
      </c>
      <c r="B119" s="76" t="s">
        <v>135</v>
      </c>
      <c r="C119" s="77"/>
      <c r="D119" s="76">
        <v>191928.0</v>
      </c>
      <c r="E119" s="76">
        <v>4.68</v>
      </c>
      <c r="F119" s="77"/>
      <c r="G119" s="77"/>
      <c r="H119" s="76">
        <v>898223.0399999999</v>
      </c>
      <c r="I119" s="76" t="s">
        <v>113</v>
      </c>
      <c r="J119" s="76" t="s">
        <v>119</v>
      </c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</row>
    <row r="120" ht="24.0" customHeight="1">
      <c r="A120" s="76" t="s">
        <v>52</v>
      </c>
      <c r="B120" s="76" t="s">
        <v>129</v>
      </c>
      <c r="C120" s="76" t="s">
        <v>130</v>
      </c>
      <c r="D120" s="76">
        <v>100.0</v>
      </c>
      <c r="E120" s="76">
        <v>4.72</v>
      </c>
      <c r="F120" s="76">
        <v>472.0</v>
      </c>
      <c r="G120" s="77"/>
      <c r="H120" s="77"/>
      <c r="I120" s="76" t="s">
        <v>119</v>
      </c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</row>
    <row r="121" ht="24.0" customHeight="1">
      <c r="A121" s="76" t="s">
        <v>52</v>
      </c>
      <c r="B121" s="76" t="s">
        <v>129</v>
      </c>
      <c r="C121" s="76" t="s">
        <v>131</v>
      </c>
      <c r="D121" s="76">
        <v>4599.0</v>
      </c>
      <c r="E121" s="76">
        <v>4.72</v>
      </c>
      <c r="F121" s="76">
        <v>21707.28</v>
      </c>
      <c r="G121" s="77"/>
      <c r="H121" s="77"/>
      <c r="I121" s="76" t="s">
        <v>119</v>
      </c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</row>
    <row r="122" ht="24.0" customHeight="1">
      <c r="A122" s="76" t="s">
        <v>52</v>
      </c>
      <c r="B122" s="76" t="s">
        <v>6</v>
      </c>
      <c r="C122" s="76" t="s">
        <v>131</v>
      </c>
      <c r="D122" s="77"/>
      <c r="E122" s="77"/>
      <c r="F122" s="77"/>
      <c r="G122" s="76">
        <v>200000.0</v>
      </c>
      <c r="H122" s="77"/>
      <c r="I122" s="77"/>
      <c r="J122" s="76" t="s">
        <v>113</v>
      </c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</row>
    <row r="123" ht="24.0" customHeight="1">
      <c r="A123" s="76" t="s">
        <v>52</v>
      </c>
      <c r="B123" s="76" t="s">
        <v>129</v>
      </c>
      <c r="C123" s="76" t="s">
        <v>133</v>
      </c>
      <c r="D123" s="76">
        <v>47181.0</v>
      </c>
      <c r="E123" s="76">
        <v>4.72</v>
      </c>
      <c r="F123" s="76">
        <v>222694.31999999998</v>
      </c>
      <c r="G123" s="77"/>
      <c r="H123" s="77"/>
      <c r="I123" s="76" t="s">
        <v>119</v>
      </c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</row>
    <row r="124" ht="24.0" customHeight="1">
      <c r="A124" s="76" t="s">
        <v>52</v>
      </c>
      <c r="B124" s="76" t="s">
        <v>129</v>
      </c>
      <c r="C124" s="76" t="s">
        <v>133</v>
      </c>
      <c r="D124" s="76">
        <v>13033.0</v>
      </c>
      <c r="E124" s="76">
        <v>4.72</v>
      </c>
      <c r="F124" s="76">
        <v>61515.759999999995</v>
      </c>
      <c r="G124" s="77"/>
      <c r="H124" s="77"/>
      <c r="I124" s="76" t="s">
        <v>119</v>
      </c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</row>
    <row r="125" ht="24.0" customHeight="1">
      <c r="A125" s="76" t="s">
        <v>52</v>
      </c>
      <c r="B125" s="76" t="s">
        <v>135</v>
      </c>
      <c r="C125" s="77"/>
      <c r="D125" s="76">
        <v>5000.0</v>
      </c>
      <c r="E125" s="76">
        <v>4.66</v>
      </c>
      <c r="F125" s="77"/>
      <c r="G125" s="77"/>
      <c r="H125" s="76">
        <v>23300.0</v>
      </c>
      <c r="I125" s="76" t="s">
        <v>113</v>
      </c>
      <c r="J125" s="76" t="s">
        <v>119</v>
      </c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</row>
    <row r="126" ht="24.0" customHeight="1">
      <c r="A126" s="76" t="s">
        <v>53</v>
      </c>
      <c r="B126" s="76" t="s">
        <v>129</v>
      </c>
      <c r="C126" s="76" t="s">
        <v>130</v>
      </c>
      <c r="D126" s="76">
        <v>30300.0</v>
      </c>
      <c r="E126" s="76">
        <v>4.72</v>
      </c>
      <c r="F126" s="76">
        <v>143016.0</v>
      </c>
      <c r="G126" s="77"/>
      <c r="H126" s="77"/>
      <c r="I126" s="76" t="s">
        <v>119</v>
      </c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</row>
    <row r="127" ht="24.0" customHeight="1">
      <c r="A127" s="76" t="s">
        <v>53</v>
      </c>
      <c r="B127" s="76" t="s">
        <v>129</v>
      </c>
      <c r="C127" s="76" t="s">
        <v>131</v>
      </c>
      <c r="D127" s="76">
        <v>10500.0</v>
      </c>
      <c r="E127" s="76">
        <v>4.72</v>
      </c>
      <c r="F127" s="76">
        <v>49560.0</v>
      </c>
      <c r="G127" s="77"/>
      <c r="H127" s="77"/>
      <c r="I127" s="76" t="s">
        <v>119</v>
      </c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</row>
    <row r="128" ht="24.0" customHeight="1">
      <c r="A128" s="76" t="s">
        <v>53</v>
      </c>
      <c r="B128" s="76" t="s">
        <v>129</v>
      </c>
      <c r="C128" s="76" t="s">
        <v>130</v>
      </c>
      <c r="D128" s="76">
        <v>500.0</v>
      </c>
      <c r="E128" s="76">
        <v>4.72</v>
      </c>
      <c r="F128" s="76">
        <v>2360.0</v>
      </c>
      <c r="G128" s="77"/>
      <c r="H128" s="77"/>
      <c r="I128" s="76" t="s">
        <v>119</v>
      </c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</row>
    <row r="129" ht="24.0" customHeight="1">
      <c r="A129" s="76" t="s">
        <v>53</v>
      </c>
      <c r="B129" s="76" t="s">
        <v>6</v>
      </c>
      <c r="C129" s="76" t="s">
        <v>130</v>
      </c>
      <c r="D129" s="77"/>
      <c r="E129" s="77"/>
      <c r="F129" s="77"/>
      <c r="G129" s="76">
        <v>82000.0</v>
      </c>
      <c r="H129" s="77"/>
      <c r="I129" s="77"/>
      <c r="J129" s="76" t="s">
        <v>113</v>
      </c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</row>
    <row r="130" ht="24.0" customHeight="1">
      <c r="A130" s="76" t="s">
        <v>53</v>
      </c>
      <c r="B130" s="76" t="s">
        <v>129</v>
      </c>
      <c r="C130" s="76" t="s">
        <v>131</v>
      </c>
      <c r="D130" s="76">
        <v>12800.0</v>
      </c>
      <c r="E130" s="76">
        <v>4.72</v>
      </c>
      <c r="F130" s="76">
        <v>60416.0</v>
      </c>
      <c r="G130" s="77"/>
      <c r="H130" s="77"/>
      <c r="I130" s="76" t="s">
        <v>119</v>
      </c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</row>
    <row r="131" ht="24.0" customHeight="1">
      <c r="A131" s="76" t="s">
        <v>53</v>
      </c>
      <c r="B131" s="76" t="s">
        <v>129</v>
      </c>
      <c r="C131" s="76" t="s">
        <v>132</v>
      </c>
      <c r="D131" s="76">
        <v>6800.0</v>
      </c>
      <c r="E131" s="76">
        <v>4.72</v>
      </c>
      <c r="F131" s="76">
        <v>32096.0</v>
      </c>
      <c r="G131" s="77"/>
      <c r="H131" s="77"/>
      <c r="I131" s="76" t="s">
        <v>119</v>
      </c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</row>
    <row r="132" ht="24.0" customHeight="1">
      <c r="A132" s="76" t="s">
        <v>53</v>
      </c>
      <c r="B132" s="76" t="s">
        <v>129</v>
      </c>
      <c r="C132" s="76" t="s">
        <v>139</v>
      </c>
      <c r="D132" s="76">
        <v>4228.0</v>
      </c>
      <c r="E132" s="76">
        <v>4.73</v>
      </c>
      <c r="F132" s="76">
        <v>19998.440000000002</v>
      </c>
      <c r="G132" s="77"/>
      <c r="H132" s="77"/>
      <c r="I132" s="76" t="s">
        <v>119</v>
      </c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</row>
    <row r="133" ht="24.0" customHeight="1">
      <c r="A133" s="76" t="s">
        <v>53</v>
      </c>
      <c r="B133" s="76" t="s">
        <v>6</v>
      </c>
      <c r="C133" s="76" t="s">
        <v>139</v>
      </c>
      <c r="D133" s="77"/>
      <c r="E133" s="77"/>
      <c r="F133" s="77"/>
      <c r="G133" s="76" t="s">
        <v>140</v>
      </c>
      <c r="H133" s="77"/>
      <c r="I133" s="77"/>
      <c r="J133" s="76" t="s">
        <v>112</v>
      </c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</row>
    <row r="134" ht="24.0" customHeight="1">
      <c r="A134" s="76" t="s">
        <v>54</v>
      </c>
      <c r="B134" s="76" t="s">
        <v>129</v>
      </c>
      <c r="C134" s="76" t="s">
        <v>130</v>
      </c>
      <c r="D134" s="76">
        <v>13800.0</v>
      </c>
      <c r="E134" s="76">
        <v>4.72</v>
      </c>
      <c r="F134" s="76">
        <v>65136.0</v>
      </c>
      <c r="G134" s="77"/>
      <c r="H134" s="77"/>
      <c r="I134" s="76" t="s">
        <v>119</v>
      </c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</row>
    <row r="135" ht="24.0" customHeight="1">
      <c r="A135" s="76" t="s">
        <v>54</v>
      </c>
      <c r="B135" s="76" t="s">
        <v>6</v>
      </c>
      <c r="C135" s="76" t="s">
        <v>130</v>
      </c>
      <c r="D135" s="77"/>
      <c r="E135" s="77"/>
      <c r="F135" s="77"/>
      <c r="G135" s="76">
        <v>200000.0</v>
      </c>
      <c r="H135" s="77"/>
      <c r="I135" s="77"/>
      <c r="J135" s="76" t="s">
        <v>113</v>
      </c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</row>
    <row r="136" ht="24.0" customHeight="1">
      <c r="A136" s="76" t="s">
        <v>54</v>
      </c>
      <c r="B136" s="76" t="s">
        <v>129</v>
      </c>
      <c r="C136" s="76" t="s">
        <v>133</v>
      </c>
      <c r="D136" s="76">
        <v>9000.0</v>
      </c>
      <c r="E136" s="76">
        <v>4.72</v>
      </c>
      <c r="F136" s="76">
        <v>42480.0</v>
      </c>
      <c r="G136" s="77"/>
      <c r="H136" s="77"/>
      <c r="I136" s="76" t="s">
        <v>119</v>
      </c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</row>
    <row r="137" ht="24.0" customHeight="1">
      <c r="A137" s="76" t="s">
        <v>54</v>
      </c>
      <c r="B137" s="76" t="s">
        <v>6</v>
      </c>
      <c r="C137" s="76" t="s">
        <v>138</v>
      </c>
      <c r="D137" s="77"/>
      <c r="E137" s="77"/>
      <c r="F137" s="77"/>
      <c r="G137" s="76">
        <v>135446.0</v>
      </c>
      <c r="H137" s="77"/>
      <c r="I137" s="77"/>
      <c r="J137" s="76" t="s">
        <v>114</v>
      </c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</row>
    <row r="138" ht="24.0" customHeight="1">
      <c r="A138" s="76" t="s">
        <v>54</v>
      </c>
      <c r="B138" s="76" t="s">
        <v>129</v>
      </c>
      <c r="C138" s="76" t="s">
        <v>130</v>
      </c>
      <c r="D138" s="76">
        <v>58400.0</v>
      </c>
      <c r="E138" s="76">
        <v>4.71</v>
      </c>
      <c r="F138" s="76">
        <v>275064.0</v>
      </c>
      <c r="G138" s="77"/>
      <c r="H138" s="77"/>
      <c r="I138" s="76" t="s">
        <v>119</v>
      </c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</row>
    <row r="139" ht="24.0" customHeight="1">
      <c r="A139" s="76" t="s">
        <v>54</v>
      </c>
      <c r="B139" s="76" t="s">
        <v>6</v>
      </c>
      <c r="C139" s="76" t="s">
        <v>130</v>
      </c>
      <c r="D139" s="77"/>
      <c r="E139" s="77"/>
      <c r="F139" s="77"/>
      <c r="G139" s="76">
        <v>300000.0</v>
      </c>
      <c r="H139" s="77"/>
      <c r="I139" s="77"/>
      <c r="J139" s="76" t="s">
        <v>113</v>
      </c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</row>
    <row r="140" ht="24.0" customHeight="1">
      <c r="A140" s="76" t="s">
        <v>54</v>
      </c>
      <c r="B140" s="76" t="s">
        <v>6</v>
      </c>
      <c r="C140" s="76" t="s">
        <v>131</v>
      </c>
      <c r="D140" s="77"/>
      <c r="E140" s="77"/>
      <c r="F140" s="77"/>
      <c r="G140" s="76">
        <v>167400.0</v>
      </c>
      <c r="H140" s="77"/>
      <c r="I140" s="77"/>
      <c r="J140" s="76" t="s">
        <v>113</v>
      </c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</row>
    <row r="141" ht="24.0" customHeight="1">
      <c r="A141" s="76" t="s">
        <v>54</v>
      </c>
      <c r="B141" s="76" t="s">
        <v>129</v>
      </c>
      <c r="C141" s="76" t="s">
        <v>133</v>
      </c>
      <c r="D141" s="76">
        <v>15000.0</v>
      </c>
      <c r="E141" s="76">
        <v>4.71</v>
      </c>
      <c r="F141" s="76">
        <v>70650.0</v>
      </c>
      <c r="G141" s="77"/>
      <c r="H141" s="77"/>
      <c r="I141" s="76" t="s">
        <v>119</v>
      </c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</row>
    <row r="142" ht="24.0" customHeight="1">
      <c r="A142" s="76" t="s">
        <v>54</v>
      </c>
      <c r="B142" s="76" t="s">
        <v>6</v>
      </c>
      <c r="C142" s="76" t="s">
        <v>133</v>
      </c>
      <c r="D142" s="77"/>
      <c r="E142" s="77"/>
      <c r="F142" s="77"/>
      <c r="G142" s="76">
        <v>340000.0</v>
      </c>
      <c r="H142" s="77"/>
      <c r="I142" s="77"/>
      <c r="J142" s="76" t="s">
        <v>113</v>
      </c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</row>
    <row r="143" ht="24.0" customHeight="1">
      <c r="A143" s="76" t="s">
        <v>54</v>
      </c>
      <c r="B143" s="76" t="s">
        <v>129</v>
      </c>
      <c r="C143" s="76" t="s">
        <v>132</v>
      </c>
      <c r="D143" s="76">
        <v>4000.0</v>
      </c>
      <c r="E143" s="76">
        <v>4.71</v>
      </c>
      <c r="F143" s="76">
        <v>18840.0</v>
      </c>
      <c r="G143" s="77"/>
      <c r="H143" s="77"/>
      <c r="I143" s="76" t="s">
        <v>119</v>
      </c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</row>
    <row r="144" ht="24.0" customHeight="1">
      <c r="A144" s="76" t="s">
        <v>54</v>
      </c>
      <c r="B144" s="76" t="s">
        <v>129</v>
      </c>
      <c r="C144" s="76" t="s">
        <v>138</v>
      </c>
      <c r="D144" s="76">
        <v>37000.0</v>
      </c>
      <c r="E144" s="76">
        <v>4.71</v>
      </c>
      <c r="F144" s="76">
        <v>174270.0</v>
      </c>
      <c r="G144" s="77"/>
      <c r="H144" s="77"/>
      <c r="I144" s="76" t="s">
        <v>119</v>
      </c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</row>
    <row r="145" ht="24.0" customHeight="1">
      <c r="A145" s="76" t="s">
        <v>54</v>
      </c>
      <c r="B145" s="76" t="s">
        <v>134</v>
      </c>
      <c r="C145" s="77"/>
      <c r="D145" s="77"/>
      <c r="E145" s="77"/>
      <c r="F145" s="77"/>
      <c r="G145" s="76">
        <v>75000.0</v>
      </c>
      <c r="H145" s="77"/>
      <c r="I145" s="76" t="s">
        <v>112</v>
      </c>
      <c r="J145" s="76" t="s">
        <v>113</v>
      </c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</row>
    <row r="146" ht="24.0" customHeight="1">
      <c r="A146" s="76" t="s">
        <v>54</v>
      </c>
      <c r="B146" s="76" t="s">
        <v>135</v>
      </c>
      <c r="C146" s="77"/>
      <c r="D146" s="76">
        <v>300000.0</v>
      </c>
      <c r="E146" s="76">
        <v>4.66</v>
      </c>
      <c r="F146" s="77"/>
      <c r="G146" s="77"/>
      <c r="H146" s="76">
        <v>1398000.0</v>
      </c>
      <c r="I146" s="76" t="s">
        <v>113</v>
      </c>
      <c r="J146" s="76" t="s">
        <v>119</v>
      </c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</row>
    <row r="147" ht="24.0" customHeight="1">
      <c r="A147" s="76" t="s">
        <v>54</v>
      </c>
      <c r="B147" s="76" t="s">
        <v>135</v>
      </c>
      <c r="C147" s="77"/>
      <c r="D147" s="76">
        <v>36000.0</v>
      </c>
      <c r="E147" s="76">
        <v>4.65</v>
      </c>
      <c r="F147" s="77"/>
      <c r="G147" s="77"/>
      <c r="H147" s="76">
        <v>167400.0</v>
      </c>
      <c r="I147" s="76" t="s">
        <v>113</v>
      </c>
      <c r="J147" s="76" t="s">
        <v>119</v>
      </c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</row>
    <row r="148" ht="24.0" customHeight="1">
      <c r="A148" s="76" t="s">
        <v>55</v>
      </c>
      <c r="B148" s="76" t="s">
        <v>129</v>
      </c>
      <c r="C148" s="76" t="s">
        <v>130</v>
      </c>
      <c r="D148" s="76">
        <v>41851.0</v>
      </c>
      <c r="E148" s="76">
        <v>4.71</v>
      </c>
      <c r="F148" s="76">
        <v>197118.21</v>
      </c>
      <c r="G148" s="77"/>
      <c r="H148" s="77"/>
      <c r="I148" s="76" t="s">
        <v>119</v>
      </c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</row>
    <row r="149" ht="24.0" customHeight="1">
      <c r="A149" s="76" t="s">
        <v>55</v>
      </c>
      <c r="B149" s="76" t="s">
        <v>129</v>
      </c>
      <c r="C149" s="76" t="s">
        <v>132</v>
      </c>
      <c r="D149" s="76">
        <v>5628.0</v>
      </c>
      <c r="E149" s="76">
        <v>4.71</v>
      </c>
      <c r="F149" s="76">
        <v>26507.88</v>
      </c>
      <c r="G149" s="77"/>
      <c r="H149" s="77"/>
      <c r="I149" s="76" t="s">
        <v>119</v>
      </c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</row>
    <row r="150" ht="24.0" customHeight="1">
      <c r="A150" s="76" t="s">
        <v>56</v>
      </c>
      <c r="B150" s="76" t="s">
        <v>6</v>
      </c>
      <c r="C150" s="76" t="s">
        <v>130</v>
      </c>
      <c r="D150" s="77"/>
      <c r="E150" s="77"/>
      <c r="F150" s="77"/>
      <c r="G150" s="76">
        <v>150000.0</v>
      </c>
      <c r="H150" s="77"/>
      <c r="I150" s="77"/>
      <c r="J150" s="76" t="s">
        <v>113</v>
      </c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</row>
    <row r="151" ht="24.0" customHeight="1">
      <c r="A151" s="76" t="s">
        <v>57</v>
      </c>
      <c r="B151" s="76" t="s">
        <v>129</v>
      </c>
      <c r="C151" s="76" t="s">
        <v>130</v>
      </c>
      <c r="D151" s="76">
        <v>36100.0</v>
      </c>
      <c r="E151" s="76">
        <v>4.71</v>
      </c>
      <c r="F151" s="76">
        <v>170031.0</v>
      </c>
      <c r="G151" s="77"/>
      <c r="H151" s="77"/>
      <c r="I151" s="76" t="s">
        <v>119</v>
      </c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</row>
    <row r="152" ht="24.0" customHeight="1">
      <c r="A152" s="76" t="s">
        <v>57</v>
      </c>
      <c r="B152" s="76" t="s">
        <v>6</v>
      </c>
      <c r="C152" s="76" t="s">
        <v>130</v>
      </c>
      <c r="D152" s="77"/>
      <c r="E152" s="77"/>
      <c r="F152" s="77"/>
      <c r="G152" s="76">
        <v>150000.0</v>
      </c>
      <c r="H152" s="77"/>
      <c r="I152" s="77"/>
      <c r="J152" s="76" t="s">
        <v>112</v>
      </c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</row>
    <row r="153" ht="24.0" customHeight="1">
      <c r="A153" s="76" t="s">
        <v>57</v>
      </c>
      <c r="B153" s="76" t="s">
        <v>129</v>
      </c>
      <c r="C153" s="76" t="s">
        <v>131</v>
      </c>
      <c r="D153" s="76">
        <v>10160.0</v>
      </c>
      <c r="E153" s="76">
        <v>4.71</v>
      </c>
      <c r="F153" s="76">
        <v>47853.6</v>
      </c>
      <c r="G153" s="77"/>
      <c r="H153" s="77"/>
      <c r="I153" s="76" t="s">
        <v>119</v>
      </c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</row>
    <row r="154" ht="24.0" customHeight="1">
      <c r="A154" s="76" t="s">
        <v>57</v>
      </c>
      <c r="B154" s="76" t="s">
        <v>129</v>
      </c>
      <c r="C154" s="76" t="s">
        <v>133</v>
      </c>
      <c r="D154" s="76">
        <v>10160.0</v>
      </c>
      <c r="E154" s="76">
        <v>4.71</v>
      </c>
      <c r="F154" s="76">
        <v>47853.6</v>
      </c>
      <c r="G154" s="77"/>
      <c r="H154" s="77"/>
      <c r="I154" s="76" t="s">
        <v>119</v>
      </c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</row>
    <row r="155" ht="24.0" customHeight="1">
      <c r="A155" s="76" t="s">
        <v>57</v>
      </c>
      <c r="B155" s="76" t="s">
        <v>129</v>
      </c>
      <c r="C155" s="76" t="s">
        <v>141</v>
      </c>
      <c r="D155" s="76">
        <v>1000.0</v>
      </c>
      <c r="E155" s="76">
        <v>4.71</v>
      </c>
      <c r="F155" s="76">
        <v>4710.0</v>
      </c>
      <c r="G155" s="77"/>
      <c r="H155" s="77"/>
      <c r="I155" s="76" t="s">
        <v>119</v>
      </c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</row>
    <row r="156" ht="24.0" customHeight="1">
      <c r="A156" s="76" t="s">
        <v>57</v>
      </c>
      <c r="B156" s="76" t="s">
        <v>6</v>
      </c>
      <c r="C156" s="76" t="s">
        <v>141</v>
      </c>
      <c r="D156" s="77"/>
      <c r="E156" s="77"/>
      <c r="F156" s="77"/>
      <c r="G156" s="76">
        <v>4710.0</v>
      </c>
      <c r="H156" s="77"/>
      <c r="I156" s="77"/>
      <c r="J156" s="76" t="s">
        <v>112</v>
      </c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</row>
    <row r="157" ht="24.0" customHeight="1">
      <c r="A157" s="76" t="s">
        <v>94</v>
      </c>
      <c r="B157" s="76" t="s">
        <v>129</v>
      </c>
      <c r="C157" s="76" t="s">
        <v>132</v>
      </c>
      <c r="D157" s="76">
        <v>14600.0</v>
      </c>
      <c r="E157" s="76">
        <v>4.71</v>
      </c>
      <c r="F157" s="76">
        <v>68766.0</v>
      </c>
      <c r="G157" s="77"/>
      <c r="H157" s="77"/>
      <c r="I157" s="76" t="s">
        <v>119</v>
      </c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</row>
    <row r="158" ht="24.0" customHeight="1">
      <c r="A158" s="76" t="s">
        <v>94</v>
      </c>
      <c r="B158" s="76" t="s">
        <v>129</v>
      </c>
      <c r="C158" s="76" t="s">
        <v>138</v>
      </c>
      <c r="D158" s="76">
        <v>15500.0</v>
      </c>
      <c r="E158" s="76">
        <v>4.71</v>
      </c>
      <c r="F158" s="76">
        <v>73005.0</v>
      </c>
      <c r="G158" s="77"/>
      <c r="H158" s="77"/>
      <c r="I158" s="76" t="s">
        <v>119</v>
      </c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</row>
    <row r="159" ht="24.0" customHeight="1">
      <c r="A159" s="76" t="s">
        <v>94</v>
      </c>
      <c r="B159" s="76" t="s">
        <v>134</v>
      </c>
      <c r="C159" s="77"/>
      <c r="D159" s="77"/>
      <c r="E159" s="77"/>
      <c r="F159" s="77"/>
      <c r="G159" s="76">
        <v>161000.0</v>
      </c>
      <c r="H159" s="77"/>
      <c r="I159" s="76" t="s">
        <v>112</v>
      </c>
      <c r="J159" s="76" t="s">
        <v>113</v>
      </c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</row>
    <row r="160" ht="24.0" customHeight="1">
      <c r="A160" s="76" t="s">
        <v>58</v>
      </c>
      <c r="B160" s="76" t="s">
        <v>129</v>
      </c>
      <c r="C160" s="76" t="s">
        <v>130</v>
      </c>
      <c r="D160" s="76">
        <v>15600.0</v>
      </c>
      <c r="E160" s="76">
        <v>4.71</v>
      </c>
      <c r="F160" s="76">
        <v>73476.0</v>
      </c>
      <c r="G160" s="77"/>
      <c r="H160" s="77"/>
      <c r="I160" s="76" t="s">
        <v>119</v>
      </c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</row>
    <row r="161" ht="24.0" customHeight="1">
      <c r="A161" s="76" t="s">
        <v>58</v>
      </c>
      <c r="B161" s="76" t="s">
        <v>129</v>
      </c>
      <c r="C161" s="76" t="s">
        <v>130</v>
      </c>
      <c r="D161" s="76">
        <v>1000.0</v>
      </c>
      <c r="E161" s="76">
        <v>4.73</v>
      </c>
      <c r="F161" s="76">
        <v>4730.0</v>
      </c>
      <c r="G161" s="77"/>
      <c r="H161" s="77"/>
      <c r="I161" s="76" t="s">
        <v>119</v>
      </c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</row>
    <row r="162" ht="24.0" customHeight="1">
      <c r="A162" s="76" t="s">
        <v>59</v>
      </c>
      <c r="B162" s="76" t="s">
        <v>6</v>
      </c>
      <c r="C162" s="76" t="s">
        <v>130</v>
      </c>
      <c r="D162" s="77"/>
      <c r="E162" s="77"/>
      <c r="F162" s="77"/>
      <c r="G162" s="76">
        <v>110000.0</v>
      </c>
      <c r="H162" s="77"/>
      <c r="I162" s="77"/>
      <c r="J162" s="76" t="s">
        <v>113</v>
      </c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</row>
    <row r="163" ht="24.0" customHeight="1">
      <c r="A163" s="76" t="s">
        <v>59</v>
      </c>
      <c r="B163" s="76" t="s">
        <v>6</v>
      </c>
      <c r="C163" s="76" t="s">
        <v>132</v>
      </c>
      <c r="D163" s="77"/>
      <c r="E163" s="77"/>
      <c r="F163" s="77"/>
      <c r="G163" s="76">
        <v>200000.0</v>
      </c>
      <c r="H163" s="77"/>
      <c r="I163" s="77"/>
      <c r="J163" s="76" t="s">
        <v>113</v>
      </c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</row>
    <row r="164" ht="24.0" customHeight="1">
      <c r="A164" s="76" t="s">
        <v>59</v>
      </c>
      <c r="B164" s="76" t="s">
        <v>6</v>
      </c>
      <c r="C164" s="76" t="s">
        <v>138</v>
      </c>
      <c r="D164" s="77"/>
      <c r="E164" s="77"/>
      <c r="F164" s="77"/>
      <c r="G164" s="76">
        <v>100000.0</v>
      </c>
      <c r="H164" s="77"/>
      <c r="I164" s="77"/>
      <c r="J164" s="76" t="s">
        <v>113</v>
      </c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</row>
    <row r="165" ht="24.0" customHeight="1">
      <c r="A165" s="76" t="s">
        <v>59</v>
      </c>
      <c r="B165" s="76" t="s">
        <v>134</v>
      </c>
      <c r="C165" s="77"/>
      <c r="D165" s="77"/>
      <c r="E165" s="77"/>
      <c r="F165" s="77"/>
      <c r="G165" s="76">
        <v>180891.0</v>
      </c>
      <c r="H165" s="77"/>
      <c r="I165" s="76" t="s">
        <v>114</v>
      </c>
      <c r="J165" s="76" t="s">
        <v>113</v>
      </c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</row>
    <row r="166" ht="24.0" customHeight="1">
      <c r="A166" s="76" t="s">
        <v>59</v>
      </c>
      <c r="B166" s="76" t="s">
        <v>135</v>
      </c>
      <c r="C166" s="77"/>
      <c r="D166" s="76">
        <v>100000.0</v>
      </c>
      <c r="E166" s="76">
        <v>4.672</v>
      </c>
      <c r="F166" s="77"/>
      <c r="G166" s="77"/>
      <c r="H166" s="76">
        <v>467199.99999999994</v>
      </c>
      <c r="I166" s="76" t="s">
        <v>113</v>
      </c>
      <c r="J166" s="76" t="s">
        <v>119</v>
      </c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</row>
    <row r="167" ht="24.0" customHeight="1">
      <c r="A167" s="76" t="s">
        <v>59</v>
      </c>
      <c r="B167" s="76" t="s">
        <v>129</v>
      </c>
      <c r="C167" s="76" t="s">
        <v>130</v>
      </c>
      <c r="D167" s="76">
        <v>65700.0</v>
      </c>
      <c r="E167" s="76">
        <v>4.73</v>
      </c>
      <c r="F167" s="76">
        <v>310761.0</v>
      </c>
      <c r="G167" s="77"/>
      <c r="H167" s="77"/>
      <c r="I167" s="76" t="s">
        <v>119</v>
      </c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</row>
    <row r="168" ht="24.0" customHeight="1">
      <c r="A168" s="76" t="s">
        <v>59</v>
      </c>
      <c r="B168" s="76" t="s">
        <v>6</v>
      </c>
      <c r="C168" s="76" t="s">
        <v>130</v>
      </c>
      <c r="D168" s="77"/>
      <c r="E168" s="77"/>
      <c r="F168" s="77"/>
      <c r="G168" s="76">
        <v>395000.0</v>
      </c>
      <c r="H168" s="77"/>
      <c r="I168" s="77"/>
      <c r="J168" s="76" t="s">
        <v>113</v>
      </c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</row>
    <row r="169" ht="24.0" customHeight="1">
      <c r="A169" s="76" t="s">
        <v>59</v>
      </c>
      <c r="B169" s="76" t="s">
        <v>6</v>
      </c>
      <c r="C169" s="76" t="s">
        <v>133</v>
      </c>
      <c r="D169" s="77"/>
      <c r="E169" s="77"/>
      <c r="F169" s="77"/>
      <c r="G169" s="76">
        <v>120000.0</v>
      </c>
      <c r="H169" s="77"/>
      <c r="I169" s="77"/>
      <c r="J169" s="76" t="s">
        <v>113</v>
      </c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</row>
    <row r="170" ht="24.0" customHeight="1">
      <c r="A170" s="76" t="s">
        <v>59</v>
      </c>
      <c r="B170" s="76" t="s">
        <v>129</v>
      </c>
      <c r="C170" s="76" t="s">
        <v>138</v>
      </c>
      <c r="D170" s="76">
        <v>18300.0</v>
      </c>
      <c r="E170" s="76">
        <v>4.73</v>
      </c>
      <c r="F170" s="76">
        <v>86559.00000000001</v>
      </c>
      <c r="G170" s="77"/>
      <c r="H170" s="77"/>
      <c r="I170" s="76" t="s">
        <v>119</v>
      </c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</row>
    <row r="171" ht="24.0" customHeight="1">
      <c r="A171" s="76" t="s">
        <v>59</v>
      </c>
      <c r="B171" s="76" t="s">
        <v>129</v>
      </c>
      <c r="C171" s="76" t="s">
        <v>130</v>
      </c>
      <c r="D171" s="76">
        <v>34750.0</v>
      </c>
      <c r="E171" s="76">
        <v>4.73</v>
      </c>
      <c r="F171" s="76">
        <v>164367.50000000003</v>
      </c>
      <c r="G171" s="77"/>
      <c r="H171" s="77"/>
      <c r="I171" s="76" t="s">
        <v>119</v>
      </c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</row>
    <row r="172" ht="24.0" customHeight="1">
      <c r="A172" s="76" t="s">
        <v>59</v>
      </c>
      <c r="B172" s="76" t="s">
        <v>6</v>
      </c>
      <c r="C172" s="76" t="s">
        <v>130</v>
      </c>
      <c r="D172" s="77"/>
      <c r="E172" s="77"/>
      <c r="F172" s="77"/>
      <c r="G172" s="76">
        <v>76000.0</v>
      </c>
      <c r="H172" s="77"/>
      <c r="I172" s="77"/>
      <c r="J172" s="76" t="s">
        <v>112</v>
      </c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</row>
    <row r="173" ht="24.0" customHeight="1">
      <c r="A173" s="76" t="s">
        <v>59</v>
      </c>
      <c r="B173" s="76" t="s">
        <v>129</v>
      </c>
      <c r="C173" s="76" t="s">
        <v>138</v>
      </c>
      <c r="D173" s="76">
        <v>8500.0</v>
      </c>
      <c r="E173" s="76">
        <v>4.73</v>
      </c>
      <c r="F173" s="76">
        <v>40205.0</v>
      </c>
      <c r="G173" s="77"/>
      <c r="H173" s="77"/>
      <c r="I173" s="76" t="s">
        <v>119</v>
      </c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</row>
    <row r="174" ht="24.0" customHeight="1">
      <c r="A174" s="76" t="s">
        <v>59</v>
      </c>
      <c r="B174" s="76" t="s">
        <v>135</v>
      </c>
      <c r="C174" s="77"/>
      <c r="D174" s="76">
        <v>150000.0</v>
      </c>
      <c r="E174" s="76">
        <v>4.68</v>
      </c>
      <c r="F174" s="77"/>
      <c r="G174" s="77"/>
      <c r="H174" s="76">
        <v>702000.0</v>
      </c>
      <c r="I174" s="76" t="s">
        <v>113</v>
      </c>
      <c r="J174" s="76" t="s">
        <v>119</v>
      </c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</row>
    <row r="175" ht="24.0" customHeight="1">
      <c r="A175" s="76" t="s">
        <v>59</v>
      </c>
      <c r="B175" s="76" t="s">
        <v>6</v>
      </c>
      <c r="C175" s="76" t="s">
        <v>130</v>
      </c>
      <c r="D175" s="77"/>
      <c r="E175" s="77"/>
      <c r="F175" s="77"/>
      <c r="G175" s="76">
        <v>65000.0</v>
      </c>
      <c r="H175" s="77"/>
      <c r="I175" s="77"/>
      <c r="J175" s="76" t="s">
        <v>112</v>
      </c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</row>
    <row r="176" ht="24.0" customHeight="1">
      <c r="A176" s="76" t="s">
        <v>59</v>
      </c>
      <c r="B176" s="76" t="s">
        <v>129</v>
      </c>
      <c r="C176" s="76" t="s">
        <v>130</v>
      </c>
      <c r="D176" s="76">
        <v>27800.0</v>
      </c>
      <c r="E176" s="76">
        <v>4.73</v>
      </c>
      <c r="F176" s="76">
        <v>131494.0</v>
      </c>
      <c r="G176" s="77"/>
      <c r="H176" s="77"/>
      <c r="I176" s="76" t="s">
        <v>119</v>
      </c>
      <c r="J176" s="76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</row>
    <row r="177" ht="24.0" customHeight="1">
      <c r="A177" s="76" t="s">
        <v>60</v>
      </c>
      <c r="B177" s="76" t="s">
        <v>129</v>
      </c>
      <c r="C177" s="76" t="s">
        <v>131</v>
      </c>
      <c r="D177" s="76">
        <v>1180.0</v>
      </c>
      <c r="E177" s="76">
        <v>4.73</v>
      </c>
      <c r="F177" s="76">
        <v>5581.400000000001</v>
      </c>
      <c r="G177" s="77"/>
      <c r="H177" s="77"/>
      <c r="I177" s="76" t="s">
        <v>119</v>
      </c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</row>
    <row r="178" ht="24.0" customHeight="1">
      <c r="A178" s="76" t="s">
        <v>60</v>
      </c>
      <c r="B178" s="76" t="s">
        <v>129</v>
      </c>
      <c r="C178" s="76" t="s">
        <v>133</v>
      </c>
      <c r="D178" s="76">
        <v>9700.0</v>
      </c>
      <c r="E178" s="76">
        <v>4.73</v>
      </c>
      <c r="F178" s="76">
        <v>45881.00000000001</v>
      </c>
      <c r="G178" s="77"/>
      <c r="H178" s="77"/>
      <c r="I178" s="76" t="s">
        <v>119</v>
      </c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</row>
    <row r="179" ht="24.0" customHeight="1">
      <c r="A179" s="76" t="s">
        <v>60</v>
      </c>
      <c r="B179" s="76" t="s">
        <v>129</v>
      </c>
      <c r="C179" s="76" t="s">
        <v>130</v>
      </c>
      <c r="D179" s="76">
        <v>22800.0</v>
      </c>
      <c r="E179" s="76">
        <v>4.73</v>
      </c>
      <c r="F179" s="76">
        <v>107844.00000000001</v>
      </c>
      <c r="G179" s="77"/>
      <c r="H179" s="77"/>
      <c r="I179" s="76" t="s">
        <v>119</v>
      </c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</row>
    <row r="180" ht="24.0" customHeight="1">
      <c r="A180" s="76" t="s">
        <v>60</v>
      </c>
      <c r="B180" s="76" t="s">
        <v>6</v>
      </c>
      <c r="C180" s="76" t="s">
        <v>130</v>
      </c>
      <c r="D180" s="77"/>
      <c r="E180" s="77"/>
      <c r="F180" s="77"/>
      <c r="G180" s="76">
        <v>150000.0</v>
      </c>
      <c r="H180" s="77"/>
      <c r="I180" s="77"/>
      <c r="J180" s="76" t="s">
        <v>113</v>
      </c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</row>
    <row r="181" ht="24.0" customHeight="1">
      <c r="A181" s="76" t="s">
        <v>60</v>
      </c>
      <c r="B181" s="76" t="s">
        <v>129</v>
      </c>
      <c r="C181" s="76" t="s">
        <v>131</v>
      </c>
      <c r="D181" s="76">
        <v>5500.0</v>
      </c>
      <c r="E181" s="76">
        <v>4.73</v>
      </c>
      <c r="F181" s="76">
        <v>26015.000000000004</v>
      </c>
      <c r="G181" s="77"/>
      <c r="H181" s="77"/>
      <c r="I181" s="76" t="s">
        <v>119</v>
      </c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</row>
    <row r="182" ht="24.0" customHeight="1">
      <c r="A182" s="76" t="s">
        <v>95</v>
      </c>
      <c r="B182" s="76" t="s">
        <v>129</v>
      </c>
      <c r="C182" s="76" t="s">
        <v>132</v>
      </c>
      <c r="D182" s="76">
        <v>16399.0</v>
      </c>
      <c r="E182" s="76">
        <v>4.73</v>
      </c>
      <c r="F182" s="76">
        <v>77567.27</v>
      </c>
      <c r="G182" s="77"/>
      <c r="H182" s="77"/>
      <c r="I182" s="76" t="s">
        <v>119</v>
      </c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</row>
    <row r="183" ht="24.0" customHeight="1">
      <c r="A183" s="76" t="s">
        <v>61</v>
      </c>
      <c r="B183" s="76" t="s">
        <v>129</v>
      </c>
      <c r="C183" s="76" t="s">
        <v>130</v>
      </c>
      <c r="D183" s="76">
        <v>10500.0</v>
      </c>
      <c r="E183" s="76">
        <v>4.73</v>
      </c>
      <c r="F183" s="76">
        <v>49665.00000000001</v>
      </c>
      <c r="G183" s="77"/>
      <c r="H183" s="77"/>
      <c r="I183" s="76" t="s">
        <v>119</v>
      </c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</row>
    <row r="184" ht="24.0" customHeight="1">
      <c r="A184" s="76" t="s">
        <v>61</v>
      </c>
      <c r="B184" s="76" t="s">
        <v>134</v>
      </c>
      <c r="C184" s="77"/>
      <c r="D184" s="77"/>
      <c r="E184" s="77"/>
      <c r="F184" s="77"/>
      <c r="G184" s="76">
        <v>112000.0</v>
      </c>
      <c r="H184" s="77"/>
      <c r="I184" s="76" t="s">
        <v>112</v>
      </c>
      <c r="J184" s="76" t="s">
        <v>113</v>
      </c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</row>
    <row r="185" ht="24.0" customHeight="1">
      <c r="A185" s="76" t="s">
        <v>61</v>
      </c>
      <c r="B185" s="76" t="s">
        <v>129</v>
      </c>
      <c r="C185" s="76" t="s">
        <v>138</v>
      </c>
      <c r="D185" s="76">
        <v>19600.0</v>
      </c>
      <c r="E185" s="76">
        <v>4.73</v>
      </c>
      <c r="F185" s="76">
        <v>92708.00000000001</v>
      </c>
      <c r="G185" s="77"/>
      <c r="H185" s="77"/>
      <c r="I185" s="76" t="s">
        <v>119</v>
      </c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</row>
    <row r="186" ht="24.0" customHeight="1">
      <c r="A186" s="76" t="s">
        <v>61</v>
      </c>
      <c r="B186" s="76" t="s">
        <v>134</v>
      </c>
      <c r="C186" s="77"/>
      <c r="D186" s="77"/>
      <c r="E186" s="77"/>
      <c r="F186" s="77"/>
      <c r="G186" s="76">
        <v>25.0</v>
      </c>
      <c r="H186" s="77"/>
      <c r="I186" s="76" t="s">
        <v>113</v>
      </c>
      <c r="J186" s="76" t="s">
        <v>112</v>
      </c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</row>
    <row r="187" ht="24.0" customHeight="1">
      <c r="A187" s="76" t="s">
        <v>61</v>
      </c>
      <c r="B187" s="76" t="s">
        <v>135</v>
      </c>
      <c r="C187" s="77"/>
      <c r="D187" s="76">
        <v>110000.0</v>
      </c>
      <c r="E187" s="76">
        <v>4.68</v>
      </c>
      <c r="F187" s="77"/>
      <c r="G187" s="77"/>
      <c r="H187" s="76">
        <v>514799.99999999994</v>
      </c>
      <c r="I187" s="76" t="s">
        <v>113</v>
      </c>
      <c r="J187" s="76" t="s">
        <v>119</v>
      </c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</row>
    <row r="188" ht="24.0" customHeight="1">
      <c r="A188" s="78" t="s">
        <v>142</v>
      </c>
      <c r="B188" s="79" t="s">
        <v>143</v>
      </c>
      <c r="C188" s="80" t="s">
        <v>144</v>
      </c>
      <c r="D188" s="81"/>
      <c r="E188" s="81"/>
      <c r="F188" s="81"/>
      <c r="G188" s="81"/>
      <c r="H188" s="79">
        <v>271651.0</v>
      </c>
      <c r="I188" s="81"/>
      <c r="J188" s="79" t="s">
        <v>113</v>
      </c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</row>
    <row r="189" ht="24.0" customHeight="1">
      <c r="A189" s="76" t="s">
        <v>61</v>
      </c>
      <c r="B189" s="76" t="s">
        <v>6</v>
      </c>
      <c r="C189" s="76" t="s">
        <v>130</v>
      </c>
      <c r="D189" s="77"/>
      <c r="E189" s="77"/>
      <c r="F189" s="77"/>
      <c r="G189" s="76">
        <v>130000.0</v>
      </c>
      <c r="H189" s="77"/>
      <c r="I189" s="77"/>
      <c r="J189" s="76" t="s">
        <v>112</v>
      </c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</row>
    <row r="190" ht="24.0" customHeight="1">
      <c r="A190" s="76" t="s">
        <v>61</v>
      </c>
      <c r="B190" s="76" t="s">
        <v>129</v>
      </c>
      <c r="C190" s="76" t="s">
        <v>145</v>
      </c>
      <c r="D190" s="76">
        <v>634.0</v>
      </c>
      <c r="E190" s="76">
        <v>4.73</v>
      </c>
      <c r="F190" s="76">
        <v>2998.82</v>
      </c>
      <c r="G190" s="77"/>
      <c r="H190" s="77"/>
      <c r="I190" s="76" t="s">
        <v>119</v>
      </c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</row>
    <row r="191" ht="24.0" customHeight="1">
      <c r="A191" s="76" t="s">
        <v>61</v>
      </c>
      <c r="B191" s="76" t="s">
        <v>6</v>
      </c>
      <c r="C191" s="76" t="s">
        <v>145</v>
      </c>
      <c r="D191" s="77"/>
      <c r="E191" s="77"/>
      <c r="F191" s="77"/>
      <c r="G191" s="76">
        <v>3000.0</v>
      </c>
      <c r="H191" s="77"/>
      <c r="I191" s="77"/>
      <c r="J191" s="76" t="s">
        <v>112</v>
      </c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</row>
    <row r="192" ht="24.0" customHeight="1">
      <c r="A192" s="76" t="s">
        <v>61</v>
      </c>
      <c r="B192" s="76" t="s">
        <v>129</v>
      </c>
      <c r="C192" s="76" t="s">
        <v>130</v>
      </c>
      <c r="D192" s="76">
        <v>28800.0</v>
      </c>
      <c r="E192" s="76">
        <v>4.73</v>
      </c>
      <c r="F192" s="76">
        <v>136224.0</v>
      </c>
      <c r="G192" s="77"/>
      <c r="H192" s="77"/>
      <c r="I192" s="76" t="s">
        <v>119</v>
      </c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</row>
    <row r="193" ht="24.0" customHeight="1">
      <c r="A193" s="76" t="s">
        <v>61</v>
      </c>
      <c r="B193" s="76" t="s">
        <v>129</v>
      </c>
      <c r="C193" s="76" t="s">
        <v>132</v>
      </c>
      <c r="D193" s="76">
        <v>7900.0</v>
      </c>
      <c r="E193" s="76">
        <v>4.73</v>
      </c>
      <c r="F193" s="76">
        <v>37367.0</v>
      </c>
      <c r="G193" s="77"/>
      <c r="H193" s="77"/>
      <c r="I193" s="76" t="s">
        <v>119</v>
      </c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</row>
    <row r="194" ht="24.0" customHeight="1">
      <c r="A194" s="76" t="s">
        <v>61</v>
      </c>
      <c r="B194" s="76" t="s">
        <v>129</v>
      </c>
      <c r="C194" s="76" t="s">
        <v>138</v>
      </c>
      <c r="D194" s="76">
        <v>3950.0</v>
      </c>
      <c r="E194" s="76">
        <v>4.73</v>
      </c>
      <c r="F194" s="76">
        <v>18683.5</v>
      </c>
      <c r="G194" s="77"/>
      <c r="H194" s="77"/>
      <c r="I194" s="76" t="s">
        <v>119</v>
      </c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</row>
    <row r="195" ht="24.0" customHeight="1">
      <c r="A195" s="76" t="s">
        <v>61</v>
      </c>
      <c r="B195" s="76" t="s">
        <v>129</v>
      </c>
      <c r="C195" s="76" t="s">
        <v>146</v>
      </c>
      <c r="D195" s="76">
        <v>2000.0</v>
      </c>
      <c r="E195" s="76">
        <v>4.73</v>
      </c>
      <c r="F195" s="76">
        <v>9460.0</v>
      </c>
      <c r="G195" s="77"/>
      <c r="H195" s="77"/>
      <c r="I195" s="76" t="s">
        <v>119</v>
      </c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</row>
    <row r="196" ht="24.0" customHeight="1">
      <c r="A196" s="76" t="s">
        <v>61</v>
      </c>
      <c r="B196" s="76" t="s">
        <v>6</v>
      </c>
      <c r="C196" s="76" t="s">
        <v>146</v>
      </c>
      <c r="D196" s="77"/>
      <c r="E196" s="77"/>
      <c r="F196" s="77"/>
      <c r="G196" s="76">
        <v>9460.0</v>
      </c>
      <c r="H196" s="77"/>
      <c r="I196" s="77"/>
      <c r="J196" s="76" t="s">
        <v>112</v>
      </c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</row>
    <row r="197" ht="24.0" customHeight="1">
      <c r="A197" s="76" t="s">
        <v>61</v>
      </c>
      <c r="B197" s="76" t="s">
        <v>134</v>
      </c>
      <c r="C197" s="77"/>
      <c r="D197" s="77"/>
      <c r="E197" s="77"/>
      <c r="F197" s="77"/>
      <c r="G197" s="76">
        <v>150000.0</v>
      </c>
      <c r="H197" s="77"/>
      <c r="I197" s="76" t="s">
        <v>112</v>
      </c>
      <c r="J197" s="76" t="s">
        <v>113</v>
      </c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</row>
    <row r="198" ht="24.0" customHeight="1">
      <c r="A198" s="76" t="s">
        <v>61</v>
      </c>
      <c r="B198" s="76" t="s">
        <v>129</v>
      </c>
      <c r="C198" s="76" t="s">
        <v>132</v>
      </c>
      <c r="D198" s="76">
        <v>8500.0</v>
      </c>
      <c r="E198" s="76">
        <v>4.73</v>
      </c>
      <c r="F198" s="76">
        <v>40205.0</v>
      </c>
      <c r="G198" s="77"/>
      <c r="H198" s="77"/>
      <c r="I198" s="76" t="s">
        <v>119</v>
      </c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</row>
    <row r="199" ht="24.0" customHeight="1">
      <c r="A199" s="76" t="s">
        <v>61</v>
      </c>
      <c r="B199" s="76" t="s">
        <v>6</v>
      </c>
      <c r="C199" s="76" t="s">
        <v>132</v>
      </c>
      <c r="D199" s="77"/>
      <c r="E199" s="77"/>
      <c r="F199" s="77"/>
      <c r="G199" s="76">
        <v>100000.0</v>
      </c>
      <c r="H199" s="77"/>
      <c r="I199" s="77"/>
      <c r="J199" s="76" t="s">
        <v>113</v>
      </c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</row>
    <row r="200" ht="24.0" customHeight="1">
      <c r="A200" s="76" t="s">
        <v>61</v>
      </c>
      <c r="B200" s="76" t="s">
        <v>6</v>
      </c>
      <c r="C200" s="76" t="s">
        <v>138</v>
      </c>
      <c r="D200" s="77"/>
      <c r="E200" s="77"/>
      <c r="F200" s="77"/>
      <c r="G200" s="76">
        <v>310000.0</v>
      </c>
      <c r="H200" s="77"/>
      <c r="I200" s="77"/>
      <c r="J200" s="76" t="s">
        <v>113</v>
      </c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</row>
    <row r="201" ht="24.0" customHeight="1">
      <c r="A201" s="76" t="s">
        <v>61</v>
      </c>
      <c r="B201" s="76" t="s">
        <v>129</v>
      </c>
      <c r="C201" s="76" t="s">
        <v>138</v>
      </c>
      <c r="D201" s="76">
        <v>17700.0</v>
      </c>
      <c r="E201" s="76">
        <v>4.73</v>
      </c>
      <c r="F201" s="76">
        <v>83721.00000000001</v>
      </c>
      <c r="G201" s="77"/>
      <c r="H201" s="77"/>
      <c r="I201" s="76" t="s">
        <v>119</v>
      </c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</row>
    <row r="202" ht="24.0" customHeight="1">
      <c r="A202" s="76" t="s">
        <v>61</v>
      </c>
      <c r="B202" s="76" t="s">
        <v>6</v>
      </c>
      <c r="C202" s="76" t="s">
        <v>147</v>
      </c>
      <c r="D202" s="77"/>
      <c r="E202" s="77"/>
      <c r="F202" s="77"/>
      <c r="G202" s="76">
        <v>227400.0</v>
      </c>
      <c r="H202" s="77"/>
      <c r="I202" s="77"/>
      <c r="J202" s="76" t="s">
        <v>113</v>
      </c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</row>
    <row r="203" ht="24.0" customHeight="1">
      <c r="A203" s="76" t="s">
        <v>61</v>
      </c>
      <c r="B203" s="76" t="s">
        <v>135</v>
      </c>
      <c r="C203" s="77"/>
      <c r="D203" s="76">
        <v>200000.0</v>
      </c>
      <c r="E203" s="76">
        <v>4.68</v>
      </c>
      <c r="F203" s="77"/>
      <c r="G203" s="77"/>
      <c r="H203" s="76">
        <v>936000.0</v>
      </c>
      <c r="I203" s="76" t="s">
        <v>113</v>
      </c>
      <c r="J203" s="76" t="s">
        <v>119</v>
      </c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</row>
    <row r="204" ht="24.0" customHeight="1">
      <c r="A204" s="76" t="s">
        <v>61</v>
      </c>
      <c r="B204" s="76" t="s">
        <v>6</v>
      </c>
      <c r="C204" s="76" t="s">
        <v>130</v>
      </c>
      <c r="D204" s="77"/>
      <c r="E204" s="77"/>
      <c r="F204" s="77"/>
      <c r="G204" s="76">
        <v>400000.0</v>
      </c>
      <c r="H204" s="77"/>
      <c r="I204" s="77"/>
      <c r="J204" s="76" t="s">
        <v>113</v>
      </c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</row>
    <row r="205" ht="24.0" customHeight="1">
      <c r="A205" s="76" t="s">
        <v>61</v>
      </c>
      <c r="B205" s="76" t="s">
        <v>129</v>
      </c>
      <c r="C205" s="76" t="s">
        <v>130</v>
      </c>
      <c r="D205" s="76">
        <v>49200.0</v>
      </c>
      <c r="E205" s="76">
        <v>4.73</v>
      </c>
      <c r="F205" s="76">
        <v>232716.00000000003</v>
      </c>
      <c r="G205" s="77"/>
      <c r="H205" s="77"/>
      <c r="I205" s="76" t="s">
        <v>119</v>
      </c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</row>
    <row r="206" ht="24.0" customHeight="1">
      <c r="A206" s="76" t="s">
        <v>62</v>
      </c>
      <c r="B206" s="76" t="s">
        <v>6</v>
      </c>
      <c r="C206" s="76" t="s">
        <v>130</v>
      </c>
      <c r="D206" s="77"/>
      <c r="E206" s="77"/>
      <c r="F206" s="77"/>
      <c r="G206" s="76">
        <v>30300.0</v>
      </c>
      <c r="H206" s="77"/>
      <c r="I206" s="77"/>
      <c r="J206" s="76" t="s">
        <v>113</v>
      </c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</row>
    <row r="207" ht="24.0" customHeight="1">
      <c r="A207" s="76" t="s">
        <v>62</v>
      </c>
      <c r="B207" s="76" t="s">
        <v>129</v>
      </c>
      <c r="C207" s="76" t="s">
        <v>132</v>
      </c>
      <c r="D207" s="76">
        <v>13500.0</v>
      </c>
      <c r="E207" s="76">
        <v>4.73</v>
      </c>
      <c r="F207" s="76">
        <v>63855.00000000001</v>
      </c>
      <c r="G207" s="77"/>
      <c r="H207" s="77"/>
      <c r="I207" s="76" t="s">
        <v>119</v>
      </c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</row>
    <row r="208" ht="24.0" customHeight="1">
      <c r="A208" s="76" t="s">
        <v>62</v>
      </c>
      <c r="B208" s="76" t="s">
        <v>135</v>
      </c>
      <c r="C208" s="77"/>
      <c r="D208" s="76">
        <v>89744.0</v>
      </c>
      <c r="E208" s="76">
        <v>4.68</v>
      </c>
      <c r="F208" s="77"/>
      <c r="G208" s="77"/>
      <c r="H208" s="76">
        <v>420001.92</v>
      </c>
      <c r="I208" s="76" t="s">
        <v>113</v>
      </c>
      <c r="J208" s="76" t="s">
        <v>119</v>
      </c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</row>
    <row r="209" ht="24.0" customHeight="1">
      <c r="A209" s="76" t="s">
        <v>63</v>
      </c>
      <c r="B209" s="76" t="s">
        <v>129</v>
      </c>
      <c r="C209" s="76" t="s">
        <v>130</v>
      </c>
      <c r="D209" s="76">
        <v>45000.0</v>
      </c>
      <c r="E209" s="76">
        <v>4.73</v>
      </c>
      <c r="F209" s="76">
        <v>212850.00000000003</v>
      </c>
      <c r="G209" s="77"/>
      <c r="H209" s="77"/>
      <c r="I209" s="76" t="s">
        <v>119</v>
      </c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</row>
    <row r="210" ht="24.0" customHeight="1">
      <c r="A210" s="76" t="s">
        <v>63</v>
      </c>
      <c r="B210" s="76" t="s">
        <v>129</v>
      </c>
      <c r="C210" s="76" t="s">
        <v>132</v>
      </c>
      <c r="D210" s="76">
        <v>5730.0</v>
      </c>
      <c r="E210" s="76">
        <v>4.73</v>
      </c>
      <c r="F210" s="76">
        <v>27102.9</v>
      </c>
      <c r="G210" s="77"/>
      <c r="H210" s="77"/>
      <c r="I210" s="76" t="s">
        <v>119</v>
      </c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</row>
    <row r="211" ht="24.0" customHeight="1">
      <c r="A211" s="76" t="s">
        <v>64</v>
      </c>
      <c r="B211" s="76" t="s">
        <v>6</v>
      </c>
      <c r="C211" s="76" t="s">
        <v>130</v>
      </c>
      <c r="D211" s="77"/>
      <c r="E211" s="77"/>
      <c r="F211" s="77"/>
      <c r="G211" s="76">
        <v>0.0</v>
      </c>
      <c r="H211" s="77"/>
      <c r="I211" s="77"/>
      <c r="J211" s="76" t="s">
        <v>113</v>
      </c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</row>
    <row r="212" ht="24.0" customHeight="1">
      <c r="A212" s="76" t="s">
        <v>64</v>
      </c>
      <c r="B212" s="76" t="s">
        <v>6</v>
      </c>
      <c r="C212" s="76" t="s">
        <v>130</v>
      </c>
      <c r="D212" s="77"/>
      <c r="E212" s="77"/>
      <c r="F212" s="77"/>
      <c r="G212" s="76">
        <v>64800.0</v>
      </c>
      <c r="H212" s="77"/>
      <c r="I212" s="77"/>
      <c r="J212" s="76" t="s">
        <v>113</v>
      </c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</row>
    <row r="213" ht="24.0" customHeight="1">
      <c r="A213" s="76" t="s">
        <v>64</v>
      </c>
      <c r="B213" s="76" t="s">
        <v>129</v>
      </c>
      <c r="C213" s="76" t="s">
        <v>131</v>
      </c>
      <c r="D213" s="76">
        <v>10600.0</v>
      </c>
      <c r="E213" s="76">
        <v>4.73</v>
      </c>
      <c r="F213" s="76">
        <v>50138.00000000001</v>
      </c>
      <c r="G213" s="77"/>
      <c r="H213" s="77"/>
      <c r="I213" s="76" t="s">
        <v>119</v>
      </c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</row>
    <row r="214" ht="24.0" customHeight="1">
      <c r="A214" s="76" t="s">
        <v>64</v>
      </c>
      <c r="B214" s="76" t="s">
        <v>129</v>
      </c>
      <c r="C214" s="76" t="s">
        <v>133</v>
      </c>
      <c r="D214" s="76">
        <v>11192.0</v>
      </c>
      <c r="E214" s="76">
        <v>4.74</v>
      </c>
      <c r="F214" s="76">
        <v>53050.08</v>
      </c>
      <c r="G214" s="77"/>
      <c r="H214" s="77"/>
      <c r="I214" s="76" t="s">
        <v>119</v>
      </c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</row>
    <row r="215" ht="24.0" customHeight="1">
      <c r="A215" s="76" t="s">
        <v>65</v>
      </c>
      <c r="B215" s="76" t="s">
        <v>129</v>
      </c>
      <c r="C215" s="76" t="s">
        <v>131</v>
      </c>
      <c r="D215" s="76">
        <v>6600.0</v>
      </c>
      <c r="E215" s="76">
        <v>4.73</v>
      </c>
      <c r="F215" s="76">
        <v>31218.000000000004</v>
      </c>
      <c r="G215" s="77"/>
      <c r="H215" s="77"/>
      <c r="I215" s="76" t="s">
        <v>119</v>
      </c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</row>
    <row r="216" ht="24.0" customHeight="1">
      <c r="A216" s="76" t="s">
        <v>65</v>
      </c>
      <c r="B216" s="76" t="s">
        <v>129</v>
      </c>
      <c r="C216" s="76" t="s">
        <v>131</v>
      </c>
      <c r="D216" s="76">
        <v>11000.0</v>
      </c>
      <c r="E216" s="76">
        <v>4.73</v>
      </c>
      <c r="F216" s="76">
        <v>52030.00000000001</v>
      </c>
      <c r="G216" s="77"/>
      <c r="H216" s="77"/>
      <c r="I216" s="76" t="s">
        <v>119</v>
      </c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</row>
    <row r="217" ht="24.0" customHeight="1">
      <c r="A217" s="76" t="s">
        <v>65</v>
      </c>
      <c r="B217" s="76" t="s">
        <v>129</v>
      </c>
      <c r="C217" s="76" t="s">
        <v>132</v>
      </c>
      <c r="D217" s="76">
        <v>3183.0</v>
      </c>
      <c r="E217" s="76" t="s">
        <v>148</v>
      </c>
      <c r="F217" s="76" t="s">
        <v>149</v>
      </c>
      <c r="G217" s="77"/>
      <c r="H217" s="77"/>
      <c r="I217" s="76" t="s">
        <v>119</v>
      </c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</row>
    <row r="218" ht="24.0" customHeight="1">
      <c r="A218" s="76" t="s">
        <v>65</v>
      </c>
      <c r="B218" s="76" t="s">
        <v>129</v>
      </c>
      <c r="C218" s="76" t="s">
        <v>131</v>
      </c>
      <c r="D218" s="76">
        <v>4262.0</v>
      </c>
      <c r="E218" s="76">
        <v>4.73</v>
      </c>
      <c r="F218" s="76">
        <v>20159.260000000002</v>
      </c>
      <c r="G218" s="77"/>
      <c r="H218" s="77"/>
      <c r="I218" s="76" t="s">
        <v>119</v>
      </c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</row>
    <row r="219" ht="24.0" customHeight="1">
      <c r="A219" s="76" t="s">
        <v>65</v>
      </c>
      <c r="B219" s="76" t="s">
        <v>129</v>
      </c>
      <c r="C219" s="76" t="s">
        <v>133</v>
      </c>
      <c r="D219" s="76">
        <v>3980.0</v>
      </c>
      <c r="E219" s="76">
        <v>4.73</v>
      </c>
      <c r="F219" s="76">
        <v>18825.4</v>
      </c>
      <c r="G219" s="77"/>
      <c r="H219" s="77"/>
      <c r="I219" s="76" t="s">
        <v>119</v>
      </c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</row>
    <row r="220" ht="24.0" customHeight="1">
      <c r="A220" s="76" t="s">
        <v>65</v>
      </c>
      <c r="B220" s="76" t="s">
        <v>129</v>
      </c>
      <c r="C220" s="76" t="s">
        <v>130</v>
      </c>
      <c r="D220" s="76">
        <v>10000.0</v>
      </c>
      <c r="E220" s="76">
        <v>4.73</v>
      </c>
      <c r="F220" s="76">
        <v>47300.00000000001</v>
      </c>
      <c r="G220" s="77"/>
      <c r="H220" s="77"/>
      <c r="I220" s="76" t="s">
        <v>119</v>
      </c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</row>
    <row r="221" ht="24.0" customHeight="1">
      <c r="A221" s="76" t="s">
        <v>66</v>
      </c>
      <c r="B221" s="76" t="s">
        <v>6</v>
      </c>
      <c r="C221" s="76" t="s">
        <v>130</v>
      </c>
      <c r="D221" s="77"/>
      <c r="E221" s="77"/>
      <c r="F221" s="77"/>
      <c r="G221" s="76">
        <v>100000.0</v>
      </c>
      <c r="H221" s="77"/>
      <c r="I221" s="77"/>
      <c r="J221" s="76" t="s">
        <v>113</v>
      </c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</row>
    <row r="222" ht="24.0" customHeight="1">
      <c r="A222" s="76" t="s">
        <v>66</v>
      </c>
      <c r="B222" s="76" t="s">
        <v>129</v>
      </c>
      <c r="C222" s="76" t="s">
        <v>133</v>
      </c>
      <c r="D222" s="76">
        <v>5282.0</v>
      </c>
      <c r="E222" s="76">
        <v>4.73</v>
      </c>
      <c r="F222" s="76">
        <v>24983.86</v>
      </c>
      <c r="G222" s="77"/>
      <c r="H222" s="77"/>
      <c r="I222" s="76" t="s">
        <v>119</v>
      </c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</row>
    <row r="223" ht="24.0" customHeight="1">
      <c r="A223" s="76" t="s">
        <v>66</v>
      </c>
      <c r="B223" s="76" t="s">
        <v>129</v>
      </c>
      <c r="C223" s="76" t="s">
        <v>130</v>
      </c>
      <c r="D223" s="76">
        <v>53000.0</v>
      </c>
      <c r="E223" s="76">
        <v>4.73</v>
      </c>
      <c r="F223" s="76">
        <v>250690.00000000003</v>
      </c>
      <c r="G223" s="77"/>
      <c r="H223" s="77"/>
      <c r="I223" s="76" t="s">
        <v>119</v>
      </c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</row>
    <row r="224" ht="24.0" customHeight="1">
      <c r="A224" s="76" t="s">
        <v>66</v>
      </c>
      <c r="B224" s="76" t="s">
        <v>129</v>
      </c>
      <c r="C224" s="76" t="s">
        <v>131</v>
      </c>
      <c r="D224" s="76">
        <v>12300.0</v>
      </c>
      <c r="E224" s="76">
        <v>4.73</v>
      </c>
      <c r="F224" s="76">
        <v>58179.00000000001</v>
      </c>
      <c r="G224" s="77"/>
      <c r="H224" s="77"/>
      <c r="I224" s="76" t="s">
        <v>119</v>
      </c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</row>
    <row r="225" ht="24.0" customHeight="1">
      <c r="A225" s="76" t="s">
        <v>67</v>
      </c>
      <c r="B225" s="76" t="s">
        <v>6</v>
      </c>
      <c r="C225" s="76" t="s">
        <v>130</v>
      </c>
      <c r="D225" s="76"/>
      <c r="E225" s="77"/>
      <c r="F225" s="77"/>
      <c r="G225" s="76">
        <v>549000.0</v>
      </c>
      <c r="H225" s="77"/>
      <c r="I225" s="76"/>
      <c r="J225" s="76" t="s">
        <v>113</v>
      </c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</row>
    <row r="226" ht="24.0" customHeight="1">
      <c r="A226" s="76" t="s">
        <v>67</v>
      </c>
      <c r="B226" s="76" t="s">
        <v>6</v>
      </c>
      <c r="C226" s="76" t="s">
        <v>131</v>
      </c>
      <c r="D226" s="76"/>
      <c r="E226" s="77"/>
      <c r="F226" s="77"/>
      <c r="G226" s="76">
        <v>0.0</v>
      </c>
      <c r="H226" s="77"/>
      <c r="I226" s="76"/>
      <c r="J226" s="76" t="s">
        <v>113</v>
      </c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</row>
    <row r="227" ht="24.0" customHeight="1">
      <c r="A227" s="76" t="s">
        <v>67</v>
      </c>
      <c r="B227" s="76" t="s">
        <v>6</v>
      </c>
      <c r="C227" s="76" t="s">
        <v>131</v>
      </c>
      <c r="D227" s="77"/>
      <c r="E227" s="77"/>
      <c r="F227" s="77"/>
      <c r="G227" s="76">
        <v>200000.0</v>
      </c>
      <c r="H227" s="77"/>
      <c r="I227" s="77"/>
      <c r="J227" s="76" t="s">
        <v>113</v>
      </c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</row>
    <row r="228" ht="24.0" customHeight="1">
      <c r="A228" s="76" t="s">
        <v>67</v>
      </c>
      <c r="B228" s="76" t="s">
        <v>6</v>
      </c>
      <c r="C228" s="76" t="s">
        <v>133</v>
      </c>
      <c r="D228" s="77"/>
      <c r="E228" s="77"/>
      <c r="F228" s="77"/>
      <c r="G228" s="76">
        <v>190000.0</v>
      </c>
      <c r="H228" s="77"/>
      <c r="I228" s="77"/>
      <c r="J228" s="76" t="s">
        <v>113</v>
      </c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</row>
    <row r="229" ht="24.0" customHeight="1">
      <c r="A229" s="76" t="s">
        <v>67</v>
      </c>
      <c r="B229" s="76" t="s">
        <v>6</v>
      </c>
      <c r="C229" s="76" t="s">
        <v>132</v>
      </c>
      <c r="D229" s="77"/>
      <c r="E229" s="77"/>
      <c r="F229" s="77"/>
      <c r="G229" s="76">
        <v>200000.0</v>
      </c>
      <c r="H229" s="77"/>
      <c r="I229" s="77"/>
      <c r="J229" s="76" t="s">
        <v>113</v>
      </c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</row>
    <row r="230" ht="24.0" customHeight="1">
      <c r="A230" s="76" t="s">
        <v>67</v>
      </c>
      <c r="B230" s="76" t="s">
        <v>129</v>
      </c>
      <c r="C230" s="76" t="s">
        <v>138</v>
      </c>
      <c r="D230" s="76">
        <v>800.0</v>
      </c>
      <c r="E230" s="76">
        <v>4.73</v>
      </c>
      <c r="F230" s="76">
        <v>3784.0000000000005</v>
      </c>
      <c r="G230" s="77"/>
      <c r="H230" s="77"/>
      <c r="I230" s="76" t="s">
        <v>119</v>
      </c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</row>
    <row r="231" ht="24.0" customHeight="1">
      <c r="A231" s="76" t="s">
        <v>67</v>
      </c>
      <c r="B231" s="76" t="s">
        <v>135</v>
      </c>
      <c r="C231" s="77"/>
      <c r="D231" s="76">
        <v>200000.0</v>
      </c>
      <c r="E231" s="76">
        <v>4.67</v>
      </c>
      <c r="F231" s="77"/>
      <c r="G231" s="77"/>
      <c r="H231" s="76">
        <v>934000.0</v>
      </c>
      <c r="I231" s="76" t="s">
        <v>113</v>
      </c>
      <c r="J231" s="76" t="s">
        <v>119</v>
      </c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</row>
    <row r="232" ht="24.0" customHeight="1">
      <c r="A232" s="76" t="s">
        <v>67</v>
      </c>
      <c r="B232" s="76" t="s">
        <v>135</v>
      </c>
      <c r="C232" s="77"/>
      <c r="D232" s="76">
        <v>21551.0</v>
      </c>
      <c r="E232" s="76">
        <v>4.64</v>
      </c>
      <c r="F232" s="77"/>
      <c r="G232" s="77"/>
      <c r="H232" s="76">
        <v>99996.64</v>
      </c>
      <c r="I232" s="76" t="s">
        <v>113</v>
      </c>
      <c r="J232" s="76" t="s">
        <v>119</v>
      </c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</row>
    <row r="233" ht="24.0" customHeight="1">
      <c r="A233" s="76" t="s">
        <v>67</v>
      </c>
      <c r="B233" s="76" t="s">
        <v>129</v>
      </c>
      <c r="C233" s="76" t="s">
        <v>130</v>
      </c>
      <c r="D233" s="76">
        <v>37800.0</v>
      </c>
      <c r="E233" s="76">
        <v>4.73</v>
      </c>
      <c r="F233" s="76">
        <v>178794.00000000003</v>
      </c>
      <c r="G233" s="77"/>
      <c r="H233" s="77"/>
      <c r="I233" s="76" t="s">
        <v>119</v>
      </c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</row>
    <row r="234" ht="24.0" customHeight="1">
      <c r="A234" s="76" t="s">
        <v>67</v>
      </c>
      <c r="B234" s="76" t="s">
        <v>129</v>
      </c>
      <c r="C234" s="76" t="s">
        <v>131</v>
      </c>
      <c r="D234" s="76">
        <v>180.0</v>
      </c>
      <c r="E234" s="76">
        <v>4.73</v>
      </c>
      <c r="F234" s="76">
        <v>851.4000000000001</v>
      </c>
      <c r="G234" s="77"/>
      <c r="H234" s="77"/>
      <c r="I234" s="76" t="s">
        <v>119</v>
      </c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</row>
    <row r="235" ht="24.0" customHeight="1">
      <c r="A235" s="76" t="s">
        <v>67</v>
      </c>
      <c r="B235" s="76" t="s">
        <v>6</v>
      </c>
      <c r="C235" s="76" t="s">
        <v>130</v>
      </c>
      <c r="D235" s="77"/>
      <c r="E235" s="77"/>
      <c r="F235" s="77"/>
      <c r="G235" s="76">
        <v>100000.0</v>
      </c>
      <c r="H235" s="77"/>
      <c r="I235" s="77"/>
      <c r="J235" s="76" t="s">
        <v>112</v>
      </c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</row>
    <row r="236" ht="24.0" customHeight="1">
      <c r="A236" s="76" t="s">
        <v>67</v>
      </c>
      <c r="B236" s="76" t="s">
        <v>6</v>
      </c>
      <c r="C236" s="76" t="s">
        <v>130</v>
      </c>
      <c r="D236" s="77"/>
      <c r="E236" s="77"/>
      <c r="F236" s="77"/>
      <c r="G236" s="76">
        <v>47554.0</v>
      </c>
      <c r="H236" s="77"/>
      <c r="I236" s="77"/>
      <c r="J236" s="76" t="s">
        <v>114</v>
      </c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</row>
    <row r="237" ht="24.0" customHeight="1">
      <c r="A237" s="76" t="s">
        <v>67</v>
      </c>
      <c r="B237" s="76" t="s">
        <v>6</v>
      </c>
      <c r="C237" s="76" t="s">
        <v>130</v>
      </c>
      <c r="D237" s="77"/>
      <c r="E237" s="77"/>
      <c r="F237" s="77"/>
      <c r="G237" s="76">
        <v>72800.0</v>
      </c>
      <c r="H237" s="77"/>
      <c r="I237" s="77"/>
      <c r="J237" s="76" t="s">
        <v>113</v>
      </c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</row>
    <row r="238" ht="24.0" customHeight="1">
      <c r="A238" s="76" t="s">
        <v>67</v>
      </c>
      <c r="B238" s="76" t="s">
        <v>129</v>
      </c>
      <c r="C238" s="76" t="s">
        <v>130</v>
      </c>
      <c r="D238" s="76">
        <v>67500.0</v>
      </c>
      <c r="E238" s="76">
        <v>4.73</v>
      </c>
      <c r="F238" s="76">
        <v>319275.0</v>
      </c>
      <c r="G238" s="77"/>
      <c r="H238" s="77"/>
      <c r="I238" s="76" t="s">
        <v>119</v>
      </c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</row>
    <row r="239" ht="24.0" customHeight="1">
      <c r="A239" s="76" t="s">
        <v>67</v>
      </c>
      <c r="B239" s="76" t="s">
        <v>129</v>
      </c>
      <c r="C239" s="76" t="s">
        <v>131</v>
      </c>
      <c r="D239" s="76">
        <v>8150.0</v>
      </c>
      <c r="E239" s="76">
        <v>4.73</v>
      </c>
      <c r="F239" s="76">
        <v>38549.5</v>
      </c>
      <c r="G239" s="77"/>
      <c r="H239" s="77"/>
      <c r="I239" s="76" t="s">
        <v>119</v>
      </c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</row>
    <row r="240" ht="24.0" customHeight="1">
      <c r="A240" s="76" t="s">
        <v>67</v>
      </c>
      <c r="B240" s="76" t="s">
        <v>129</v>
      </c>
      <c r="C240" s="76" t="s">
        <v>133</v>
      </c>
      <c r="D240" s="76">
        <v>14900.0</v>
      </c>
      <c r="E240" s="76">
        <v>4.73</v>
      </c>
      <c r="F240" s="76">
        <v>70477.0</v>
      </c>
      <c r="G240" s="77"/>
      <c r="H240" s="77"/>
      <c r="I240" s="76" t="s">
        <v>119</v>
      </c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</row>
    <row r="241" ht="24.0" customHeight="1">
      <c r="A241" s="76" t="s">
        <v>67</v>
      </c>
      <c r="B241" s="76" t="s">
        <v>129</v>
      </c>
      <c r="C241" s="76" t="s">
        <v>138</v>
      </c>
      <c r="D241" s="76">
        <v>15300.0</v>
      </c>
      <c r="E241" s="76">
        <v>4.73</v>
      </c>
      <c r="F241" s="76">
        <v>72369.0</v>
      </c>
      <c r="G241" s="77"/>
      <c r="H241" s="77"/>
      <c r="I241" s="76" t="s">
        <v>119</v>
      </c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</row>
    <row r="242" ht="24.0" customHeight="1">
      <c r="A242" s="76" t="s">
        <v>67</v>
      </c>
      <c r="B242" s="76" t="s">
        <v>129</v>
      </c>
      <c r="C242" s="76" t="s">
        <v>130</v>
      </c>
      <c r="D242" s="76">
        <v>500.0</v>
      </c>
      <c r="E242" s="76">
        <v>4.73</v>
      </c>
      <c r="F242" s="76">
        <v>2365.0</v>
      </c>
      <c r="G242" s="77"/>
      <c r="H242" s="77"/>
      <c r="I242" s="76" t="s">
        <v>119</v>
      </c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</row>
    <row r="243" ht="24.0" customHeight="1">
      <c r="A243" s="76" t="s">
        <v>67</v>
      </c>
      <c r="B243" s="76" t="s">
        <v>129</v>
      </c>
      <c r="C243" s="76" t="s">
        <v>131</v>
      </c>
      <c r="D243" s="76">
        <v>8099.0</v>
      </c>
      <c r="E243" s="76">
        <v>4.73</v>
      </c>
      <c r="F243" s="76">
        <v>38308.270000000004</v>
      </c>
      <c r="G243" s="77"/>
      <c r="H243" s="77"/>
      <c r="I243" s="76" t="s">
        <v>119</v>
      </c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</row>
    <row r="244" ht="24.0" customHeight="1">
      <c r="A244" s="76" t="s">
        <v>67</v>
      </c>
      <c r="B244" s="76" t="s">
        <v>129</v>
      </c>
      <c r="C244" s="76" t="s">
        <v>133</v>
      </c>
      <c r="D244" s="76">
        <v>3599.0</v>
      </c>
      <c r="E244" s="76">
        <v>4.73</v>
      </c>
      <c r="F244" s="76">
        <v>17023.27</v>
      </c>
      <c r="G244" s="77"/>
      <c r="H244" s="77"/>
      <c r="I244" s="76" t="s">
        <v>119</v>
      </c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</row>
    <row r="245" ht="24.0" customHeight="1">
      <c r="A245" s="76" t="s">
        <v>67</v>
      </c>
      <c r="B245" s="76" t="s">
        <v>134</v>
      </c>
      <c r="C245" s="77"/>
      <c r="D245" s="77"/>
      <c r="E245" s="77"/>
      <c r="F245" s="77"/>
      <c r="G245" s="76">
        <v>120000.0</v>
      </c>
      <c r="H245" s="77"/>
      <c r="I245" s="76" t="s">
        <v>112</v>
      </c>
      <c r="J245" s="76" t="s">
        <v>114</v>
      </c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</row>
    <row r="246" ht="24.0" customHeight="1">
      <c r="A246" s="76" t="s">
        <v>67</v>
      </c>
      <c r="B246" s="76" t="s">
        <v>129</v>
      </c>
      <c r="C246" s="76" t="s">
        <v>150</v>
      </c>
      <c r="D246" s="76">
        <v>1000.0</v>
      </c>
      <c r="E246" s="76">
        <v>4.72</v>
      </c>
      <c r="F246" s="76">
        <v>4720.0</v>
      </c>
      <c r="G246" s="77"/>
      <c r="H246" s="77"/>
      <c r="I246" s="76" t="s">
        <v>119</v>
      </c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</row>
    <row r="247" ht="24.0" customHeight="1">
      <c r="A247" s="76" t="s">
        <v>67</v>
      </c>
      <c r="B247" s="76" t="s">
        <v>6</v>
      </c>
      <c r="C247" s="76" t="s">
        <v>150</v>
      </c>
      <c r="D247" s="77"/>
      <c r="E247" s="77"/>
      <c r="F247" s="77"/>
      <c r="G247" s="76">
        <v>4720.0</v>
      </c>
      <c r="H247" s="77"/>
      <c r="I247" s="77"/>
      <c r="J247" s="76" t="s">
        <v>112</v>
      </c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</row>
    <row r="248" ht="24.0" customHeight="1">
      <c r="A248" s="76" t="s">
        <v>68</v>
      </c>
      <c r="B248" s="76" t="s">
        <v>129</v>
      </c>
      <c r="C248" s="76" t="s">
        <v>138</v>
      </c>
      <c r="D248" s="76">
        <v>3000.0</v>
      </c>
      <c r="E248" s="76">
        <v>4.73</v>
      </c>
      <c r="F248" s="76">
        <v>14190.000000000002</v>
      </c>
      <c r="G248" s="77"/>
      <c r="H248" s="77"/>
      <c r="I248" s="76" t="s">
        <v>119</v>
      </c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</row>
    <row r="249" ht="24.0" customHeight="1">
      <c r="A249" s="76" t="s">
        <v>68</v>
      </c>
      <c r="B249" s="76" t="s">
        <v>129</v>
      </c>
      <c r="C249" s="76" t="s">
        <v>130</v>
      </c>
      <c r="D249" s="76">
        <v>28000.0</v>
      </c>
      <c r="E249" s="76">
        <v>4.73</v>
      </c>
      <c r="F249" s="76">
        <v>132440.0</v>
      </c>
      <c r="G249" s="77"/>
      <c r="H249" s="77"/>
      <c r="I249" s="76" t="s">
        <v>119</v>
      </c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</row>
    <row r="250" ht="24.0" customHeight="1">
      <c r="A250" s="76" t="s">
        <v>68</v>
      </c>
      <c r="B250" s="76" t="s">
        <v>129</v>
      </c>
      <c r="C250" s="76" t="s">
        <v>131</v>
      </c>
      <c r="D250" s="76">
        <v>30779.0</v>
      </c>
      <c r="E250" s="76">
        <v>4.73</v>
      </c>
      <c r="F250" s="76">
        <v>145584.67</v>
      </c>
      <c r="G250" s="77"/>
      <c r="H250" s="77"/>
      <c r="I250" s="76" t="s">
        <v>119</v>
      </c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</row>
    <row r="251" ht="24.0" customHeight="1">
      <c r="A251" s="76" t="s">
        <v>68</v>
      </c>
      <c r="B251" s="76" t="s">
        <v>129</v>
      </c>
      <c r="C251" s="76" t="s">
        <v>138</v>
      </c>
      <c r="D251" s="76">
        <v>4450.0</v>
      </c>
      <c r="E251" s="76">
        <v>4.73</v>
      </c>
      <c r="F251" s="76">
        <v>21048.500000000004</v>
      </c>
      <c r="G251" s="77"/>
      <c r="H251" s="77"/>
      <c r="I251" s="76" t="s">
        <v>119</v>
      </c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</row>
    <row r="252" ht="24.0" customHeight="1">
      <c r="A252" s="76" t="s">
        <v>68</v>
      </c>
      <c r="B252" s="76" t="s">
        <v>6</v>
      </c>
      <c r="C252" s="76" t="s">
        <v>138</v>
      </c>
      <c r="D252" s="77"/>
      <c r="E252" s="77"/>
      <c r="F252" s="77"/>
      <c r="G252" s="76">
        <v>150000.0</v>
      </c>
      <c r="H252" s="77"/>
      <c r="I252" s="77"/>
      <c r="J252" s="76" t="s">
        <v>113</v>
      </c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</row>
    <row r="253" ht="24.0" customHeight="1">
      <c r="A253" s="76" t="s">
        <v>68</v>
      </c>
      <c r="B253" s="76" t="s">
        <v>134</v>
      </c>
      <c r="C253" s="77"/>
      <c r="D253" s="77"/>
      <c r="E253" s="77"/>
      <c r="F253" s="77"/>
      <c r="G253" s="76">
        <v>167554.0</v>
      </c>
      <c r="H253" s="77"/>
      <c r="I253" s="76" t="s">
        <v>114</v>
      </c>
      <c r="J253" s="76" t="s">
        <v>113</v>
      </c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</row>
    <row r="254" ht="24.0" customHeight="1">
      <c r="A254" s="76" t="s">
        <v>68</v>
      </c>
      <c r="B254" s="76" t="s">
        <v>135</v>
      </c>
      <c r="C254" s="77"/>
      <c r="D254" s="76">
        <v>165000.0</v>
      </c>
      <c r="E254" s="76">
        <v>4.66</v>
      </c>
      <c r="F254" s="77"/>
      <c r="G254" s="77"/>
      <c r="H254" s="76">
        <v>768900.0</v>
      </c>
      <c r="I254" s="76" t="s">
        <v>113</v>
      </c>
      <c r="J254" s="76" t="s">
        <v>119</v>
      </c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</row>
    <row r="255" ht="24.0" customHeight="1">
      <c r="A255" s="76" t="s">
        <v>68</v>
      </c>
      <c r="B255" s="76" t="s">
        <v>129</v>
      </c>
      <c r="C255" s="76" t="s">
        <v>130</v>
      </c>
      <c r="D255" s="76">
        <v>6380.0</v>
      </c>
      <c r="E255" s="76">
        <v>4.73</v>
      </c>
      <c r="F255" s="76">
        <v>30177.4</v>
      </c>
      <c r="G255" s="77"/>
      <c r="H255" s="77"/>
      <c r="I255" s="76" t="s">
        <v>119</v>
      </c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</row>
    <row r="256" ht="24.0" customHeight="1">
      <c r="A256" s="76" t="s">
        <v>68</v>
      </c>
      <c r="B256" s="76" t="s">
        <v>129</v>
      </c>
      <c r="C256" s="76" t="s">
        <v>131</v>
      </c>
      <c r="D256" s="76">
        <v>16200.0</v>
      </c>
      <c r="E256" s="76">
        <v>4.73</v>
      </c>
      <c r="F256" s="76">
        <v>76626.0</v>
      </c>
      <c r="G256" s="77"/>
      <c r="H256" s="77"/>
      <c r="I256" s="76" t="s">
        <v>119</v>
      </c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</row>
    <row r="257" ht="24.0" customHeight="1">
      <c r="A257" s="76" t="s">
        <v>68</v>
      </c>
      <c r="B257" s="76" t="s">
        <v>129</v>
      </c>
      <c r="C257" s="76" t="s">
        <v>132</v>
      </c>
      <c r="D257" s="76">
        <v>13500.0</v>
      </c>
      <c r="E257" s="76">
        <v>4.73</v>
      </c>
      <c r="F257" s="76">
        <v>63855.00000000001</v>
      </c>
      <c r="G257" s="77"/>
      <c r="H257" s="77"/>
      <c r="I257" s="76" t="s">
        <v>119</v>
      </c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</row>
    <row r="258" ht="24.0" customHeight="1">
      <c r="A258" s="76" t="s">
        <v>69</v>
      </c>
      <c r="B258" s="76" t="s">
        <v>129</v>
      </c>
      <c r="C258" s="76" t="s">
        <v>130</v>
      </c>
      <c r="D258" s="76">
        <v>740.0</v>
      </c>
      <c r="E258" s="76">
        <v>4.73</v>
      </c>
      <c r="F258" s="76">
        <v>3500.2000000000003</v>
      </c>
      <c r="G258" s="77"/>
      <c r="H258" s="77"/>
      <c r="I258" s="76" t="s">
        <v>119</v>
      </c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</row>
    <row r="259" ht="24.0" customHeight="1">
      <c r="A259" s="76" t="s">
        <v>69</v>
      </c>
      <c r="B259" s="76" t="s">
        <v>129</v>
      </c>
      <c r="C259" s="76" t="s">
        <v>131</v>
      </c>
      <c r="D259" s="76">
        <v>9999.0</v>
      </c>
      <c r="E259" s="76">
        <v>4.73</v>
      </c>
      <c r="F259" s="76">
        <v>47295.270000000004</v>
      </c>
      <c r="G259" s="77"/>
      <c r="H259" s="77"/>
      <c r="I259" s="76" t="s">
        <v>119</v>
      </c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</row>
    <row r="260" ht="24.0" customHeight="1">
      <c r="A260" s="76" t="s">
        <v>69</v>
      </c>
      <c r="B260" s="76" t="s">
        <v>129</v>
      </c>
      <c r="C260" s="76" t="s">
        <v>133</v>
      </c>
      <c r="D260" s="76">
        <v>4650.0</v>
      </c>
      <c r="E260" s="76">
        <v>4.73</v>
      </c>
      <c r="F260" s="76">
        <v>21994.500000000004</v>
      </c>
      <c r="G260" s="77"/>
      <c r="H260" s="77"/>
      <c r="I260" s="76" t="s">
        <v>119</v>
      </c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</row>
    <row r="261" ht="24.0" customHeight="1">
      <c r="A261" s="76" t="s">
        <v>69</v>
      </c>
      <c r="B261" s="76" t="s">
        <v>129</v>
      </c>
      <c r="C261" s="76" t="s">
        <v>138</v>
      </c>
      <c r="D261" s="76">
        <v>22800.0</v>
      </c>
      <c r="E261" s="76">
        <v>4.73</v>
      </c>
      <c r="F261" s="76">
        <v>107844.00000000001</v>
      </c>
      <c r="G261" s="77"/>
      <c r="H261" s="77"/>
      <c r="I261" s="76" t="s">
        <v>119</v>
      </c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</row>
    <row r="262" ht="24.0" customHeight="1">
      <c r="A262" s="76" t="s">
        <v>69</v>
      </c>
      <c r="B262" s="76" t="s">
        <v>129</v>
      </c>
      <c r="C262" s="76" t="s">
        <v>151</v>
      </c>
      <c r="D262" s="76">
        <v>1000.0</v>
      </c>
      <c r="E262" s="76">
        <v>4.73</v>
      </c>
      <c r="F262" s="76">
        <v>4730.0</v>
      </c>
      <c r="G262" s="77"/>
      <c r="H262" s="77"/>
      <c r="I262" s="76" t="s">
        <v>119</v>
      </c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</row>
    <row r="263" ht="24.0" customHeight="1">
      <c r="A263" s="76" t="s">
        <v>69</v>
      </c>
      <c r="B263" s="76" t="s">
        <v>6</v>
      </c>
      <c r="C263" s="76" t="s">
        <v>151</v>
      </c>
      <c r="D263" s="77"/>
      <c r="E263" s="77"/>
      <c r="F263" s="77"/>
      <c r="G263" s="76">
        <v>4730.0</v>
      </c>
      <c r="H263" s="77"/>
      <c r="I263" s="77"/>
      <c r="J263" s="76" t="s">
        <v>112</v>
      </c>
      <c r="K263" s="75" t="s">
        <v>152</v>
      </c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</row>
    <row r="264" ht="24.0" customHeight="1">
      <c r="A264" s="76" t="s">
        <v>69</v>
      </c>
      <c r="B264" s="76" t="s">
        <v>129</v>
      </c>
      <c r="C264" s="76" t="s">
        <v>130</v>
      </c>
      <c r="D264" s="76">
        <v>3100.0</v>
      </c>
      <c r="E264" s="76">
        <v>4.73</v>
      </c>
      <c r="F264" s="76">
        <v>14663.000000000002</v>
      </c>
      <c r="G264" s="77"/>
      <c r="H264" s="77"/>
      <c r="I264" s="76" t="s">
        <v>119</v>
      </c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</row>
    <row r="265" ht="24.0" customHeight="1">
      <c r="A265" s="76" t="s">
        <v>69</v>
      </c>
      <c r="B265" s="76" t="s">
        <v>129</v>
      </c>
      <c r="C265" s="76" t="s">
        <v>132</v>
      </c>
      <c r="D265" s="76">
        <v>3000.0</v>
      </c>
      <c r="E265" s="76">
        <v>4.73</v>
      </c>
      <c r="F265" s="76">
        <v>14190.000000000002</v>
      </c>
      <c r="G265" s="77"/>
      <c r="H265" s="77"/>
      <c r="I265" s="76" t="s">
        <v>119</v>
      </c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</row>
    <row r="266" ht="24.0" customHeight="1">
      <c r="A266" s="76" t="s">
        <v>70</v>
      </c>
      <c r="B266" s="76" t="s">
        <v>129</v>
      </c>
      <c r="C266" s="76" t="s">
        <v>133</v>
      </c>
      <c r="D266" s="76">
        <v>8900.0</v>
      </c>
      <c r="E266" s="76">
        <v>4.73</v>
      </c>
      <c r="F266" s="76">
        <v>42097.00000000001</v>
      </c>
      <c r="G266" s="77"/>
      <c r="H266" s="77"/>
      <c r="I266" s="76" t="s">
        <v>119</v>
      </c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</row>
    <row r="267" ht="24.0" customHeight="1">
      <c r="A267" s="76" t="s">
        <v>70</v>
      </c>
      <c r="B267" s="76" t="s">
        <v>129</v>
      </c>
      <c r="C267" s="76" t="s">
        <v>132</v>
      </c>
      <c r="D267" s="76">
        <v>19299.0</v>
      </c>
      <c r="E267" s="76">
        <v>4.73</v>
      </c>
      <c r="F267" s="76">
        <v>91284.27</v>
      </c>
      <c r="G267" s="77"/>
      <c r="H267" s="77"/>
      <c r="I267" s="76" t="s">
        <v>119</v>
      </c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</row>
    <row r="268" ht="24.0" customHeight="1">
      <c r="A268" s="76" t="s">
        <v>70</v>
      </c>
      <c r="B268" s="76" t="s">
        <v>6</v>
      </c>
      <c r="C268" s="76" t="s">
        <v>130</v>
      </c>
      <c r="D268" s="77"/>
      <c r="E268" s="77"/>
      <c r="F268" s="77"/>
      <c r="G268" s="76">
        <v>150000.0</v>
      </c>
      <c r="H268" s="77"/>
      <c r="I268" s="77"/>
      <c r="J268" s="76" t="s">
        <v>113</v>
      </c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</row>
    <row r="269" ht="24.0" customHeight="1">
      <c r="A269" s="76" t="s">
        <v>70</v>
      </c>
      <c r="B269" s="76" t="s">
        <v>6</v>
      </c>
      <c r="C269" s="76" t="s">
        <v>131</v>
      </c>
      <c r="D269" s="77"/>
      <c r="E269" s="77"/>
      <c r="F269" s="77"/>
      <c r="G269" s="76">
        <v>300000.0</v>
      </c>
      <c r="H269" s="77"/>
      <c r="I269" s="77"/>
      <c r="J269" s="76" t="s">
        <v>113</v>
      </c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</row>
    <row r="270" ht="24.0" customHeight="1">
      <c r="A270" s="76" t="s">
        <v>70</v>
      </c>
      <c r="B270" s="76" t="s">
        <v>129</v>
      </c>
      <c r="C270" s="76" t="s">
        <v>130</v>
      </c>
      <c r="D270" s="76">
        <v>33888.0</v>
      </c>
      <c r="E270" s="76">
        <v>4.73</v>
      </c>
      <c r="F270" s="76">
        <v>160290.24000000002</v>
      </c>
      <c r="G270" s="77"/>
      <c r="H270" s="77"/>
      <c r="I270" s="76" t="s">
        <v>119</v>
      </c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</row>
    <row r="271" ht="24.0" customHeight="1">
      <c r="A271" s="76" t="s">
        <v>70</v>
      </c>
      <c r="B271" s="76" t="s">
        <v>129</v>
      </c>
      <c r="C271" s="76" t="s">
        <v>131</v>
      </c>
      <c r="D271" s="76">
        <v>15300.0</v>
      </c>
      <c r="E271" s="76">
        <v>4.73</v>
      </c>
      <c r="F271" s="76">
        <v>72369.0</v>
      </c>
      <c r="G271" s="77"/>
      <c r="H271" s="77"/>
      <c r="I271" s="76" t="s">
        <v>119</v>
      </c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</row>
    <row r="272" ht="24.0" customHeight="1">
      <c r="A272" s="76" t="s">
        <v>70</v>
      </c>
      <c r="B272" s="76" t="s">
        <v>129</v>
      </c>
      <c r="C272" s="76" t="s">
        <v>138</v>
      </c>
      <c r="D272" s="76">
        <v>25900.0</v>
      </c>
      <c r="E272" s="76">
        <v>4.73</v>
      </c>
      <c r="F272" s="76">
        <v>122507.00000000001</v>
      </c>
      <c r="G272" s="77"/>
      <c r="H272" s="77"/>
      <c r="I272" s="76" t="s">
        <v>119</v>
      </c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</row>
    <row r="273" ht="24.0" customHeight="1">
      <c r="A273" s="76" t="s">
        <v>70</v>
      </c>
      <c r="B273" s="76" t="s">
        <v>129</v>
      </c>
      <c r="C273" s="76" t="s">
        <v>130</v>
      </c>
      <c r="D273" s="76">
        <v>42800.0</v>
      </c>
      <c r="E273" s="76">
        <v>4.73</v>
      </c>
      <c r="F273" s="76">
        <v>202444.00000000003</v>
      </c>
      <c r="G273" s="77"/>
      <c r="H273" s="77"/>
      <c r="I273" s="76" t="s">
        <v>119</v>
      </c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</row>
    <row r="274" ht="24.0" customHeight="1">
      <c r="A274" s="76" t="s">
        <v>70</v>
      </c>
      <c r="B274" s="76" t="s">
        <v>6</v>
      </c>
      <c r="C274" s="76" t="s">
        <v>130</v>
      </c>
      <c r="D274" s="77"/>
      <c r="E274" s="77"/>
      <c r="F274" s="77"/>
      <c r="G274" s="76">
        <v>150000.0</v>
      </c>
      <c r="H274" s="77"/>
      <c r="I274" s="77"/>
      <c r="J274" s="76" t="s">
        <v>112</v>
      </c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</row>
    <row r="275" ht="24.0" customHeight="1">
      <c r="A275" s="76" t="s">
        <v>70</v>
      </c>
      <c r="B275" s="76" t="s">
        <v>129</v>
      </c>
      <c r="C275" s="76" t="s">
        <v>131</v>
      </c>
      <c r="D275" s="76">
        <v>2699.0</v>
      </c>
      <c r="E275" s="76">
        <v>4.73</v>
      </c>
      <c r="F275" s="76">
        <v>12766.27</v>
      </c>
      <c r="G275" s="77"/>
      <c r="H275" s="77"/>
      <c r="I275" s="76" t="s">
        <v>119</v>
      </c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</row>
    <row r="276" ht="24.0" customHeight="1">
      <c r="A276" s="76" t="s">
        <v>70</v>
      </c>
      <c r="B276" s="76" t="s">
        <v>129</v>
      </c>
      <c r="C276" s="76" t="s">
        <v>133</v>
      </c>
      <c r="D276" s="76">
        <v>22999.0</v>
      </c>
      <c r="E276" s="76">
        <v>4.73</v>
      </c>
      <c r="F276" s="76">
        <v>108785.27</v>
      </c>
      <c r="G276" s="77"/>
      <c r="H276" s="77"/>
      <c r="I276" s="76" t="s">
        <v>119</v>
      </c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</row>
    <row r="277" ht="24.0" customHeight="1">
      <c r="A277" s="76" t="s">
        <v>70</v>
      </c>
      <c r="B277" s="76" t="s">
        <v>134</v>
      </c>
      <c r="C277" s="77"/>
      <c r="D277" s="77"/>
      <c r="E277" s="77"/>
      <c r="F277" s="77"/>
      <c r="G277" s="76">
        <v>130000.0</v>
      </c>
      <c r="H277" s="77"/>
      <c r="I277" s="76" t="s">
        <v>112</v>
      </c>
      <c r="J277" s="76" t="s">
        <v>113</v>
      </c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</row>
    <row r="278" ht="24.0" customHeight="1">
      <c r="A278" s="76" t="s">
        <v>70</v>
      </c>
      <c r="B278" s="76" t="s">
        <v>129</v>
      </c>
      <c r="C278" s="76" t="s">
        <v>153</v>
      </c>
      <c r="D278" s="76">
        <v>8456.0</v>
      </c>
      <c r="E278" s="76">
        <v>4.73</v>
      </c>
      <c r="F278" s="76">
        <v>39996.880000000005</v>
      </c>
      <c r="G278" s="77"/>
      <c r="H278" s="77"/>
      <c r="I278" s="76" t="s">
        <v>119</v>
      </c>
      <c r="J278" s="60"/>
      <c r="K278" s="75" t="s">
        <v>152</v>
      </c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</row>
    <row r="279" ht="24.0" customHeight="1">
      <c r="A279" s="76" t="s">
        <v>70</v>
      </c>
      <c r="B279" s="76" t="s">
        <v>6</v>
      </c>
      <c r="C279" s="76" t="s">
        <v>153</v>
      </c>
      <c r="D279" s="77"/>
      <c r="E279" s="77"/>
      <c r="F279" s="77"/>
      <c r="G279" s="76">
        <v>40000.0</v>
      </c>
      <c r="H279" s="77"/>
      <c r="I279" s="77"/>
      <c r="J279" s="76" t="s">
        <v>112</v>
      </c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</row>
    <row r="280" ht="24.0" customHeight="1">
      <c r="A280" s="76" t="s">
        <v>70</v>
      </c>
      <c r="B280" s="76" t="s">
        <v>135</v>
      </c>
      <c r="C280" s="77"/>
      <c r="D280" s="76">
        <v>100000.0</v>
      </c>
      <c r="E280" s="76">
        <v>4.67</v>
      </c>
      <c r="F280" s="77"/>
      <c r="G280" s="77"/>
      <c r="H280" s="76">
        <v>467000.0</v>
      </c>
      <c r="I280" s="76" t="s">
        <v>113</v>
      </c>
      <c r="J280" s="76" t="s">
        <v>119</v>
      </c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</row>
    <row r="281" ht="24.0" customHeight="1">
      <c r="A281" s="76" t="s">
        <v>70</v>
      </c>
      <c r="B281" s="76" t="s">
        <v>129</v>
      </c>
      <c r="C281" s="76" t="s">
        <v>154</v>
      </c>
      <c r="D281" s="76">
        <v>14300.0</v>
      </c>
      <c r="E281" s="76">
        <v>4.73</v>
      </c>
      <c r="F281" s="76">
        <v>67639.0</v>
      </c>
      <c r="G281" s="77"/>
      <c r="H281" s="77"/>
      <c r="I281" s="76" t="s">
        <v>119</v>
      </c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</row>
    <row r="282" ht="24.0" customHeight="1">
      <c r="A282" s="76" t="s">
        <v>70</v>
      </c>
      <c r="B282" s="76" t="s">
        <v>6</v>
      </c>
      <c r="C282" s="76" t="s">
        <v>154</v>
      </c>
      <c r="D282" s="77"/>
      <c r="E282" s="77"/>
      <c r="F282" s="77"/>
      <c r="G282" s="76">
        <v>67639.0</v>
      </c>
      <c r="H282" s="77"/>
      <c r="I282" s="77"/>
      <c r="J282" s="76" t="s">
        <v>112</v>
      </c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</row>
    <row r="283" ht="24.0" customHeight="1">
      <c r="A283" s="76" t="s">
        <v>70</v>
      </c>
      <c r="B283" s="76" t="s">
        <v>6</v>
      </c>
      <c r="C283" s="76" t="s">
        <v>130</v>
      </c>
      <c r="D283" s="77"/>
      <c r="E283" s="77"/>
      <c r="F283" s="77"/>
      <c r="G283" s="76">
        <v>350000.0</v>
      </c>
      <c r="H283" s="77"/>
      <c r="I283" s="77"/>
      <c r="J283" s="76" t="s">
        <v>113</v>
      </c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</row>
    <row r="284" ht="24.0" customHeight="1">
      <c r="A284" s="76" t="s">
        <v>70</v>
      </c>
      <c r="B284" s="76" t="s">
        <v>129</v>
      </c>
      <c r="C284" s="76" t="s">
        <v>131</v>
      </c>
      <c r="D284" s="76">
        <v>4600.0</v>
      </c>
      <c r="E284" s="76">
        <v>4.73</v>
      </c>
      <c r="F284" s="76">
        <v>21758.000000000004</v>
      </c>
      <c r="G284" s="77"/>
      <c r="H284" s="77"/>
      <c r="I284" s="76" t="s">
        <v>119</v>
      </c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</row>
    <row r="285" ht="24.0" customHeight="1">
      <c r="A285" s="76" t="s">
        <v>70</v>
      </c>
      <c r="B285" s="76" t="s">
        <v>6</v>
      </c>
      <c r="C285" s="76" t="s">
        <v>138</v>
      </c>
      <c r="D285" s="77"/>
      <c r="E285" s="77"/>
      <c r="F285" s="77"/>
      <c r="G285" s="76">
        <v>280000.0</v>
      </c>
      <c r="H285" s="77"/>
      <c r="I285" s="77"/>
      <c r="J285" s="76" t="s">
        <v>113</v>
      </c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</row>
    <row r="286" ht="24.0" customHeight="1">
      <c r="A286" s="76" t="s">
        <v>70</v>
      </c>
      <c r="B286" s="76" t="s">
        <v>134</v>
      </c>
      <c r="C286" s="77"/>
      <c r="D286" s="77"/>
      <c r="E286" s="77"/>
      <c r="F286" s="77"/>
      <c r="G286" s="76">
        <v>50000.0</v>
      </c>
      <c r="H286" s="77"/>
      <c r="I286" s="76" t="s">
        <v>112</v>
      </c>
      <c r="J286" s="76" t="s">
        <v>113</v>
      </c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</row>
    <row r="287" ht="24.0" customHeight="1">
      <c r="A287" s="76" t="s">
        <v>70</v>
      </c>
      <c r="B287" s="76" t="s">
        <v>135</v>
      </c>
      <c r="C287" s="76" t="s">
        <v>154</v>
      </c>
      <c r="D287" s="76">
        <v>6000.0</v>
      </c>
      <c r="E287" s="76">
        <v>4.73</v>
      </c>
      <c r="F287" s="77"/>
      <c r="G287" s="77"/>
      <c r="H287" s="76">
        <v>28380.000000000004</v>
      </c>
      <c r="I287" s="76" t="s">
        <v>112</v>
      </c>
      <c r="J287" s="76" t="s">
        <v>119</v>
      </c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</row>
    <row r="288" ht="24.0" customHeight="1">
      <c r="A288" s="76" t="s">
        <v>71</v>
      </c>
      <c r="B288" s="76" t="s">
        <v>6</v>
      </c>
      <c r="C288" s="76" t="s">
        <v>130</v>
      </c>
      <c r="D288" s="77"/>
      <c r="E288" s="77"/>
      <c r="F288" s="77"/>
      <c r="G288" s="76">
        <v>150000.0</v>
      </c>
      <c r="H288" s="77"/>
      <c r="I288" s="77"/>
      <c r="J288" s="76" t="s">
        <v>113</v>
      </c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</row>
    <row r="289" ht="24.0" customHeight="1">
      <c r="A289" s="76" t="s">
        <v>71</v>
      </c>
      <c r="B289" s="76" t="s">
        <v>134</v>
      </c>
      <c r="C289" s="77"/>
      <c r="D289" s="77"/>
      <c r="E289" s="77"/>
      <c r="F289" s="77"/>
      <c r="G289" s="76">
        <v>150000.0</v>
      </c>
      <c r="H289" s="77"/>
      <c r="I289" s="76" t="s">
        <v>113</v>
      </c>
      <c r="J289" s="76" t="s">
        <v>112</v>
      </c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</row>
    <row r="290" ht="24.0" customHeight="1">
      <c r="A290" s="76" t="s">
        <v>71</v>
      </c>
      <c r="B290" s="76" t="s">
        <v>129</v>
      </c>
      <c r="C290" s="76" t="s">
        <v>130</v>
      </c>
      <c r="D290" s="76">
        <v>55500.0</v>
      </c>
      <c r="E290" s="76">
        <v>4.73</v>
      </c>
      <c r="F290" s="76">
        <v>262515.0</v>
      </c>
      <c r="G290" s="77"/>
      <c r="H290" s="77"/>
      <c r="I290" s="76" t="s">
        <v>119</v>
      </c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</row>
    <row r="291" ht="24.0" customHeight="1">
      <c r="A291" s="76" t="s">
        <v>71</v>
      </c>
      <c r="B291" s="76" t="s">
        <v>134</v>
      </c>
      <c r="C291" s="77"/>
      <c r="D291" s="77"/>
      <c r="E291" s="77"/>
      <c r="F291" s="77"/>
      <c r="G291" s="76">
        <v>210000.0</v>
      </c>
      <c r="H291" s="77"/>
      <c r="I291" s="76" t="s">
        <v>112</v>
      </c>
      <c r="J291" s="76" t="s">
        <v>113</v>
      </c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</row>
    <row r="292" ht="24.0" customHeight="1">
      <c r="A292" s="76" t="s">
        <v>72</v>
      </c>
      <c r="B292" s="76" t="s">
        <v>135</v>
      </c>
      <c r="C292" s="77"/>
      <c r="D292" s="76">
        <v>130063.0</v>
      </c>
      <c r="E292" s="76">
        <v>4.69</v>
      </c>
      <c r="F292" s="77"/>
      <c r="G292" s="77"/>
      <c r="H292" s="76">
        <v>609995.4700000001</v>
      </c>
      <c r="I292" s="76" t="s">
        <v>113</v>
      </c>
      <c r="J292" s="76" t="s">
        <v>119</v>
      </c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</row>
    <row r="293" ht="24.0" customHeight="1">
      <c r="A293" s="76" t="s">
        <v>72</v>
      </c>
      <c r="B293" s="76" t="s">
        <v>129</v>
      </c>
      <c r="C293" s="76" t="s">
        <v>131</v>
      </c>
      <c r="D293" s="76">
        <v>10500.0</v>
      </c>
      <c r="E293" s="76">
        <v>4.73</v>
      </c>
      <c r="F293" s="76">
        <v>49665.00000000001</v>
      </c>
      <c r="G293" s="77"/>
      <c r="H293" s="77"/>
      <c r="I293" s="76" t="s">
        <v>119</v>
      </c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</row>
    <row r="294" ht="24.0" customHeight="1">
      <c r="A294" s="76" t="s">
        <v>72</v>
      </c>
      <c r="B294" s="76" t="s">
        <v>129</v>
      </c>
      <c r="C294" s="76" t="s">
        <v>138</v>
      </c>
      <c r="D294" s="76">
        <v>15500.0</v>
      </c>
      <c r="E294" s="76">
        <v>4.73</v>
      </c>
      <c r="F294" s="76">
        <v>73315.0</v>
      </c>
      <c r="G294" s="77"/>
      <c r="H294" s="77"/>
      <c r="I294" s="76" t="s">
        <v>119</v>
      </c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</row>
    <row r="295" ht="24.0" customHeight="1">
      <c r="A295" s="76" t="s">
        <v>72</v>
      </c>
      <c r="B295" s="76" t="s">
        <v>6</v>
      </c>
      <c r="C295" s="76" t="s">
        <v>130</v>
      </c>
      <c r="D295" s="77"/>
      <c r="E295" s="77"/>
      <c r="F295" s="77"/>
      <c r="G295" s="76">
        <v>150000.0</v>
      </c>
      <c r="H295" s="77"/>
      <c r="I295" s="77"/>
      <c r="J295" s="76" t="s">
        <v>113</v>
      </c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</row>
    <row r="296" ht="24.0" customHeight="1">
      <c r="A296" s="76" t="s">
        <v>72</v>
      </c>
      <c r="B296" s="76" t="s">
        <v>6</v>
      </c>
      <c r="C296" s="76" t="s">
        <v>130</v>
      </c>
      <c r="D296" s="77"/>
      <c r="E296" s="77"/>
      <c r="F296" s="77"/>
      <c r="G296" s="76">
        <v>77000.0</v>
      </c>
      <c r="H296" s="77"/>
      <c r="I296" s="77"/>
      <c r="J296" s="76" t="s">
        <v>112</v>
      </c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</row>
    <row r="297" ht="24.0" customHeight="1">
      <c r="A297" s="76" t="s">
        <v>72</v>
      </c>
      <c r="B297" s="76" t="s">
        <v>129</v>
      </c>
      <c r="C297" s="76" t="s">
        <v>133</v>
      </c>
      <c r="D297" s="76">
        <v>2299.0</v>
      </c>
      <c r="E297" s="76">
        <v>4.73</v>
      </c>
      <c r="F297" s="76">
        <v>10874.27</v>
      </c>
      <c r="G297" s="77"/>
      <c r="H297" s="77"/>
      <c r="I297" s="76" t="s">
        <v>119</v>
      </c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</row>
    <row r="298" ht="24.0" customHeight="1">
      <c r="A298" s="76" t="s">
        <v>72</v>
      </c>
      <c r="B298" s="76" t="s">
        <v>6</v>
      </c>
      <c r="C298" s="76" t="s">
        <v>133</v>
      </c>
      <c r="D298" s="77"/>
      <c r="E298" s="77"/>
      <c r="F298" s="77"/>
      <c r="G298" s="76">
        <v>150000.0</v>
      </c>
      <c r="H298" s="77"/>
      <c r="I298" s="77"/>
      <c r="J298" s="76" t="s">
        <v>113</v>
      </c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</row>
    <row r="299" ht="24.0" customHeight="1">
      <c r="A299" s="76" t="s">
        <v>72</v>
      </c>
      <c r="B299" s="76" t="s">
        <v>129</v>
      </c>
      <c r="C299" s="76" t="s">
        <v>155</v>
      </c>
      <c r="D299" s="76">
        <v>2000.0</v>
      </c>
      <c r="E299" s="76">
        <v>4.73</v>
      </c>
      <c r="F299" s="76">
        <v>9460.0</v>
      </c>
      <c r="G299" s="77"/>
      <c r="H299" s="77"/>
      <c r="I299" s="76" t="s">
        <v>119</v>
      </c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</row>
    <row r="300" ht="24.0" customHeight="1">
      <c r="A300" s="76" t="s">
        <v>73</v>
      </c>
      <c r="B300" s="76" t="s">
        <v>129</v>
      </c>
      <c r="C300" s="76" t="s">
        <v>130</v>
      </c>
      <c r="D300" s="76">
        <v>13600.0</v>
      </c>
      <c r="E300" s="76">
        <v>4.73</v>
      </c>
      <c r="F300" s="76">
        <v>64328.00000000001</v>
      </c>
      <c r="G300" s="77"/>
      <c r="H300" s="77"/>
      <c r="I300" s="76" t="s">
        <v>119</v>
      </c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</row>
    <row r="301" ht="24.0" customHeight="1">
      <c r="A301" s="76" t="s">
        <v>73</v>
      </c>
      <c r="B301" s="76" t="s">
        <v>6</v>
      </c>
      <c r="C301" s="76" t="s">
        <v>130</v>
      </c>
      <c r="D301" s="77"/>
      <c r="E301" s="77"/>
      <c r="F301" s="77"/>
      <c r="G301" s="76">
        <v>60000.0</v>
      </c>
      <c r="H301" s="77"/>
      <c r="I301" s="77"/>
      <c r="J301" s="76" t="s">
        <v>113</v>
      </c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</row>
    <row r="302" ht="24.0" customHeight="1">
      <c r="A302" s="76" t="s">
        <v>73</v>
      </c>
      <c r="B302" s="76" t="s">
        <v>129</v>
      </c>
      <c r="C302" s="76" t="s">
        <v>133</v>
      </c>
      <c r="D302" s="76">
        <v>16280.0</v>
      </c>
      <c r="E302" s="76">
        <v>4.73</v>
      </c>
      <c r="F302" s="76">
        <v>77004.40000000001</v>
      </c>
      <c r="G302" s="77"/>
      <c r="H302" s="77"/>
      <c r="I302" s="76" t="s">
        <v>119</v>
      </c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</row>
    <row r="303" ht="24.0" customHeight="1">
      <c r="A303" s="76" t="s">
        <v>74</v>
      </c>
      <c r="B303" s="76" t="s">
        <v>129</v>
      </c>
      <c r="C303" s="76" t="s">
        <v>130</v>
      </c>
      <c r="D303" s="76">
        <v>24000.0</v>
      </c>
      <c r="E303" s="76">
        <v>4.73</v>
      </c>
      <c r="F303" s="76">
        <v>113520.00000000001</v>
      </c>
      <c r="G303" s="77"/>
      <c r="H303" s="77"/>
      <c r="I303" s="76" t="s">
        <v>119</v>
      </c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</row>
    <row r="304" ht="24.0" customHeight="1">
      <c r="A304" s="76" t="s">
        <v>75</v>
      </c>
      <c r="B304" s="76" t="s">
        <v>6</v>
      </c>
      <c r="C304" s="76" t="s">
        <v>130</v>
      </c>
      <c r="D304" s="77"/>
      <c r="E304" s="77"/>
      <c r="F304" s="77"/>
      <c r="G304" s="76">
        <v>84800.0</v>
      </c>
      <c r="H304" s="77"/>
      <c r="I304" s="77"/>
      <c r="J304" s="76" t="s">
        <v>113</v>
      </c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</row>
    <row r="305" ht="24.0" customHeight="1">
      <c r="A305" s="76" t="s">
        <v>75</v>
      </c>
      <c r="B305" s="76" t="s">
        <v>6</v>
      </c>
      <c r="C305" s="76" t="s">
        <v>133</v>
      </c>
      <c r="D305" s="77"/>
      <c r="E305" s="77"/>
      <c r="F305" s="77"/>
      <c r="G305" s="76">
        <v>150000.0</v>
      </c>
      <c r="H305" s="77"/>
      <c r="I305" s="77"/>
      <c r="J305" s="76" t="s">
        <v>113</v>
      </c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</row>
    <row r="306" ht="24.0" customHeight="1">
      <c r="A306" s="76" t="s">
        <v>75</v>
      </c>
      <c r="B306" s="76" t="s">
        <v>6</v>
      </c>
      <c r="C306" s="76" t="s">
        <v>132</v>
      </c>
      <c r="D306" s="77"/>
      <c r="E306" s="77"/>
      <c r="F306" s="77"/>
      <c r="G306" s="76">
        <v>150000.0</v>
      </c>
      <c r="H306" s="77"/>
      <c r="I306" s="77"/>
      <c r="J306" s="76" t="s">
        <v>113</v>
      </c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</row>
    <row r="307" ht="24.0" customHeight="1">
      <c r="A307" s="76" t="s">
        <v>75</v>
      </c>
      <c r="B307" s="76" t="s">
        <v>135</v>
      </c>
      <c r="C307" s="77"/>
      <c r="D307" s="76">
        <v>132830.0</v>
      </c>
      <c r="E307" s="76">
        <v>4.68</v>
      </c>
      <c r="F307" s="77"/>
      <c r="G307" s="77"/>
      <c r="H307" s="76">
        <v>621644.3999999999</v>
      </c>
      <c r="I307" s="76" t="s">
        <v>113</v>
      </c>
      <c r="J307" s="76" t="s">
        <v>119</v>
      </c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</row>
    <row r="308" ht="24.0" customHeight="1">
      <c r="A308" s="76" t="s">
        <v>75</v>
      </c>
      <c r="B308" s="76" t="s">
        <v>129</v>
      </c>
      <c r="C308" s="76" t="s">
        <v>131</v>
      </c>
      <c r="D308" s="76">
        <v>7980.0</v>
      </c>
      <c r="E308" s="76">
        <v>4.73</v>
      </c>
      <c r="F308" s="76">
        <v>37745.4</v>
      </c>
      <c r="G308" s="77"/>
      <c r="H308" s="77"/>
      <c r="I308" s="76" t="s">
        <v>119</v>
      </c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</row>
    <row r="309" ht="24.0" customHeight="1">
      <c r="A309" s="76" t="s">
        <v>75</v>
      </c>
      <c r="B309" s="76" t="s">
        <v>6</v>
      </c>
      <c r="C309" s="76" t="s">
        <v>131</v>
      </c>
      <c r="D309" s="77"/>
      <c r="E309" s="77"/>
      <c r="F309" s="77"/>
      <c r="G309" s="76">
        <v>250000.0</v>
      </c>
      <c r="H309" s="77"/>
      <c r="I309" s="77"/>
      <c r="J309" s="76" t="s">
        <v>113</v>
      </c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</row>
    <row r="310" ht="24.0" customHeight="1">
      <c r="A310" s="76" t="s">
        <v>75</v>
      </c>
      <c r="B310" s="76" t="s">
        <v>129</v>
      </c>
      <c r="C310" s="76" t="s">
        <v>132</v>
      </c>
      <c r="D310" s="76">
        <v>5999.0</v>
      </c>
      <c r="E310" s="76">
        <v>4.73</v>
      </c>
      <c r="F310" s="76">
        <v>28375.270000000004</v>
      </c>
      <c r="G310" s="77"/>
      <c r="H310" s="77"/>
      <c r="I310" s="76" t="s">
        <v>119</v>
      </c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</row>
    <row r="311" ht="24.0" customHeight="1">
      <c r="A311" s="76" t="s">
        <v>75</v>
      </c>
      <c r="B311" s="76" t="s">
        <v>129</v>
      </c>
      <c r="C311" s="76" t="s">
        <v>138</v>
      </c>
      <c r="D311" s="76">
        <v>14899.0</v>
      </c>
      <c r="E311" s="76">
        <v>4.73</v>
      </c>
      <c r="F311" s="76">
        <v>70472.27</v>
      </c>
      <c r="G311" s="77"/>
      <c r="H311" s="77"/>
      <c r="I311" s="76" t="s">
        <v>119</v>
      </c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</row>
    <row r="312" ht="24.0" customHeight="1">
      <c r="A312" s="76" t="s">
        <v>75</v>
      </c>
      <c r="B312" s="76" t="s">
        <v>6</v>
      </c>
      <c r="C312" s="76" t="s">
        <v>130</v>
      </c>
      <c r="D312" s="77"/>
      <c r="E312" s="77"/>
      <c r="F312" s="77"/>
      <c r="G312" s="76">
        <v>150000.0</v>
      </c>
      <c r="H312" s="77"/>
      <c r="I312" s="77"/>
      <c r="J312" s="76" t="s">
        <v>112</v>
      </c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</row>
    <row r="313" ht="24.0" customHeight="1">
      <c r="A313" s="76" t="s">
        <v>75</v>
      </c>
      <c r="B313" s="76" t="s">
        <v>129</v>
      </c>
      <c r="C313" s="76" t="s">
        <v>130</v>
      </c>
      <c r="D313" s="76">
        <v>44150.0</v>
      </c>
      <c r="E313" s="76">
        <v>4.73</v>
      </c>
      <c r="F313" s="76">
        <v>208829.50000000003</v>
      </c>
      <c r="G313" s="77"/>
      <c r="H313" s="77"/>
      <c r="I313" s="76" t="s">
        <v>119</v>
      </c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</row>
    <row r="314" ht="24.0" customHeight="1">
      <c r="A314" s="76" t="s">
        <v>75</v>
      </c>
      <c r="B314" s="76" t="s">
        <v>129</v>
      </c>
      <c r="C314" s="76" t="s">
        <v>130</v>
      </c>
      <c r="D314" s="76">
        <v>46800.0</v>
      </c>
      <c r="E314" s="76">
        <v>4.73</v>
      </c>
      <c r="F314" s="76">
        <v>221364.00000000003</v>
      </c>
      <c r="G314" s="77"/>
      <c r="H314" s="77"/>
      <c r="I314" s="76" t="s">
        <v>119</v>
      </c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</row>
    <row r="315" ht="24.0" customHeight="1">
      <c r="A315" s="76" t="s">
        <v>75</v>
      </c>
      <c r="B315" s="76" t="s">
        <v>6</v>
      </c>
      <c r="C315" s="76" t="s">
        <v>130</v>
      </c>
      <c r="D315" s="77"/>
      <c r="E315" s="77"/>
      <c r="F315" s="77"/>
      <c r="G315" s="76">
        <v>150000.0</v>
      </c>
      <c r="H315" s="77"/>
      <c r="I315" s="77"/>
      <c r="J315" s="76" t="s">
        <v>113</v>
      </c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</row>
    <row r="316" ht="24.0" customHeight="1">
      <c r="A316" s="76" t="s">
        <v>75</v>
      </c>
      <c r="B316" s="76" t="s">
        <v>129</v>
      </c>
      <c r="C316" s="76" t="s">
        <v>131</v>
      </c>
      <c r="D316" s="76">
        <v>10000.0</v>
      </c>
      <c r="E316" s="76">
        <v>4.73</v>
      </c>
      <c r="F316" s="76">
        <v>47300.00000000001</v>
      </c>
      <c r="G316" s="77"/>
      <c r="H316" s="77"/>
      <c r="I316" s="76" t="s">
        <v>119</v>
      </c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</row>
    <row r="317" ht="24.0" customHeight="1">
      <c r="A317" s="76" t="s">
        <v>75</v>
      </c>
      <c r="B317" s="76" t="s">
        <v>6</v>
      </c>
      <c r="C317" s="76" t="s">
        <v>138</v>
      </c>
      <c r="D317" s="77"/>
      <c r="E317" s="77"/>
      <c r="F317" s="77"/>
      <c r="G317" s="76">
        <v>180000.0</v>
      </c>
      <c r="H317" s="77"/>
      <c r="I317" s="77"/>
      <c r="J317" s="76" t="s">
        <v>113</v>
      </c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</row>
    <row r="318" ht="24.0" customHeight="1">
      <c r="A318" s="76" t="s">
        <v>75</v>
      </c>
      <c r="B318" s="76" t="s">
        <v>129</v>
      </c>
      <c r="C318" s="76" t="s">
        <v>132</v>
      </c>
      <c r="D318" s="76">
        <v>2999.0</v>
      </c>
      <c r="E318" s="76">
        <v>4.73</v>
      </c>
      <c r="F318" s="76">
        <v>14185.27</v>
      </c>
      <c r="G318" s="77"/>
      <c r="H318" s="77"/>
      <c r="I318" s="76" t="s">
        <v>119</v>
      </c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</row>
    <row r="319" ht="24.0" customHeight="1">
      <c r="A319" s="76" t="s">
        <v>75</v>
      </c>
      <c r="B319" s="76" t="s">
        <v>6</v>
      </c>
      <c r="C319" s="76" t="s">
        <v>132</v>
      </c>
      <c r="D319" s="77"/>
      <c r="E319" s="77"/>
      <c r="F319" s="77"/>
      <c r="G319" s="76">
        <v>100000.0</v>
      </c>
      <c r="H319" s="77"/>
      <c r="I319" s="77"/>
      <c r="J319" s="76" t="s">
        <v>113</v>
      </c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</row>
    <row r="320" ht="24.0" customHeight="1">
      <c r="A320" s="76" t="s">
        <v>75</v>
      </c>
      <c r="B320" s="76" t="s">
        <v>129</v>
      </c>
      <c r="C320" s="76" t="s">
        <v>130</v>
      </c>
      <c r="D320" s="76">
        <v>27700.0</v>
      </c>
      <c r="E320" s="76">
        <v>4.72</v>
      </c>
      <c r="F320" s="76">
        <v>130744.0</v>
      </c>
      <c r="G320" s="77"/>
      <c r="H320" s="77"/>
      <c r="I320" s="76" t="s">
        <v>119</v>
      </c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</row>
    <row r="321" ht="24.0" customHeight="1">
      <c r="A321" s="76" t="s">
        <v>75</v>
      </c>
      <c r="B321" s="76" t="s">
        <v>129</v>
      </c>
      <c r="C321" s="76" t="s">
        <v>130</v>
      </c>
      <c r="D321" s="76">
        <v>58.0</v>
      </c>
      <c r="E321" s="76">
        <v>4.73</v>
      </c>
      <c r="F321" s="76">
        <v>274.34000000000003</v>
      </c>
      <c r="G321" s="77"/>
      <c r="H321" s="77"/>
      <c r="I321" s="76" t="s">
        <v>119</v>
      </c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</row>
    <row r="322" ht="24.0" customHeight="1">
      <c r="A322" s="76" t="s">
        <v>75</v>
      </c>
      <c r="B322" s="76" t="s">
        <v>129</v>
      </c>
      <c r="C322" s="76" t="s">
        <v>131</v>
      </c>
      <c r="D322" s="76">
        <v>11879.0</v>
      </c>
      <c r="E322" s="76">
        <v>4.73</v>
      </c>
      <c r="F322" s="76">
        <v>56187.670000000006</v>
      </c>
      <c r="G322" s="77"/>
      <c r="H322" s="77"/>
      <c r="I322" s="76" t="s">
        <v>119</v>
      </c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</row>
    <row r="323" ht="24.0" customHeight="1">
      <c r="A323" s="76" t="s">
        <v>75</v>
      </c>
      <c r="B323" s="76" t="s">
        <v>129</v>
      </c>
      <c r="C323" s="76" t="s">
        <v>132</v>
      </c>
      <c r="D323" s="76">
        <v>3000.0</v>
      </c>
      <c r="E323" s="76">
        <v>4.73</v>
      </c>
      <c r="F323" s="76">
        <v>14190.000000000002</v>
      </c>
      <c r="G323" s="77"/>
      <c r="H323" s="77"/>
      <c r="I323" s="76" t="s">
        <v>119</v>
      </c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</row>
    <row r="324" ht="24.0" customHeight="1">
      <c r="A324" s="76" t="s">
        <v>75</v>
      </c>
      <c r="B324" s="76" t="s">
        <v>129</v>
      </c>
      <c r="C324" s="76" t="s">
        <v>138</v>
      </c>
      <c r="D324" s="76">
        <v>28100.0</v>
      </c>
      <c r="E324" s="76">
        <v>4.73</v>
      </c>
      <c r="F324" s="76">
        <v>132913.0</v>
      </c>
      <c r="G324" s="77"/>
      <c r="H324" s="77"/>
      <c r="I324" s="76" t="s">
        <v>119</v>
      </c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</row>
    <row r="325" ht="24.0" customHeight="1">
      <c r="A325" s="76" t="s">
        <v>75</v>
      </c>
      <c r="B325" s="76" t="s">
        <v>129</v>
      </c>
      <c r="C325" s="76" t="s">
        <v>138</v>
      </c>
      <c r="D325" s="76">
        <v>14300.0</v>
      </c>
      <c r="E325" s="76">
        <v>4.73</v>
      </c>
      <c r="F325" s="76">
        <v>67639.0</v>
      </c>
      <c r="G325" s="77"/>
      <c r="H325" s="77"/>
      <c r="I325" s="76" t="s">
        <v>119</v>
      </c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</row>
    <row r="326" ht="24.0" customHeight="1">
      <c r="A326" s="76" t="s">
        <v>88</v>
      </c>
      <c r="B326" s="76" t="s">
        <v>134</v>
      </c>
      <c r="C326" s="77"/>
      <c r="D326" s="77"/>
      <c r="E326" s="77"/>
      <c r="F326" s="77"/>
      <c r="G326" s="76">
        <v>227000.0</v>
      </c>
      <c r="H326" s="77"/>
      <c r="I326" s="76" t="s">
        <v>112</v>
      </c>
      <c r="J326" s="76" t="s">
        <v>113</v>
      </c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</row>
    <row r="327" ht="24.0" customHeight="1">
      <c r="A327" s="76" t="s">
        <v>88</v>
      </c>
      <c r="B327" s="76" t="s">
        <v>129</v>
      </c>
      <c r="C327" s="76" t="s">
        <v>150</v>
      </c>
      <c r="D327" s="76">
        <v>1000.0</v>
      </c>
      <c r="E327" s="76">
        <v>4.73</v>
      </c>
      <c r="F327" s="76">
        <v>4730.0</v>
      </c>
      <c r="G327" s="77"/>
      <c r="H327" s="77"/>
      <c r="I327" s="76" t="s">
        <v>118</v>
      </c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</row>
    <row r="328" ht="24.0" customHeight="1">
      <c r="A328" s="76" t="s">
        <v>88</v>
      </c>
      <c r="B328" s="76" t="s">
        <v>6</v>
      </c>
      <c r="C328" s="76" t="s">
        <v>150</v>
      </c>
      <c r="D328" s="77"/>
      <c r="E328" s="77"/>
      <c r="F328" s="77"/>
      <c r="G328" s="76">
        <v>4730.0</v>
      </c>
      <c r="H328" s="77"/>
      <c r="I328" s="77"/>
      <c r="J328" s="76" t="s">
        <v>112</v>
      </c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</row>
    <row r="329" ht="24.0" customHeight="1">
      <c r="A329" s="76" t="s">
        <v>88</v>
      </c>
      <c r="B329" s="76" t="s">
        <v>135</v>
      </c>
      <c r="C329" s="77"/>
      <c r="D329" s="76">
        <v>150000.0</v>
      </c>
      <c r="E329" s="76">
        <v>4.63</v>
      </c>
      <c r="F329" s="77"/>
      <c r="G329" s="77"/>
      <c r="H329" s="76">
        <v>694500.0</v>
      </c>
      <c r="I329" s="76" t="s">
        <v>113</v>
      </c>
      <c r="J329" s="76" t="s">
        <v>119</v>
      </c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</row>
    <row r="330" ht="24.0" customHeight="1">
      <c r="A330" s="76" t="s">
        <v>88</v>
      </c>
      <c r="B330" s="76" t="s">
        <v>135</v>
      </c>
      <c r="C330" s="77"/>
      <c r="D330" s="76">
        <v>200000.0</v>
      </c>
      <c r="E330" s="76">
        <v>4.63</v>
      </c>
      <c r="F330" s="77"/>
      <c r="G330" s="77"/>
      <c r="H330" s="76">
        <v>926000.0</v>
      </c>
      <c r="I330" s="76" t="s">
        <v>113</v>
      </c>
      <c r="J330" s="76" t="s">
        <v>119</v>
      </c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</row>
    <row r="331" ht="24.0" customHeight="1">
      <c r="A331" s="76" t="s">
        <v>88</v>
      </c>
      <c r="B331" s="76" t="s">
        <v>134</v>
      </c>
      <c r="C331" s="77"/>
      <c r="D331" s="76">
        <v>51900.0</v>
      </c>
      <c r="E331" s="77"/>
      <c r="F331" s="77"/>
      <c r="G331" s="77"/>
      <c r="H331" s="77"/>
      <c r="I331" s="76" t="s">
        <v>119</v>
      </c>
      <c r="J331" s="76" t="s">
        <v>118</v>
      </c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</row>
    <row r="332" ht="24.0" customHeight="1">
      <c r="A332" s="76" t="s">
        <v>88</v>
      </c>
      <c r="B332" s="76" t="s">
        <v>129</v>
      </c>
      <c r="C332" s="76" t="s">
        <v>131</v>
      </c>
      <c r="D332" s="76">
        <v>500.0</v>
      </c>
      <c r="E332" s="76">
        <v>4.73</v>
      </c>
      <c r="F332" s="76">
        <v>2365.0</v>
      </c>
      <c r="G332" s="77"/>
      <c r="H332" s="77"/>
      <c r="I332" s="76" t="s">
        <v>119</v>
      </c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</row>
    <row r="333" ht="24.0" customHeight="1">
      <c r="A333" s="76" t="s">
        <v>88</v>
      </c>
      <c r="B333" s="76" t="s">
        <v>134</v>
      </c>
      <c r="C333" s="77"/>
      <c r="D333" s="76">
        <v>500.0</v>
      </c>
      <c r="E333" s="77"/>
      <c r="F333" s="77"/>
      <c r="G333" s="77"/>
      <c r="H333" s="77"/>
      <c r="I333" s="76" t="s">
        <v>118</v>
      </c>
      <c r="J333" s="76" t="s">
        <v>119</v>
      </c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</row>
    <row r="334" ht="24.0" customHeight="1">
      <c r="A334" s="76" t="s">
        <v>88</v>
      </c>
      <c r="B334" s="76" t="s">
        <v>129</v>
      </c>
      <c r="C334" s="76" t="s">
        <v>133</v>
      </c>
      <c r="D334" s="76">
        <v>8999.0</v>
      </c>
      <c r="E334" s="76">
        <v>4.73</v>
      </c>
      <c r="F334" s="76">
        <v>42565.270000000004</v>
      </c>
      <c r="G334" s="77"/>
      <c r="H334" s="77"/>
      <c r="I334" s="76" t="s">
        <v>118</v>
      </c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</row>
    <row r="335" ht="24.0" customHeight="1">
      <c r="A335" s="76" t="s">
        <v>76</v>
      </c>
      <c r="B335" s="76" t="s">
        <v>129</v>
      </c>
      <c r="C335" s="76" t="s">
        <v>130</v>
      </c>
      <c r="D335" s="76">
        <v>37400.0</v>
      </c>
      <c r="E335" s="76">
        <v>4.73</v>
      </c>
      <c r="F335" s="76">
        <v>176902.00000000003</v>
      </c>
      <c r="G335" s="77"/>
      <c r="H335" s="77"/>
      <c r="I335" s="76" t="s">
        <v>119</v>
      </c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</row>
    <row r="336" ht="24.0" customHeight="1">
      <c r="A336" s="76" t="s">
        <v>76</v>
      </c>
      <c r="B336" s="76" t="s">
        <v>6</v>
      </c>
      <c r="C336" s="76" t="s">
        <v>130</v>
      </c>
      <c r="D336" s="77"/>
      <c r="E336" s="77"/>
      <c r="F336" s="77"/>
      <c r="G336" s="76">
        <v>250000.0</v>
      </c>
      <c r="H336" s="77"/>
      <c r="I336" s="77"/>
      <c r="J336" s="76" t="s">
        <v>113</v>
      </c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</row>
    <row r="337" ht="24.0" customHeight="1">
      <c r="A337" s="76" t="s">
        <v>89</v>
      </c>
      <c r="B337" s="76" t="s">
        <v>129</v>
      </c>
      <c r="C337" s="76" t="s">
        <v>130</v>
      </c>
      <c r="D337" s="76">
        <v>41000.0</v>
      </c>
      <c r="E337" s="76">
        <v>4.73</v>
      </c>
      <c r="F337" s="76">
        <v>193930.00000000003</v>
      </c>
      <c r="G337" s="77"/>
      <c r="H337" s="77"/>
      <c r="I337" s="76" t="s">
        <v>119</v>
      </c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</row>
    <row r="338" ht="24.0" customHeight="1">
      <c r="A338" s="76" t="s">
        <v>89</v>
      </c>
      <c r="B338" s="76" t="s">
        <v>6</v>
      </c>
      <c r="C338" s="76" t="s">
        <v>131</v>
      </c>
      <c r="D338" s="77"/>
      <c r="E338" s="77"/>
      <c r="F338" s="77"/>
      <c r="G338" s="76">
        <v>34000.0</v>
      </c>
      <c r="H338" s="77"/>
      <c r="I338" s="77"/>
      <c r="J338" s="76" t="s">
        <v>113</v>
      </c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</row>
    <row r="339" ht="24.0" customHeight="1">
      <c r="A339" s="76" t="s">
        <v>89</v>
      </c>
      <c r="B339" s="76" t="s">
        <v>129</v>
      </c>
      <c r="C339" s="76" t="s">
        <v>133</v>
      </c>
      <c r="D339" s="76">
        <v>7579.0</v>
      </c>
      <c r="E339" s="76">
        <v>4.73</v>
      </c>
      <c r="F339" s="76">
        <v>35848.670000000006</v>
      </c>
      <c r="G339" s="77"/>
      <c r="H339" s="77"/>
      <c r="I339" s="76" t="s">
        <v>119</v>
      </c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</row>
    <row r="340" ht="24.0" customHeight="1">
      <c r="A340" s="76" t="s">
        <v>77</v>
      </c>
      <c r="B340" s="76" t="s">
        <v>6</v>
      </c>
      <c r="C340" s="76" t="s">
        <v>130</v>
      </c>
      <c r="D340" s="77"/>
      <c r="E340" s="77"/>
      <c r="F340" s="77"/>
      <c r="G340" s="76">
        <v>150000.0</v>
      </c>
      <c r="H340" s="77"/>
      <c r="I340" s="77"/>
      <c r="J340" s="76" t="s">
        <v>112</v>
      </c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</row>
    <row r="341" ht="24.0" customHeight="1">
      <c r="A341" s="76" t="s">
        <v>77</v>
      </c>
      <c r="B341" s="76" t="s">
        <v>129</v>
      </c>
      <c r="C341" s="76" t="s">
        <v>133</v>
      </c>
      <c r="D341" s="76">
        <v>16045.0</v>
      </c>
      <c r="E341" s="76">
        <v>4.73</v>
      </c>
      <c r="F341" s="76">
        <v>75892.85</v>
      </c>
      <c r="G341" s="77"/>
      <c r="H341" s="77"/>
      <c r="I341" s="76" t="s">
        <v>119</v>
      </c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</row>
    <row r="342" ht="24.0" customHeight="1">
      <c r="A342" s="76" t="s">
        <v>77</v>
      </c>
      <c r="B342" s="76" t="s">
        <v>129</v>
      </c>
      <c r="C342" s="76" t="s">
        <v>132</v>
      </c>
      <c r="D342" s="76">
        <v>1200.0</v>
      </c>
      <c r="E342" s="76">
        <v>4.73</v>
      </c>
      <c r="F342" s="76">
        <v>5676.000000000001</v>
      </c>
      <c r="G342" s="77"/>
      <c r="H342" s="77"/>
      <c r="I342" s="76" t="s">
        <v>119</v>
      </c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</row>
    <row r="343" ht="24.0" customHeight="1">
      <c r="A343" s="76" t="s">
        <v>77</v>
      </c>
      <c r="B343" s="76" t="s">
        <v>129</v>
      </c>
      <c r="C343" s="76" t="s">
        <v>144</v>
      </c>
      <c r="D343" s="76">
        <v>1057.0</v>
      </c>
      <c r="E343" s="76">
        <v>4.73</v>
      </c>
      <c r="F343" s="76">
        <v>4999.610000000001</v>
      </c>
      <c r="G343" s="77"/>
      <c r="H343" s="77"/>
      <c r="I343" s="76" t="s">
        <v>120</v>
      </c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</row>
    <row r="344" ht="24.0" customHeight="1">
      <c r="A344" s="76" t="s">
        <v>77</v>
      </c>
      <c r="B344" s="76" t="s">
        <v>6</v>
      </c>
      <c r="C344" s="76" t="s">
        <v>144</v>
      </c>
      <c r="D344" s="77"/>
      <c r="E344" s="77"/>
      <c r="F344" s="77"/>
      <c r="G344" s="76">
        <v>5000.0</v>
      </c>
      <c r="H344" s="77"/>
      <c r="I344" s="77"/>
      <c r="J344" s="76" t="s">
        <v>114</v>
      </c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</row>
    <row r="345" ht="24.0" customHeight="1">
      <c r="A345" s="76" t="s">
        <v>77</v>
      </c>
      <c r="B345" s="76" t="s">
        <v>129</v>
      </c>
      <c r="C345" s="76" t="s">
        <v>154</v>
      </c>
      <c r="D345" s="76">
        <v>2000.0</v>
      </c>
      <c r="E345" s="76">
        <v>4.73</v>
      </c>
      <c r="F345" s="76">
        <v>9460.0</v>
      </c>
      <c r="G345" s="77"/>
      <c r="H345" s="77"/>
      <c r="I345" s="76" t="s">
        <v>118</v>
      </c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</row>
    <row r="346" ht="24.0" customHeight="1">
      <c r="A346" s="76" t="s">
        <v>77</v>
      </c>
      <c r="B346" s="76" t="s">
        <v>6</v>
      </c>
      <c r="C346" s="76" t="s">
        <v>154</v>
      </c>
      <c r="D346" s="77"/>
      <c r="E346" s="77"/>
      <c r="F346" s="77"/>
      <c r="G346" s="76">
        <v>9460.0</v>
      </c>
      <c r="H346" s="77"/>
      <c r="I346" s="77"/>
      <c r="J346" s="76" t="s">
        <v>112</v>
      </c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</row>
    <row r="347" ht="24.0" customHeight="1">
      <c r="A347" s="76" t="s">
        <v>78</v>
      </c>
      <c r="B347" s="76" t="s">
        <v>129</v>
      </c>
      <c r="C347" s="76" t="s">
        <v>130</v>
      </c>
      <c r="D347" s="76">
        <v>9500.0</v>
      </c>
      <c r="E347" s="76">
        <v>4.73</v>
      </c>
      <c r="F347" s="76">
        <v>44935.00000000001</v>
      </c>
      <c r="G347" s="77"/>
      <c r="H347" s="77"/>
      <c r="I347" s="76" t="s">
        <v>119</v>
      </c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</row>
    <row r="348" ht="24.0" customHeight="1">
      <c r="A348" s="76" t="s">
        <v>78</v>
      </c>
      <c r="B348" s="76" t="s">
        <v>6</v>
      </c>
      <c r="C348" s="76" t="s">
        <v>130</v>
      </c>
      <c r="D348" s="77"/>
      <c r="E348" s="77"/>
      <c r="F348" s="77"/>
      <c r="G348" s="76">
        <v>68800.0</v>
      </c>
      <c r="H348" s="77"/>
      <c r="I348" s="77"/>
      <c r="J348" s="76" t="s">
        <v>112</v>
      </c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</row>
    <row r="349" ht="24.0" customHeight="1">
      <c r="A349" s="76" t="s">
        <v>78</v>
      </c>
      <c r="B349" s="76" t="s">
        <v>129</v>
      </c>
      <c r="C349" s="76" t="s">
        <v>133</v>
      </c>
      <c r="D349" s="76">
        <v>7999.0</v>
      </c>
      <c r="E349" s="76">
        <v>4.73</v>
      </c>
      <c r="F349" s="76">
        <v>37835.270000000004</v>
      </c>
      <c r="G349" s="77"/>
      <c r="H349" s="77"/>
      <c r="I349" s="76" t="s">
        <v>119</v>
      </c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</row>
    <row r="350" ht="24.0" customHeight="1">
      <c r="A350" s="76" t="s">
        <v>78</v>
      </c>
      <c r="B350" s="76" t="s">
        <v>129</v>
      </c>
      <c r="C350" s="76" t="s">
        <v>132</v>
      </c>
      <c r="D350" s="76">
        <v>6400.0</v>
      </c>
      <c r="E350" s="76">
        <v>4.73</v>
      </c>
      <c r="F350" s="76">
        <v>30272.000000000004</v>
      </c>
      <c r="G350" s="77"/>
      <c r="H350" s="77"/>
      <c r="I350" s="76" t="s">
        <v>119</v>
      </c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</row>
    <row r="351" ht="24.0" customHeight="1">
      <c r="A351" s="76" t="s">
        <v>78</v>
      </c>
      <c r="B351" s="76" t="s">
        <v>129</v>
      </c>
      <c r="C351" s="76" t="s">
        <v>131</v>
      </c>
      <c r="D351" s="76">
        <v>16650.0</v>
      </c>
      <c r="E351" s="76">
        <v>4.73</v>
      </c>
      <c r="F351" s="76">
        <v>78754.5</v>
      </c>
      <c r="G351" s="77"/>
      <c r="H351" s="77"/>
      <c r="I351" s="76" t="s">
        <v>118</v>
      </c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</row>
    <row r="352" ht="24.0" customHeight="1">
      <c r="A352" s="76" t="s">
        <v>78</v>
      </c>
      <c r="B352" s="76" t="s">
        <v>129</v>
      </c>
      <c r="C352" s="76" t="s">
        <v>154</v>
      </c>
      <c r="D352" s="76">
        <v>2000.0</v>
      </c>
      <c r="E352" s="76">
        <v>4.73</v>
      </c>
      <c r="F352" s="76">
        <v>9460.0</v>
      </c>
      <c r="G352" s="77"/>
      <c r="H352" s="77"/>
      <c r="I352" s="76" t="s">
        <v>118</v>
      </c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</row>
    <row r="353" ht="24.0" customHeight="1">
      <c r="A353" s="76" t="s">
        <v>78</v>
      </c>
      <c r="B353" s="76" t="s">
        <v>6</v>
      </c>
      <c r="C353" s="76" t="s">
        <v>154</v>
      </c>
      <c r="D353" s="77"/>
      <c r="E353" s="77"/>
      <c r="F353" s="77"/>
      <c r="G353" s="76">
        <v>9460.0</v>
      </c>
      <c r="H353" s="77"/>
      <c r="I353" s="77"/>
      <c r="J353" s="76" t="s">
        <v>112</v>
      </c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</row>
    <row r="354" ht="24.0" customHeight="1">
      <c r="A354" s="76" t="s">
        <v>79</v>
      </c>
      <c r="B354" s="76" t="s">
        <v>129</v>
      </c>
      <c r="C354" s="76" t="s">
        <v>138</v>
      </c>
      <c r="D354" s="76">
        <v>17800.0</v>
      </c>
      <c r="E354" s="76">
        <v>4.73</v>
      </c>
      <c r="F354" s="76">
        <v>84194.00000000001</v>
      </c>
      <c r="G354" s="77"/>
      <c r="H354" s="77"/>
      <c r="I354" s="76" t="s">
        <v>118</v>
      </c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</row>
    <row r="355" ht="24.0" customHeight="1">
      <c r="A355" s="76" t="s">
        <v>79</v>
      </c>
      <c r="B355" s="76" t="s">
        <v>134</v>
      </c>
      <c r="C355" s="77"/>
      <c r="D355" s="76">
        <v>500.0</v>
      </c>
      <c r="E355" s="77"/>
      <c r="F355" s="77"/>
      <c r="G355" s="77"/>
      <c r="H355" s="77"/>
      <c r="I355" s="76" t="s">
        <v>118</v>
      </c>
      <c r="J355" s="76" t="s">
        <v>119</v>
      </c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</row>
    <row r="356" ht="24.0" customHeight="1">
      <c r="A356" s="76" t="s">
        <v>79</v>
      </c>
      <c r="B356" s="76" t="s">
        <v>6</v>
      </c>
      <c r="C356" s="76" t="s">
        <v>130</v>
      </c>
      <c r="D356" s="77"/>
      <c r="E356" s="77"/>
      <c r="F356" s="77"/>
      <c r="G356" s="76">
        <v>300000.0</v>
      </c>
      <c r="H356" s="77"/>
      <c r="I356" s="77"/>
      <c r="J356" s="76" t="s">
        <v>113</v>
      </c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</row>
    <row r="357" ht="24.0" customHeight="1">
      <c r="A357" s="76" t="s">
        <v>90</v>
      </c>
      <c r="B357" s="76" t="s">
        <v>6</v>
      </c>
      <c r="C357" s="76" t="s">
        <v>131</v>
      </c>
      <c r="D357" s="77"/>
      <c r="E357" s="77"/>
      <c r="F357" s="77"/>
      <c r="G357" s="76">
        <v>100000.0</v>
      </c>
      <c r="H357" s="77"/>
      <c r="I357" s="77"/>
      <c r="J357" s="76" t="s">
        <v>113</v>
      </c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</row>
    <row r="358" ht="24.0" customHeight="1">
      <c r="A358" s="76" t="s">
        <v>90</v>
      </c>
      <c r="B358" s="76" t="s">
        <v>6</v>
      </c>
      <c r="C358" s="76" t="s">
        <v>133</v>
      </c>
      <c r="D358" s="77"/>
      <c r="E358" s="77"/>
      <c r="F358" s="77"/>
      <c r="G358" s="76">
        <v>200000.0</v>
      </c>
      <c r="H358" s="77"/>
      <c r="I358" s="77"/>
      <c r="J358" s="76" t="s">
        <v>113</v>
      </c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</row>
    <row r="359" ht="24.0" customHeight="1">
      <c r="A359" s="76" t="s">
        <v>80</v>
      </c>
      <c r="B359" s="76" t="s">
        <v>129</v>
      </c>
      <c r="C359" s="76" t="s">
        <v>132</v>
      </c>
      <c r="D359" s="76">
        <v>8700.0</v>
      </c>
      <c r="E359" s="76">
        <v>4.73</v>
      </c>
      <c r="F359" s="76">
        <v>41151.00000000001</v>
      </c>
      <c r="G359" s="77"/>
      <c r="H359" s="77"/>
      <c r="I359" s="76" t="s">
        <v>119</v>
      </c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</row>
    <row r="360" ht="24.0" customHeight="1">
      <c r="A360" s="76" t="s">
        <v>80</v>
      </c>
      <c r="B360" s="76" t="s">
        <v>129</v>
      </c>
      <c r="C360" s="76" t="s">
        <v>138</v>
      </c>
      <c r="D360" s="76">
        <v>5700.0</v>
      </c>
      <c r="E360" s="76">
        <v>4.73</v>
      </c>
      <c r="F360" s="76">
        <v>26961.000000000004</v>
      </c>
      <c r="G360" s="77"/>
      <c r="H360" s="77"/>
      <c r="I360" s="76" t="s">
        <v>119</v>
      </c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</row>
    <row r="361" ht="24.0" customHeight="1">
      <c r="A361" s="76" t="s">
        <v>80</v>
      </c>
      <c r="B361" s="76" t="s">
        <v>6</v>
      </c>
      <c r="C361" s="76" t="s">
        <v>138</v>
      </c>
      <c r="D361" s="77"/>
      <c r="E361" s="77"/>
      <c r="F361" s="77"/>
      <c r="G361" s="76">
        <v>100000.0</v>
      </c>
      <c r="H361" s="77"/>
      <c r="I361" s="77"/>
      <c r="J361" s="76" t="s">
        <v>113</v>
      </c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</row>
    <row r="362" ht="24.0" customHeight="1">
      <c r="A362" s="76" t="s">
        <v>80</v>
      </c>
      <c r="B362" s="76" t="s">
        <v>134</v>
      </c>
      <c r="C362" s="77"/>
      <c r="D362" s="77"/>
      <c r="E362" s="77"/>
      <c r="F362" s="77"/>
      <c r="G362" s="76">
        <v>242000.0</v>
      </c>
      <c r="H362" s="77"/>
      <c r="I362" s="76" t="s">
        <v>112</v>
      </c>
      <c r="J362" s="76" t="s">
        <v>113</v>
      </c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</row>
    <row r="363" ht="24.0" customHeight="1">
      <c r="A363" s="76" t="s">
        <v>80</v>
      </c>
      <c r="B363" s="76" t="s">
        <v>135</v>
      </c>
      <c r="C363" s="77"/>
      <c r="D363" s="76">
        <v>200000.0</v>
      </c>
      <c r="E363" s="76">
        <v>4.69</v>
      </c>
      <c r="F363" s="77"/>
      <c r="G363" s="77"/>
      <c r="H363" s="76">
        <v>938000.0000000001</v>
      </c>
      <c r="I363" s="76" t="s">
        <v>113</v>
      </c>
      <c r="J363" s="76" t="s">
        <v>119</v>
      </c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</row>
    <row r="364" ht="24.0" customHeight="1">
      <c r="A364" s="76" t="s">
        <v>80</v>
      </c>
      <c r="B364" s="76" t="s">
        <v>129</v>
      </c>
      <c r="C364" s="76" t="s">
        <v>130</v>
      </c>
      <c r="D364" s="76">
        <v>50000.0</v>
      </c>
      <c r="E364" s="76">
        <v>4.73</v>
      </c>
      <c r="F364" s="76">
        <v>236500.00000000003</v>
      </c>
      <c r="G364" s="77"/>
      <c r="H364" s="77"/>
      <c r="I364" s="76" t="s">
        <v>119</v>
      </c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</row>
    <row r="365" ht="24.0" customHeight="1">
      <c r="A365" s="76" t="s">
        <v>80</v>
      </c>
      <c r="B365" s="76" t="s">
        <v>129</v>
      </c>
      <c r="C365" s="76" t="s">
        <v>131</v>
      </c>
      <c r="D365" s="76">
        <v>19499.0</v>
      </c>
      <c r="E365" s="76">
        <v>4.73</v>
      </c>
      <c r="F365" s="76">
        <v>92230.27</v>
      </c>
      <c r="G365" s="77"/>
      <c r="H365" s="77"/>
      <c r="I365" s="76" t="s">
        <v>119</v>
      </c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</row>
    <row r="366" ht="24.0" customHeight="1">
      <c r="A366" s="76" t="s">
        <v>80</v>
      </c>
      <c r="B366" s="76" t="s">
        <v>129</v>
      </c>
      <c r="C366" s="76" t="s">
        <v>138</v>
      </c>
      <c r="D366" s="76">
        <v>4500.0</v>
      </c>
      <c r="E366" s="76">
        <v>4.73</v>
      </c>
      <c r="F366" s="76">
        <v>21285.000000000004</v>
      </c>
      <c r="G366" s="77"/>
      <c r="H366" s="77"/>
      <c r="I366" s="76" t="s">
        <v>119</v>
      </c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</row>
    <row r="367" ht="24.0" customHeight="1">
      <c r="A367" s="76" t="s">
        <v>80</v>
      </c>
      <c r="B367" s="76" t="s">
        <v>129</v>
      </c>
      <c r="C367" s="76" t="s">
        <v>154</v>
      </c>
      <c r="D367" s="76">
        <v>1500.0</v>
      </c>
      <c r="E367" s="76">
        <v>4.73</v>
      </c>
      <c r="F367" s="76">
        <v>7095.000000000001</v>
      </c>
      <c r="G367" s="77"/>
      <c r="H367" s="77"/>
      <c r="I367" s="76" t="s">
        <v>119</v>
      </c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</row>
    <row r="368" ht="24.0" customHeight="1">
      <c r="A368" s="76" t="s">
        <v>80</v>
      </c>
      <c r="B368" s="76" t="s">
        <v>6</v>
      </c>
      <c r="C368" s="76" t="s">
        <v>154</v>
      </c>
      <c r="D368" s="77"/>
      <c r="E368" s="77"/>
      <c r="F368" s="77"/>
      <c r="G368" s="76">
        <v>7095.0</v>
      </c>
      <c r="H368" s="77"/>
      <c r="I368" s="77"/>
      <c r="J368" s="76" t="s">
        <v>112</v>
      </c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</row>
    <row r="369" ht="24.0" customHeight="1">
      <c r="A369" s="76" t="s">
        <v>81</v>
      </c>
      <c r="B369" s="76" t="s">
        <v>129</v>
      </c>
      <c r="C369" s="76" t="s">
        <v>130</v>
      </c>
      <c r="D369" s="76">
        <v>51800.0</v>
      </c>
      <c r="E369" s="76">
        <v>4.73</v>
      </c>
      <c r="F369" s="76">
        <v>245014.00000000003</v>
      </c>
      <c r="G369" s="77"/>
      <c r="H369" s="77"/>
      <c r="I369" s="76" t="s">
        <v>119</v>
      </c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</row>
    <row r="370" ht="24.0" customHeight="1">
      <c r="A370" s="76" t="s">
        <v>81</v>
      </c>
      <c r="B370" s="76" t="s">
        <v>129</v>
      </c>
      <c r="C370" s="76" t="s">
        <v>131</v>
      </c>
      <c r="D370" s="76">
        <v>48968.0</v>
      </c>
      <c r="E370" s="76">
        <v>4.73</v>
      </c>
      <c r="F370" s="76">
        <v>231618.64</v>
      </c>
      <c r="G370" s="77"/>
      <c r="H370" s="77"/>
      <c r="I370" s="76" t="s">
        <v>119</v>
      </c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</row>
    <row r="371" ht="24.0" customHeight="1">
      <c r="A371" s="76" t="s">
        <v>81</v>
      </c>
      <c r="B371" s="76" t="s">
        <v>6</v>
      </c>
      <c r="C371" s="76" t="s">
        <v>131</v>
      </c>
      <c r="D371" s="77"/>
      <c r="E371" s="77"/>
      <c r="F371" s="77"/>
      <c r="G371" s="76">
        <v>20000.0</v>
      </c>
      <c r="H371" s="77"/>
      <c r="I371" s="77"/>
      <c r="J371" s="76" t="s">
        <v>113</v>
      </c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</row>
    <row r="372" ht="24.0" customHeight="1">
      <c r="A372" s="76" t="s">
        <v>81</v>
      </c>
      <c r="B372" s="76" t="s">
        <v>129</v>
      </c>
      <c r="C372" s="76" t="s">
        <v>133</v>
      </c>
      <c r="D372" s="76">
        <v>1499.0</v>
      </c>
      <c r="E372" s="76">
        <v>4.73</v>
      </c>
      <c r="F372" s="76">
        <v>7090.27</v>
      </c>
      <c r="G372" s="77"/>
      <c r="H372" s="77"/>
      <c r="I372" s="76" t="s">
        <v>119</v>
      </c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</row>
    <row r="373" ht="24.0" customHeight="1">
      <c r="A373" s="76" t="s">
        <v>81</v>
      </c>
      <c r="B373" s="76" t="s">
        <v>6</v>
      </c>
      <c r="C373" s="76" t="s">
        <v>130</v>
      </c>
      <c r="D373" s="77"/>
      <c r="E373" s="77"/>
      <c r="F373" s="77"/>
      <c r="G373" s="76">
        <v>73000.0</v>
      </c>
      <c r="H373" s="77"/>
      <c r="I373" s="77"/>
      <c r="J373" s="76" t="s">
        <v>112</v>
      </c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</row>
    <row r="374" ht="24.0" customHeight="1">
      <c r="A374" s="76" t="s">
        <v>81</v>
      </c>
      <c r="B374" s="76" t="s">
        <v>129</v>
      </c>
      <c r="C374" s="76" t="s">
        <v>131</v>
      </c>
      <c r="D374" s="76">
        <v>19200.0</v>
      </c>
      <c r="E374" s="76">
        <v>4.73</v>
      </c>
      <c r="F374" s="76">
        <v>90816.00000000001</v>
      </c>
      <c r="G374" s="77"/>
      <c r="H374" s="77"/>
      <c r="I374" s="76" t="s">
        <v>119</v>
      </c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</row>
    <row r="375" ht="24.0" customHeight="1">
      <c r="A375" s="76" t="s">
        <v>96</v>
      </c>
      <c r="B375" s="76" t="s">
        <v>129</v>
      </c>
      <c r="C375" s="76" t="s">
        <v>138</v>
      </c>
      <c r="D375" s="76">
        <v>28000.0</v>
      </c>
      <c r="E375" s="76">
        <v>4.73</v>
      </c>
      <c r="F375" s="76">
        <v>132440.0</v>
      </c>
      <c r="G375" s="77"/>
      <c r="H375" s="77"/>
      <c r="I375" s="76" t="s">
        <v>119</v>
      </c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</row>
    <row r="376" ht="24.0" customHeight="1">
      <c r="A376" s="76" t="s">
        <v>96</v>
      </c>
      <c r="B376" s="76" t="s">
        <v>129</v>
      </c>
      <c r="C376" s="76" t="s">
        <v>132</v>
      </c>
      <c r="D376" s="76">
        <v>2380.0</v>
      </c>
      <c r="E376" s="76">
        <v>4.73</v>
      </c>
      <c r="F376" s="76">
        <v>11257.400000000001</v>
      </c>
      <c r="G376" s="77"/>
      <c r="H376" s="77"/>
      <c r="I376" s="76" t="s">
        <v>119</v>
      </c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</row>
    <row r="377" ht="24.0" customHeight="1">
      <c r="A377" s="76" t="s">
        <v>82</v>
      </c>
      <c r="B377" s="76" t="s">
        <v>6</v>
      </c>
      <c r="C377" s="76" t="s">
        <v>130</v>
      </c>
      <c r="D377" s="77"/>
      <c r="E377" s="77"/>
      <c r="F377" s="77"/>
      <c r="G377" s="76">
        <v>79300.0</v>
      </c>
      <c r="H377" s="77"/>
      <c r="I377" s="77"/>
      <c r="J377" s="76" t="s">
        <v>112</v>
      </c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</row>
    <row r="378" ht="24.0" customHeight="1">
      <c r="A378" s="76" t="s">
        <v>82</v>
      </c>
      <c r="B378" s="76" t="s">
        <v>129</v>
      </c>
      <c r="C378" s="76" t="s">
        <v>130</v>
      </c>
      <c r="D378" s="76">
        <v>59900.0</v>
      </c>
      <c r="E378" s="76">
        <v>4.73</v>
      </c>
      <c r="F378" s="76">
        <v>283327.0</v>
      </c>
      <c r="G378" s="77"/>
      <c r="H378" s="77"/>
      <c r="I378" s="76" t="s">
        <v>119</v>
      </c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</row>
    <row r="379" ht="24.0" customHeight="1">
      <c r="A379" s="76" t="s">
        <v>82</v>
      </c>
      <c r="B379" s="76" t="s">
        <v>134</v>
      </c>
      <c r="C379" s="77"/>
      <c r="D379" s="77"/>
      <c r="E379" s="77"/>
      <c r="F379" s="77"/>
      <c r="G379" s="76">
        <v>5000.0</v>
      </c>
      <c r="H379" s="77"/>
      <c r="I379" s="76" t="s">
        <v>114</v>
      </c>
      <c r="J379" s="76" t="s">
        <v>113</v>
      </c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</row>
    <row r="380" ht="24.0" customHeight="1">
      <c r="A380" s="76" t="s">
        <v>82</v>
      </c>
      <c r="B380" s="76" t="s">
        <v>6</v>
      </c>
      <c r="C380" s="76" t="s">
        <v>131</v>
      </c>
      <c r="D380" s="77"/>
      <c r="E380" s="77"/>
      <c r="F380" s="77"/>
      <c r="G380" s="76">
        <v>200000.0</v>
      </c>
      <c r="H380" s="77"/>
      <c r="I380" s="77"/>
      <c r="J380" s="76" t="s">
        <v>113</v>
      </c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</row>
    <row r="381" ht="24.0" customHeight="1">
      <c r="A381" s="76" t="s">
        <v>82</v>
      </c>
      <c r="B381" s="76" t="s">
        <v>6</v>
      </c>
      <c r="C381" s="76" t="s">
        <v>138</v>
      </c>
      <c r="D381" s="77"/>
      <c r="E381" s="77"/>
      <c r="F381" s="77"/>
      <c r="G381" s="76">
        <v>150000.0</v>
      </c>
      <c r="H381" s="77"/>
      <c r="I381" s="77"/>
      <c r="J381" s="76" t="s">
        <v>113</v>
      </c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</row>
    <row r="382" ht="24.0" customHeight="1">
      <c r="A382" s="76" t="s">
        <v>83</v>
      </c>
      <c r="B382" s="76" t="s">
        <v>129</v>
      </c>
      <c r="C382" s="76" t="s">
        <v>131</v>
      </c>
      <c r="D382" s="76">
        <v>9700.0</v>
      </c>
      <c r="E382" s="76">
        <v>4.73</v>
      </c>
      <c r="F382" s="76">
        <v>45881.00000000001</v>
      </c>
      <c r="G382" s="77"/>
      <c r="H382" s="77"/>
      <c r="I382" s="76" t="s">
        <v>119</v>
      </c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</row>
    <row r="383" ht="24.0" customHeight="1">
      <c r="A383" s="76" t="s">
        <v>83</v>
      </c>
      <c r="B383" s="76" t="s">
        <v>129</v>
      </c>
      <c r="C383" s="76" t="s">
        <v>132</v>
      </c>
      <c r="D383" s="76">
        <v>13700.0</v>
      </c>
      <c r="E383" s="76">
        <v>4.73</v>
      </c>
      <c r="F383" s="76">
        <v>64801.00000000001</v>
      </c>
      <c r="G383" s="77"/>
      <c r="H383" s="77"/>
      <c r="I383" s="76" t="s">
        <v>119</v>
      </c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</row>
    <row r="384" ht="24.0" customHeight="1">
      <c r="A384" s="76" t="s">
        <v>83</v>
      </c>
      <c r="B384" s="76" t="s">
        <v>6</v>
      </c>
      <c r="C384" s="76" t="s">
        <v>130</v>
      </c>
      <c r="D384" s="77"/>
      <c r="E384" s="77"/>
      <c r="F384" s="77"/>
      <c r="G384" s="76">
        <v>47554.0</v>
      </c>
      <c r="H384" s="77"/>
      <c r="I384" s="77"/>
      <c r="J384" s="76" t="s">
        <v>114</v>
      </c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</row>
    <row r="385" ht="24.0" customHeight="1">
      <c r="A385" s="76" t="s">
        <v>84</v>
      </c>
      <c r="B385" s="76" t="s">
        <v>6</v>
      </c>
      <c r="C385" s="76" t="s">
        <v>131</v>
      </c>
      <c r="D385" s="77"/>
      <c r="E385" s="77"/>
      <c r="F385" s="77"/>
      <c r="G385" s="76">
        <v>71000.0</v>
      </c>
      <c r="H385" s="77"/>
      <c r="I385" s="77"/>
      <c r="J385" s="76" t="s">
        <v>113</v>
      </c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</row>
    <row r="386" ht="24.0" customHeight="1">
      <c r="A386" s="76" t="s">
        <v>84</v>
      </c>
      <c r="B386" s="76" t="s">
        <v>129</v>
      </c>
      <c r="C386" s="76" t="s">
        <v>131</v>
      </c>
      <c r="D386" s="76">
        <v>34380.0</v>
      </c>
      <c r="E386" s="76">
        <v>4.73</v>
      </c>
      <c r="F386" s="76">
        <v>162617.40000000002</v>
      </c>
      <c r="G386" s="77"/>
      <c r="H386" s="77"/>
      <c r="I386" s="76" t="s">
        <v>119</v>
      </c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</row>
    <row r="387" ht="24.0" customHeight="1">
      <c r="A387" s="76" t="s">
        <v>84</v>
      </c>
      <c r="B387" s="76" t="s">
        <v>6</v>
      </c>
      <c r="C387" s="76" t="s">
        <v>132</v>
      </c>
      <c r="D387" s="77"/>
      <c r="E387" s="77"/>
      <c r="F387" s="77"/>
      <c r="G387" s="76">
        <v>120000.0</v>
      </c>
      <c r="H387" s="77"/>
      <c r="I387" s="77"/>
      <c r="J387" s="76" t="s">
        <v>114</v>
      </c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</row>
    <row r="388" ht="24.0" customHeight="1">
      <c r="A388" s="76" t="s">
        <v>84</v>
      </c>
      <c r="B388" s="76" t="s">
        <v>6</v>
      </c>
      <c r="C388" s="76" t="s">
        <v>130</v>
      </c>
      <c r="D388" s="77"/>
      <c r="E388" s="77"/>
      <c r="F388" s="77"/>
      <c r="G388" s="76">
        <v>200000.0</v>
      </c>
      <c r="H388" s="77"/>
      <c r="I388" s="77"/>
      <c r="J388" s="76" t="s">
        <v>112</v>
      </c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</row>
    <row r="389" ht="24.0" customHeight="1">
      <c r="A389" s="76" t="s">
        <v>85</v>
      </c>
      <c r="B389" s="76" t="s">
        <v>129</v>
      </c>
      <c r="C389" s="76" t="s">
        <v>130</v>
      </c>
      <c r="D389" s="76">
        <v>18900.0</v>
      </c>
      <c r="E389" s="76">
        <v>4.73</v>
      </c>
      <c r="F389" s="76">
        <v>89397.00000000001</v>
      </c>
      <c r="G389" s="77"/>
      <c r="H389" s="77"/>
      <c r="I389" s="76" t="s">
        <v>119</v>
      </c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</row>
    <row r="390" ht="24.0" customHeight="1">
      <c r="A390" s="76" t="s">
        <v>85</v>
      </c>
      <c r="B390" s="76" t="s">
        <v>6</v>
      </c>
      <c r="C390" s="76" t="s">
        <v>133</v>
      </c>
      <c r="D390" s="77"/>
      <c r="E390" s="77"/>
      <c r="F390" s="77"/>
      <c r="G390" s="76">
        <v>80000.0</v>
      </c>
      <c r="H390" s="77"/>
      <c r="I390" s="77"/>
      <c r="J390" s="76" t="s">
        <v>114</v>
      </c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</row>
    <row r="391" ht="24.0" customHeight="1">
      <c r="A391" s="76" t="s">
        <v>85</v>
      </c>
      <c r="B391" s="76" t="s">
        <v>129</v>
      </c>
      <c r="C391" s="76" t="s">
        <v>132</v>
      </c>
      <c r="D391" s="76">
        <v>13800.0</v>
      </c>
      <c r="E391" s="76">
        <v>4.73</v>
      </c>
      <c r="F391" s="76">
        <v>65274.00000000001</v>
      </c>
      <c r="G391" s="77"/>
      <c r="H391" s="77"/>
      <c r="I391" s="76" t="s">
        <v>119</v>
      </c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</row>
    <row r="392" ht="24.0" customHeight="1">
      <c r="A392" s="76" t="s">
        <v>85</v>
      </c>
      <c r="B392" s="76" t="s">
        <v>134</v>
      </c>
      <c r="C392" s="77"/>
      <c r="D392" s="77"/>
      <c r="E392" s="77"/>
      <c r="F392" s="77"/>
      <c r="G392" s="76">
        <v>200000.0</v>
      </c>
      <c r="H392" s="77"/>
      <c r="I392" s="76" t="s">
        <v>112</v>
      </c>
      <c r="J392" s="76" t="s">
        <v>114</v>
      </c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</row>
    <row r="393" ht="24.0" customHeight="1">
      <c r="A393" s="76" t="s">
        <v>85</v>
      </c>
      <c r="B393" s="76" t="s">
        <v>6</v>
      </c>
      <c r="C393" s="76" t="s">
        <v>130</v>
      </c>
      <c r="D393" s="77"/>
      <c r="E393" s="77"/>
      <c r="F393" s="77"/>
      <c r="G393" s="76">
        <v>70000.0</v>
      </c>
      <c r="H393" s="77"/>
      <c r="I393" s="77"/>
      <c r="J393" s="76" t="s">
        <v>112</v>
      </c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</row>
    <row r="394" ht="24.0" customHeight="1">
      <c r="A394" s="76" t="s">
        <v>85</v>
      </c>
      <c r="B394" s="76" t="s">
        <v>129</v>
      </c>
      <c r="C394" s="76" t="s">
        <v>150</v>
      </c>
      <c r="D394" s="76">
        <v>2536.0</v>
      </c>
      <c r="E394" s="76">
        <v>4.73</v>
      </c>
      <c r="F394" s="76">
        <v>11995.28</v>
      </c>
      <c r="G394" s="77"/>
      <c r="H394" s="77"/>
      <c r="I394" s="76" t="s">
        <v>119</v>
      </c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</row>
    <row r="395" ht="24.0" customHeight="1">
      <c r="A395" s="76" t="s">
        <v>85</v>
      </c>
      <c r="B395" s="76" t="s">
        <v>6</v>
      </c>
      <c r="C395" s="76" t="s">
        <v>150</v>
      </c>
      <c r="D395" s="77"/>
      <c r="E395" s="77"/>
      <c r="F395" s="77"/>
      <c r="G395" s="76">
        <v>12000.0</v>
      </c>
      <c r="H395" s="77"/>
      <c r="I395" s="77"/>
      <c r="J395" s="76" t="s">
        <v>112</v>
      </c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</row>
    <row r="396" ht="24.0" customHeight="1">
      <c r="A396" s="76" t="s">
        <v>85</v>
      </c>
      <c r="B396" s="76" t="s">
        <v>134</v>
      </c>
      <c r="C396" s="77"/>
      <c r="D396" s="77"/>
      <c r="E396" s="77"/>
      <c r="F396" s="77"/>
      <c r="G396" s="76">
        <v>242000.0</v>
      </c>
      <c r="H396" s="77"/>
      <c r="I396" s="76" t="s">
        <v>112</v>
      </c>
      <c r="J396" s="76" t="s">
        <v>114</v>
      </c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</row>
    <row r="397" ht="24.0" customHeight="1">
      <c r="A397" s="60"/>
      <c r="B397" s="60"/>
      <c r="C397" s="69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</row>
    <row r="398" ht="24.0" customHeight="1">
      <c r="A398" s="60"/>
      <c r="B398" s="60"/>
      <c r="C398" s="69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</row>
    <row r="399" ht="24.0" customHeight="1">
      <c r="A399" s="60"/>
      <c r="B399" s="60"/>
      <c r="C399" s="69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</row>
    <row r="400" ht="24.0" customHeight="1">
      <c r="A400" s="60"/>
      <c r="B400" s="60"/>
      <c r="C400" s="69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</row>
    <row r="401" ht="24.0" customHeight="1">
      <c r="A401" s="60"/>
      <c r="B401" s="60"/>
      <c r="C401" s="69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</row>
    <row r="402" ht="24.0" customHeight="1">
      <c r="A402" s="60"/>
      <c r="B402" s="60"/>
      <c r="C402" s="69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</row>
    <row r="403" ht="24.0" customHeight="1">
      <c r="A403" s="60"/>
      <c r="B403" s="60"/>
      <c r="C403" s="69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</row>
    <row r="404" ht="24.0" customHeight="1">
      <c r="A404" s="60"/>
      <c r="B404" s="60"/>
      <c r="C404" s="69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</row>
    <row r="405" ht="24.0" customHeight="1">
      <c r="A405" s="60"/>
      <c r="B405" s="60"/>
      <c r="C405" s="69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</row>
    <row r="406" ht="24.0" customHeight="1">
      <c r="A406" s="60"/>
      <c r="B406" s="60"/>
      <c r="C406" s="69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</row>
    <row r="407" ht="24.0" customHeight="1">
      <c r="A407" s="60"/>
      <c r="B407" s="60"/>
      <c r="C407" s="69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</row>
    <row r="408" ht="24.0" customHeight="1">
      <c r="A408" s="60"/>
      <c r="B408" s="60"/>
      <c r="C408" s="69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</row>
    <row r="409" ht="24.0" customHeight="1">
      <c r="A409" s="60"/>
      <c r="B409" s="60"/>
      <c r="C409" s="69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</row>
    <row r="410" ht="24.0" customHeight="1">
      <c r="A410" s="60"/>
      <c r="B410" s="60"/>
      <c r="C410" s="69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</row>
    <row r="411" ht="24.0" customHeight="1">
      <c r="A411" s="60"/>
      <c r="B411" s="60"/>
      <c r="C411" s="69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</row>
    <row r="412" ht="24.0" customHeight="1">
      <c r="A412" s="60"/>
      <c r="B412" s="60"/>
      <c r="C412" s="69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</row>
    <row r="413" ht="24.0" customHeight="1">
      <c r="A413" s="60"/>
      <c r="B413" s="60"/>
      <c r="C413" s="69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</row>
    <row r="414" ht="24.0" customHeight="1">
      <c r="A414" s="60"/>
      <c r="B414" s="60"/>
      <c r="C414" s="69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</row>
    <row r="415" ht="24.0" customHeight="1">
      <c r="A415" s="60"/>
      <c r="B415" s="60"/>
      <c r="C415" s="69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</row>
    <row r="416" ht="24.0" customHeight="1">
      <c r="A416" s="60"/>
      <c r="B416" s="60"/>
      <c r="C416" s="69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</row>
    <row r="417" ht="24.0" customHeight="1">
      <c r="A417" s="60"/>
      <c r="B417" s="60"/>
      <c r="C417" s="69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</row>
    <row r="418" ht="24.0" customHeight="1">
      <c r="A418" s="60"/>
      <c r="B418" s="60"/>
      <c r="C418" s="69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</row>
    <row r="419" ht="24.0" customHeight="1">
      <c r="A419" s="60"/>
      <c r="B419" s="60"/>
      <c r="C419" s="69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</row>
    <row r="420" ht="24.0" customHeight="1">
      <c r="A420" s="60"/>
      <c r="B420" s="60"/>
      <c r="C420" s="69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</row>
    <row r="421" ht="24.0" customHeight="1">
      <c r="A421" s="60"/>
      <c r="B421" s="60"/>
      <c r="C421" s="69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</row>
    <row r="422" ht="24.0" customHeight="1">
      <c r="A422" s="60"/>
      <c r="B422" s="60"/>
      <c r="C422" s="69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</row>
    <row r="423" ht="24.0" customHeight="1">
      <c r="A423" s="60"/>
      <c r="B423" s="60"/>
      <c r="C423" s="69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</row>
    <row r="424" ht="24.0" customHeight="1">
      <c r="A424" s="60"/>
      <c r="B424" s="60"/>
      <c r="C424" s="69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</row>
    <row r="425" ht="24.0" customHeight="1">
      <c r="A425" s="60"/>
      <c r="B425" s="60"/>
      <c r="C425" s="69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</row>
    <row r="426" ht="24.0" customHeight="1">
      <c r="A426" s="60"/>
      <c r="B426" s="60"/>
      <c r="C426" s="69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</row>
    <row r="427" ht="24.0" customHeight="1">
      <c r="A427" s="60"/>
      <c r="B427" s="60"/>
      <c r="C427" s="69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</row>
    <row r="428" ht="24.0" customHeight="1">
      <c r="A428" s="60"/>
      <c r="B428" s="60"/>
      <c r="C428" s="69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</row>
    <row r="429" ht="24.0" customHeight="1">
      <c r="A429" s="60"/>
      <c r="B429" s="60"/>
      <c r="C429" s="69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</row>
    <row r="430" ht="24.0" customHeight="1">
      <c r="A430" s="60"/>
      <c r="B430" s="60"/>
      <c r="C430" s="69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</row>
    <row r="431" ht="24.0" customHeight="1">
      <c r="A431" s="60"/>
      <c r="B431" s="60"/>
      <c r="C431" s="69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</row>
    <row r="432" ht="24.0" customHeight="1">
      <c r="A432" s="60"/>
      <c r="B432" s="60"/>
      <c r="C432" s="69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</row>
    <row r="433" ht="24.0" customHeight="1">
      <c r="A433" s="60"/>
      <c r="B433" s="60"/>
      <c r="C433" s="69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</row>
    <row r="434" ht="24.0" customHeight="1">
      <c r="A434" s="60"/>
      <c r="B434" s="60"/>
      <c r="C434" s="69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</row>
    <row r="435" ht="24.0" customHeight="1">
      <c r="A435" s="60"/>
      <c r="B435" s="60"/>
      <c r="C435" s="69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</row>
    <row r="436" ht="24.0" customHeight="1">
      <c r="A436" s="60"/>
      <c r="B436" s="60"/>
      <c r="C436" s="69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</row>
    <row r="437" ht="24.0" customHeight="1">
      <c r="A437" s="60"/>
      <c r="B437" s="60"/>
      <c r="C437" s="69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</row>
    <row r="438" ht="24.0" customHeight="1">
      <c r="A438" s="60"/>
      <c r="B438" s="60"/>
      <c r="C438" s="69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</row>
    <row r="439" ht="24.0" customHeight="1">
      <c r="A439" s="60"/>
      <c r="B439" s="60"/>
      <c r="C439" s="69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</row>
    <row r="440" ht="24.0" customHeight="1">
      <c r="A440" s="60"/>
      <c r="B440" s="60"/>
      <c r="C440" s="69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</row>
    <row r="441" ht="24.0" customHeight="1">
      <c r="A441" s="60"/>
      <c r="B441" s="60"/>
      <c r="C441" s="69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</row>
    <row r="442" ht="24.0" customHeight="1">
      <c r="A442" s="60"/>
      <c r="B442" s="60"/>
      <c r="C442" s="69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</row>
    <row r="443" ht="24.0" customHeight="1">
      <c r="A443" s="60"/>
      <c r="B443" s="60"/>
      <c r="C443" s="69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</row>
    <row r="444" ht="24.0" customHeight="1">
      <c r="A444" s="60"/>
      <c r="B444" s="60"/>
      <c r="C444" s="69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</row>
    <row r="445" ht="24.0" customHeight="1">
      <c r="A445" s="60"/>
      <c r="B445" s="60"/>
      <c r="C445" s="69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</row>
    <row r="446" ht="24.0" customHeight="1">
      <c r="A446" s="60"/>
      <c r="B446" s="60"/>
      <c r="C446" s="69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</row>
    <row r="447" ht="24.0" customHeight="1">
      <c r="A447" s="60"/>
      <c r="B447" s="60"/>
      <c r="C447" s="69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</row>
    <row r="448" ht="24.0" customHeight="1">
      <c r="A448" s="60"/>
      <c r="B448" s="60"/>
      <c r="C448" s="69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</row>
    <row r="449" ht="24.0" customHeight="1">
      <c r="A449" s="60"/>
      <c r="B449" s="60"/>
      <c r="C449" s="69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</row>
    <row r="450" ht="24.0" customHeight="1">
      <c r="A450" s="60"/>
      <c r="B450" s="60"/>
      <c r="C450" s="69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</row>
    <row r="451" ht="24.0" customHeight="1">
      <c r="A451" s="60"/>
      <c r="B451" s="60"/>
      <c r="C451" s="69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</row>
    <row r="452" ht="24.0" customHeight="1">
      <c r="A452" s="60"/>
      <c r="B452" s="60"/>
      <c r="C452" s="69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</row>
    <row r="453" ht="24.0" customHeight="1">
      <c r="A453" s="60"/>
      <c r="B453" s="60"/>
      <c r="C453" s="69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</row>
    <row r="454" ht="24.0" customHeight="1">
      <c r="A454" s="60"/>
      <c r="B454" s="60"/>
      <c r="C454" s="69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</row>
    <row r="455" ht="24.0" customHeight="1">
      <c r="A455" s="60"/>
      <c r="B455" s="60"/>
      <c r="C455" s="69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</row>
    <row r="456" ht="24.0" customHeight="1">
      <c r="A456" s="60"/>
      <c r="B456" s="60"/>
      <c r="C456" s="69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</row>
    <row r="457" ht="24.0" customHeight="1">
      <c r="A457" s="60"/>
      <c r="B457" s="60"/>
      <c r="C457" s="69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</row>
    <row r="458" ht="24.0" customHeight="1">
      <c r="A458" s="60"/>
      <c r="B458" s="60"/>
      <c r="C458" s="69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</row>
    <row r="459" ht="24.0" customHeight="1">
      <c r="A459" s="60"/>
      <c r="B459" s="60"/>
      <c r="C459" s="69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</row>
    <row r="460" ht="24.0" customHeight="1">
      <c r="A460" s="60"/>
      <c r="B460" s="60"/>
      <c r="C460" s="69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</row>
    <row r="461" ht="24.0" customHeight="1">
      <c r="A461" s="60"/>
      <c r="B461" s="60"/>
      <c r="C461" s="69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</row>
    <row r="462" ht="24.0" customHeight="1">
      <c r="A462" s="60"/>
      <c r="B462" s="60"/>
      <c r="C462" s="69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</row>
    <row r="463" ht="24.0" customHeight="1">
      <c r="A463" s="60"/>
      <c r="B463" s="60"/>
      <c r="C463" s="69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</row>
    <row r="464" ht="24.0" customHeight="1">
      <c r="A464" s="60"/>
      <c r="B464" s="60"/>
      <c r="C464" s="69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</row>
    <row r="465" ht="24.0" customHeight="1">
      <c r="A465" s="60"/>
      <c r="B465" s="60"/>
      <c r="C465" s="69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</row>
    <row r="466" ht="24.0" customHeight="1">
      <c r="A466" s="60"/>
      <c r="B466" s="60"/>
      <c r="C466" s="69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</row>
    <row r="467" ht="24.0" customHeight="1">
      <c r="A467" s="60"/>
      <c r="B467" s="60"/>
      <c r="C467" s="69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</row>
    <row r="468" ht="24.0" customHeight="1">
      <c r="A468" s="60"/>
      <c r="B468" s="60"/>
      <c r="C468" s="69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</row>
    <row r="469" ht="24.0" customHeight="1">
      <c r="A469" s="60"/>
      <c r="B469" s="60"/>
      <c r="C469" s="69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</row>
    <row r="470" ht="24.0" customHeight="1">
      <c r="A470" s="60"/>
      <c r="B470" s="60"/>
      <c r="C470" s="69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</row>
    <row r="471" ht="24.0" customHeight="1">
      <c r="A471" s="60"/>
      <c r="B471" s="60"/>
      <c r="C471" s="69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</row>
    <row r="472" ht="24.0" customHeight="1">
      <c r="A472" s="60"/>
      <c r="B472" s="60"/>
      <c r="C472" s="69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</row>
    <row r="473" ht="24.0" customHeight="1">
      <c r="A473" s="60"/>
      <c r="B473" s="60"/>
      <c r="C473" s="69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</row>
    <row r="474" ht="24.0" customHeight="1">
      <c r="A474" s="60"/>
      <c r="B474" s="60"/>
      <c r="C474" s="69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</row>
    <row r="475" ht="24.0" customHeight="1">
      <c r="A475" s="60"/>
      <c r="B475" s="60"/>
      <c r="C475" s="69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</row>
    <row r="476" ht="24.0" customHeight="1">
      <c r="A476" s="60"/>
      <c r="B476" s="60"/>
      <c r="C476" s="69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</row>
    <row r="477" ht="24.0" customHeight="1">
      <c r="A477" s="60"/>
      <c r="B477" s="60"/>
      <c r="C477" s="69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</row>
    <row r="478" ht="24.0" customHeight="1">
      <c r="A478" s="60"/>
      <c r="B478" s="60"/>
      <c r="C478" s="69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</row>
    <row r="479" ht="24.0" customHeight="1">
      <c r="A479" s="60"/>
      <c r="B479" s="60"/>
      <c r="C479" s="69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</row>
    <row r="480" ht="24.0" customHeight="1">
      <c r="A480" s="60"/>
      <c r="B480" s="60"/>
      <c r="C480" s="69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</row>
    <row r="481" ht="24.0" customHeight="1">
      <c r="A481" s="60"/>
      <c r="B481" s="60"/>
      <c r="C481" s="69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</row>
    <row r="482" ht="24.0" customHeight="1">
      <c r="A482" s="60"/>
      <c r="B482" s="60"/>
      <c r="C482" s="69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</row>
    <row r="483" ht="24.0" customHeight="1">
      <c r="A483" s="60"/>
      <c r="B483" s="60"/>
      <c r="C483" s="69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</row>
    <row r="484" ht="24.0" customHeight="1">
      <c r="A484" s="60"/>
      <c r="B484" s="60"/>
      <c r="C484" s="69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</row>
    <row r="485" ht="24.0" customHeight="1">
      <c r="A485" s="60"/>
      <c r="B485" s="60"/>
      <c r="C485" s="69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</row>
    <row r="486" ht="24.0" customHeight="1">
      <c r="A486" s="60"/>
      <c r="B486" s="60"/>
      <c r="C486" s="69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</row>
    <row r="487" ht="24.0" customHeight="1">
      <c r="A487" s="60"/>
      <c r="B487" s="60"/>
      <c r="C487" s="69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</row>
    <row r="488" ht="24.0" customHeight="1">
      <c r="A488" s="60"/>
      <c r="B488" s="60"/>
      <c r="C488" s="69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</row>
    <row r="489" ht="24.0" customHeight="1">
      <c r="A489" s="60"/>
      <c r="B489" s="60"/>
      <c r="C489" s="69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</row>
    <row r="490" ht="24.0" customHeight="1">
      <c r="A490" s="60"/>
      <c r="B490" s="60"/>
      <c r="C490" s="69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</row>
    <row r="491" ht="24.0" customHeight="1">
      <c r="A491" s="60"/>
      <c r="B491" s="60"/>
      <c r="C491" s="69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</row>
    <row r="492" ht="24.0" customHeight="1">
      <c r="A492" s="60"/>
      <c r="B492" s="60"/>
      <c r="C492" s="69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</row>
    <row r="493" ht="24.0" customHeight="1">
      <c r="A493" s="60"/>
      <c r="B493" s="60"/>
      <c r="C493" s="69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</row>
    <row r="494" ht="24.0" customHeight="1">
      <c r="A494" s="60"/>
      <c r="B494" s="60"/>
      <c r="C494" s="69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</row>
    <row r="495" ht="24.0" customHeight="1">
      <c r="A495" s="60"/>
      <c r="B495" s="60"/>
      <c r="C495" s="69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</row>
    <row r="496" ht="24.0" customHeight="1">
      <c r="A496" s="60"/>
      <c r="B496" s="60"/>
      <c r="C496" s="69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</row>
    <row r="497" ht="24.0" customHeight="1">
      <c r="A497" s="60"/>
      <c r="B497" s="60"/>
      <c r="C497" s="69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</row>
    <row r="498" ht="24.0" customHeight="1">
      <c r="A498" s="60"/>
      <c r="B498" s="60"/>
      <c r="C498" s="69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</row>
    <row r="499" ht="24.0" customHeight="1">
      <c r="A499" s="60"/>
      <c r="B499" s="60"/>
      <c r="C499" s="69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</row>
    <row r="500" ht="24.0" customHeight="1">
      <c r="A500" s="60"/>
      <c r="B500" s="60"/>
      <c r="C500" s="69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</row>
    <row r="501" ht="24.0" customHeight="1">
      <c r="A501" s="60"/>
      <c r="B501" s="60"/>
      <c r="C501" s="69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</row>
    <row r="502" ht="24.0" customHeight="1">
      <c r="A502" s="60"/>
      <c r="B502" s="60"/>
      <c r="C502" s="69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</row>
    <row r="503" ht="24.0" customHeight="1">
      <c r="A503" s="60"/>
      <c r="B503" s="60"/>
      <c r="C503" s="69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</row>
    <row r="504" ht="24.0" customHeight="1">
      <c r="A504" s="60"/>
      <c r="B504" s="60"/>
      <c r="C504" s="69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</row>
    <row r="505" ht="24.0" customHeight="1">
      <c r="A505" s="60"/>
      <c r="B505" s="60"/>
      <c r="C505" s="69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</row>
    <row r="506" ht="24.0" customHeight="1">
      <c r="A506" s="60"/>
      <c r="B506" s="60"/>
      <c r="C506" s="69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</row>
    <row r="507" ht="24.0" customHeight="1">
      <c r="A507" s="60"/>
      <c r="B507" s="60"/>
      <c r="C507" s="69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</row>
    <row r="508" ht="24.0" customHeight="1">
      <c r="A508" s="60"/>
      <c r="B508" s="60"/>
      <c r="C508" s="69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</row>
    <row r="509" ht="24.0" customHeight="1">
      <c r="A509" s="60"/>
      <c r="B509" s="60"/>
      <c r="C509" s="69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</row>
    <row r="510" ht="24.0" customHeight="1">
      <c r="A510" s="60"/>
      <c r="B510" s="60"/>
      <c r="C510" s="69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</row>
    <row r="511" ht="24.0" customHeight="1">
      <c r="A511" s="60"/>
      <c r="B511" s="60"/>
      <c r="C511" s="69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</row>
    <row r="512" ht="24.0" customHeight="1">
      <c r="A512" s="60"/>
      <c r="B512" s="60"/>
      <c r="C512" s="69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</row>
    <row r="513" ht="24.0" customHeight="1">
      <c r="A513" s="60"/>
      <c r="B513" s="60"/>
      <c r="C513" s="69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</row>
    <row r="514" ht="24.0" customHeight="1">
      <c r="A514" s="60"/>
      <c r="B514" s="60"/>
      <c r="C514" s="69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</row>
    <row r="515" ht="24.0" customHeight="1">
      <c r="A515" s="60"/>
      <c r="B515" s="60"/>
      <c r="C515" s="69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</row>
    <row r="516" ht="24.0" customHeight="1">
      <c r="A516" s="60"/>
      <c r="B516" s="60"/>
      <c r="C516" s="69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</row>
    <row r="517" ht="24.0" customHeight="1">
      <c r="A517" s="60"/>
      <c r="B517" s="60"/>
      <c r="C517" s="69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</row>
    <row r="518" ht="24.0" customHeight="1">
      <c r="A518" s="60"/>
      <c r="B518" s="60"/>
      <c r="C518" s="69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</row>
    <row r="519" ht="24.0" customHeight="1">
      <c r="A519" s="60"/>
      <c r="B519" s="60"/>
      <c r="C519" s="69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</row>
    <row r="520" ht="24.0" customHeight="1">
      <c r="A520" s="60"/>
      <c r="B520" s="60"/>
      <c r="C520" s="69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</row>
    <row r="521" ht="24.0" customHeight="1">
      <c r="A521" s="60"/>
      <c r="B521" s="60"/>
      <c r="C521" s="69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</row>
    <row r="522" ht="24.0" customHeight="1">
      <c r="A522" s="60"/>
      <c r="B522" s="60"/>
      <c r="C522" s="69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</row>
    <row r="523" ht="24.0" customHeight="1">
      <c r="A523" s="60"/>
      <c r="B523" s="60"/>
      <c r="C523" s="69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</row>
    <row r="524" ht="24.0" customHeight="1">
      <c r="A524" s="60"/>
      <c r="B524" s="60"/>
      <c r="C524" s="69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</row>
    <row r="525" ht="24.0" customHeight="1">
      <c r="A525" s="60"/>
      <c r="B525" s="60"/>
      <c r="C525" s="69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</row>
    <row r="526" ht="24.0" customHeight="1">
      <c r="A526" s="60"/>
      <c r="B526" s="60"/>
      <c r="C526" s="69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</row>
    <row r="527" ht="24.0" customHeight="1">
      <c r="A527" s="60"/>
      <c r="B527" s="60"/>
      <c r="C527" s="69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</row>
    <row r="528" ht="24.0" customHeight="1">
      <c r="A528" s="60"/>
      <c r="B528" s="60"/>
      <c r="C528" s="69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</row>
    <row r="529" ht="24.0" customHeight="1">
      <c r="A529" s="60"/>
      <c r="B529" s="60"/>
      <c r="C529" s="69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</row>
    <row r="530" ht="24.0" customHeight="1">
      <c r="A530" s="60"/>
      <c r="B530" s="60"/>
      <c r="C530" s="69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</row>
    <row r="531" ht="24.0" customHeight="1">
      <c r="A531" s="60"/>
      <c r="B531" s="60"/>
      <c r="C531" s="69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</row>
    <row r="532" ht="24.0" customHeight="1">
      <c r="A532" s="60"/>
      <c r="B532" s="60"/>
      <c r="C532" s="69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</row>
    <row r="533" ht="24.0" customHeight="1">
      <c r="A533" s="60"/>
      <c r="B533" s="60"/>
      <c r="C533" s="69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</row>
    <row r="534" ht="24.0" customHeight="1">
      <c r="A534" s="60"/>
      <c r="B534" s="60"/>
      <c r="C534" s="69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</row>
    <row r="535" ht="24.0" customHeight="1">
      <c r="A535" s="60"/>
      <c r="B535" s="60"/>
      <c r="C535" s="69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</row>
    <row r="536" ht="24.0" customHeight="1">
      <c r="A536" s="60"/>
      <c r="B536" s="60"/>
      <c r="C536" s="69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</row>
    <row r="537" ht="24.0" customHeight="1">
      <c r="A537" s="60"/>
      <c r="B537" s="60"/>
      <c r="C537" s="69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</row>
    <row r="538" ht="24.0" customHeight="1">
      <c r="A538" s="60"/>
      <c r="B538" s="60"/>
      <c r="C538" s="69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</row>
    <row r="539" ht="24.0" customHeight="1">
      <c r="A539" s="60"/>
      <c r="B539" s="60"/>
      <c r="C539" s="69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</row>
    <row r="540" ht="24.0" customHeight="1">
      <c r="A540" s="60"/>
      <c r="B540" s="60"/>
      <c r="C540" s="69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</row>
    <row r="541" ht="24.0" customHeight="1">
      <c r="A541" s="60"/>
      <c r="B541" s="60"/>
      <c r="C541" s="69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</row>
    <row r="542" ht="24.0" customHeight="1">
      <c r="A542" s="60"/>
      <c r="B542" s="60"/>
      <c r="C542" s="69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</row>
    <row r="543" ht="24.0" customHeight="1">
      <c r="A543" s="60"/>
      <c r="B543" s="60"/>
      <c r="C543" s="69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</row>
    <row r="544" ht="24.0" customHeight="1">
      <c r="A544" s="60"/>
      <c r="B544" s="60"/>
      <c r="C544" s="69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</row>
    <row r="545" ht="24.0" customHeight="1">
      <c r="A545" s="60"/>
      <c r="B545" s="60"/>
      <c r="C545" s="69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</row>
    <row r="546" ht="24.0" customHeight="1">
      <c r="A546" s="60"/>
      <c r="B546" s="60"/>
      <c r="C546" s="69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</row>
    <row r="547" ht="24.0" customHeight="1">
      <c r="A547" s="60"/>
      <c r="B547" s="60"/>
      <c r="C547" s="69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</row>
    <row r="548" ht="24.0" customHeight="1">
      <c r="A548" s="60"/>
      <c r="B548" s="60"/>
      <c r="C548" s="69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</row>
    <row r="549" ht="24.0" customHeight="1">
      <c r="A549" s="60"/>
      <c r="B549" s="60"/>
      <c r="C549" s="69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</row>
    <row r="550" ht="24.0" customHeight="1">
      <c r="A550" s="60"/>
      <c r="B550" s="60"/>
      <c r="C550" s="69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</row>
    <row r="551" ht="24.0" customHeight="1">
      <c r="A551" s="60"/>
      <c r="B551" s="60"/>
      <c r="C551" s="69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</row>
    <row r="552" ht="24.0" customHeight="1">
      <c r="A552" s="60"/>
      <c r="B552" s="60"/>
      <c r="C552" s="69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</row>
    <row r="553" ht="24.0" customHeight="1">
      <c r="A553" s="60"/>
      <c r="B553" s="60"/>
      <c r="C553" s="69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</row>
    <row r="554" ht="24.0" customHeight="1">
      <c r="A554" s="60"/>
      <c r="B554" s="60"/>
      <c r="C554" s="69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</row>
    <row r="555" ht="24.0" customHeight="1">
      <c r="A555" s="60"/>
      <c r="B555" s="60"/>
      <c r="C555" s="69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</row>
    <row r="556" ht="24.0" customHeight="1">
      <c r="A556" s="60"/>
      <c r="B556" s="60"/>
      <c r="C556" s="69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</row>
    <row r="557" ht="24.0" customHeight="1">
      <c r="A557" s="60"/>
      <c r="B557" s="60"/>
      <c r="C557" s="69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</row>
    <row r="558" ht="24.0" customHeight="1">
      <c r="A558" s="60"/>
      <c r="B558" s="60"/>
      <c r="C558" s="69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</row>
    <row r="559" ht="24.0" customHeight="1">
      <c r="A559" s="60"/>
      <c r="B559" s="60"/>
      <c r="C559" s="69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</row>
    <row r="560" ht="24.0" customHeight="1">
      <c r="A560" s="60"/>
      <c r="B560" s="60"/>
      <c r="C560" s="69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</row>
    <row r="561" ht="24.0" customHeight="1">
      <c r="A561" s="60"/>
      <c r="B561" s="60"/>
      <c r="C561" s="69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</row>
    <row r="562" ht="24.0" customHeight="1">
      <c r="A562" s="60"/>
      <c r="B562" s="60"/>
      <c r="C562" s="69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</row>
    <row r="563" ht="24.0" customHeight="1">
      <c r="A563" s="60"/>
      <c r="B563" s="60"/>
      <c r="C563" s="69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</row>
    <row r="564" ht="24.0" customHeight="1">
      <c r="A564" s="60"/>
      <c r="B564" s="60"/>
      <c r="C564" s="69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</row>
    <row r="565" ht="24.0" customHeight="1">
      <c r="A565" s="60"/>
      <c r="B565" s="60"/>
      <c r="C565" s="69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</row>
    <row r="566" ht="24.0" customHeight="1">
      <c r="A566" s="60"/>
      <c r="B566" s="60"/>
      <c r="C566" s="69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</row>
    <row r="567" ht="24.0" customHeight="1">
      <c r="A567" s="60"/>
      <c r="B567" s="60"/>
      <c r="C567" s="69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</row>
    <row r="568" ht="24.0" customHeight="1">
      <c r="A568" s="60"/>
      <c r="B568" s="60"/>
      <c r="C568" s="69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</row>
    <row r="569" ht="24.0" customHeight="1">
      <c r="A569" s="60"/>
      <c r="B569" s="60"/>
      <c r="C569" s="69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</row>
    <row r="570" ht="24.0" customHeight="1">
      <c r="A570" s="60"/>
      <c r="B570" s="60"/>
      <c r="C570" s="69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</row>
    <row r="571" ht="24.0" customHeight="1">
      <c r="A571" s="60"/>
      <c r="B571" s="60"/>
      <c r="C571" s="69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</row>
    <row r="572" ht="24.0" customHeight="1">
      <c r="A572" s="60"/>
      <c r="B572" s="60"/>
      <c r="C572" s="69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</row>
    <row r="573" ht="24.0" customHeight="1">
      <c r="A573" s="60"/>
      <c r="B573" s="60"/>
      <c r="C573" s="69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</row>
    <row r="574" ht="24.0" customHeight="1">
      <c r="A574" s="60"/>
      <c r="B574" s="60"/>
      <c r="C574" s="69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</row>
    <row r="575" ht="24.0" customHeight="1">
      <c r="A575" s="60"/>
      <c r="B575" s="60"/>
      <c r="C575" s="69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</row>
    <row r="576" ht="24.0" customHeight="1">
      <c r="A576" s="60"/>
      <c r="B576" s="60"/>
      <c r="C576" s="69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</row>
    <row r="577" ht="24.0" customHeight="1">
      <c r="A577" s="60"/>
      <c r="B577" s="60"/>
      <c r="C577" s="69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</row>
    <row r="578" ht="24.0" customHeight="1">
      <c r="A578" s="60"/>
      <c r="B578" s="60"/>
      <c r="C578" s="69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</row>
    <row r="579" ht="24.0" customHeight="1">
      <c r="A579" s="60"/>
      <c r="B579" s="60"/>
      <c r="C579" s="69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</row>
    <row r="580" ht="24.0" customHeight="1">
      <c r="A580" s="60"/>
      <c r="B580" s="60"/>
      <c r="C580" s="69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</row>
    <row r="581" ht="24.0" customHeight="1">
      <c r="A581" s="60"/>
      <c r="B581" s="60"/>
      <c r="C581" s="69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</row>
    <row r="582" ht="24.0" customHeight="1">
      <c r="A582" s="60"/>
      <c r="B582" s="60"/>
      <c r="C582" s="69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</row>
    <row r="583" ht="24.0" customHeight="1">
      <c r="A583" s="60"/>
      <c r="B583" s="60"/>
      <c r="C583" s="69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</row>
    <row r="584" ht="24.0" customHeight="1">
      <c r="A584" s="60"/>
      <c r="B584" s="60"/>
      <c r="C584" s="69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</row>
    <row r="585" ht="24.0" customHeight="1">
      <c r="A585" s="60"/>
      <c r="B585" s="60"/>
      <c r="C585" s="69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</row>
    <row r="586" ht="24.0" customHeight="1">
      <c r="A586" s="60"/>
      <c r="B586" s="60"/>
      <c r="C586" s="69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</row>
    <row r="587" ht="24.0" customHeight="1">
      <c r="A587" s="60"/>
      <c r="B587" s="60"/>
      <c r="C587" s="69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</row>
    <row r="588" ht="24.0" customHeight="1">
      <c r="A588" s="60"/>
      <c r="B588" s="60"/>
      <c r="C588" s="69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</row>
    <row r="589" ht="24.0" customHeight="1">
      <c r="A589" s="60"/>
      <c r="B589" s="60"/>
      <c r="C589" s="69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</row>
    <row r="590" ht="24.0" customHeight="1">
      <c r="A590" s="60"/>
      <c r="B590" s="60"/>
      <c r="C590" s="69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</row>
    <row r="591" ht="24.0" customHeight="1">
      <c r="A591" s="60"/>
      <c r="B591" s="60"/>
      <c r="C591" s="69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</row>
    <row r="592" ht="24.0" customHeight="1">
      <c r="A592" s="60"/>
      <c r="B592" s="60"/>
      <c r="C592" s="69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</row>
    <row r="593" ht="24.0" customHeight="1">
      <c r="A593" s="60"/>
      <c r="B593" s="60"/>
      <c r="C593" s="69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</row>
    <row r="594" ht="24.0" customHeight="1">
      <c r="A594" s="60"/>
      <c r="B594" s="60"/>
      <c r="C594" s="69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</row>
    <row r="595" ht="24.0" customHeight="1">
      <c r="A595" s="60"/>
      <c r="B595" s="60"/>
      <c r="C595" s="69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</row>
    <row r="596" ht="24.0" customHeight="1">
      <c r="A596" s="60"/>
      <c r="B596" s="60"/>
      <c r="C596" s="69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</row>
    <row r="597" ht="24.0" customHeight="1">
      <c r="A597" s="60"/>
      <c r="B597" s="60"/>
      <c r="C597" s="69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</row>
    <row r="598" ht="24.0" customHeight="1">
      <c r="A598" s="60"/>
      <c r="B598" s="60"/>
      <c r="C598" s="69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</row>
    <row r="599" ht="24.0" customHeight="1">
      <c r="A599" s="60"/>
      <c r="B599" s="60"/>
      <c r="C599" s="69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</row>
    <row r="600" ht="24.0" customHeight="1">
      <c r="A600" s="60"/>
      <c r="B600" s="60"/>
      <c r="C600" s="69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</row>
    <row r="601" ht="24.0" customHeight="1">
      <c r="A601" s="60"/>
      <c r="B601" s="60"/>
      <c r="C601" s="69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</row>
    <row r="602" ht="24.0" customHeight="1">
      <c r="A602" s="60"/>
      <c r="B602" s="60"/>
      <c r="C602" s="69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</row>
    <row r="603" ht="24.0" customHeight="1">
      <c r="A603" s="60"/>
      <c r="B603" s="60"/>
      <c r="C603" s="69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</row>
    <row r="604" ht="24.0" customHeight="1">
      <c r="A604" s="60"/>
      <c r="B604" s="60"/>
      <c r="C604" s="69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</row>
    <row r="605" ht="24.0" customHeight="1">
      <c r="A605" s="60"/>
      <c r="B605" s="60"/>
      <c r="C605" s="69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</row>
    <row r="606" ht="24.0" customHeight="1">
      <c r="A606" s="60"/>
      <c r="B606" s="60"/>
      <c r="C606" s="69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</row>
    <row r="607" ht="24.0" customHeight="1">
      <c r="A607" s="60"/>
      <c r="B607" s="60"/>
      <c r="C607" s="69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</row>
    <row r="608" ht="24.0" customHeight="1">
      <c r="A608" s="60"/>
      <c r="B608" s="60"/>
      <c r="C608" s="69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</row>
    <row r="609" ht="24.0" customHeight="1">
      <c r="A609" s="60"/>
      <c r="B609" s="60"/>
      <c r="C609" s="69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</row>
    <row r="610" ht="24.0" customHeight="1">
      <c r="A610" s="60"/>
      <c r="B610" s="60"/>
      <c r="C610" s="69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</row>
    <row r="611" ht="24.0" customHeight="1">
      <c r="A611" s="60"/>
      <c r="B611" s="60"/>
      <c r="C611" s="69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</row>
    <row r="612" ht="24.0" customHeight="1">
      <c r="A612" s="60"/>
      <c r="B612" s="60"/>
      <c r="C612" s="69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</row>
    <row r="613" ht="24.0" customHeight="1">
      <c r="A613" s="60"/>
      <c r="B613" s="60"/>
      <c r="C613" s="69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</row>
    <row r="614" ht="24.0" customHeight="1">
      <c r="A614" s="60"/>
      <c r="B614" s="60"/>
      <c r="C614" s="69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</row>
    <row r="615" ht="24.0" customHeight="1">
      <c r="A615" s="60"/>
      <c r="B615" s="60"/>
      <c r="C615" s="69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</row>
    <row r="616" ht="24.0" customHeight="1">
      <c r="A616" s="60"/>
      <c r="B616" s="60"/>
      <c r="C616" s="69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</row>
    <row r="617" ht="24.0" customHeight="1">
      <c r="A617" s="60"/>
      <c r="B617" s="60"/>
      <c r="C617" s="69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</row>
    <row r="618" ht="24.0" customHeight="1">
      <c r="A618" s="60"/>
      <c r="B618" s="60"/>
      <c r="C618" s="69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</row>
    <row r="619" ht="24.0" customHeight="1">
      <c r="A619" s="60"/>
      <c r="B619" s="60"/>
      <c r="C619" s="69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</row>
    <row r="620" ht="24.0" customHeight="1">
      <c r="A620" s="60"/>
      <c r="B620" s="60"/>
      <c r="C620" s="69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</row>
    <row r="621" ht="24.0" customHeight="1">
      <c r="A621" s="60"/>
      <c r="B621" s="60"/>
      <c r="C621" s="69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</row>
    <row r="622" ht="24.0" customHeight="1">
      <c r="A622" s="60"/>
      <c r="B622" s="60"/>
      <c r="C622" s="69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</row>
    <row r="623" ht="24.0" customHeight="1">
      <c r="A623" s="60"/>
      <c r="B623" s="60"/>
      <c r="C623" s="69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</row>
    <row r="624" ht="24.0" customHeight="1">
      <c r="A624" s="60"/>
      <c r="B624" s="60"/>
      <c r="C624" s="69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</row>
    <row r="625" ht="24.0" customHeight="1">
      <c r="A625" s="60"/>
      <c r="B625" s="60"/>
      <c r="C625" s="69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</row>
    <row r="626" ht="24.0" customHeight="1">
      <c r="A626" s="60"/>
      <c r="B626" s="60"/>
      <c r="C626" s="69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</row>
    <row r="627" ht="24.0" customHeight="1">
      <c r="A627" s="60"/>
      <c r="B627" s="60"/>
      <c r="C627" s="69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</row>
    <row r="628" ht="24.0" customHeight="1">
      <c r="A628" s="60"/>
      <c r="B628" s="60"/>
      <c r="C628" s="69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</row>
    <row r="629" ht="24.0" customHeight="1">
      <c r="A629" s="60"/>
      <c r="B629" s="60"/>
      <c r="C629" s="69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</row>
    <row r="630" ht="24.0" customHeight="1">
      <c r="A630" s="60"/>
      <c r="B630" s="60"/>
      <c r="C630" s="69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</row>
    <row r="631" ht="24.0" customHeight="1">
      <c r="A631" s="60"/>
      <c r="B631" s="60"/>
      <c r="C631" s="69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</row>
    <row r="632" ht="24.0" customHeight="1">
      <c r="A632" s="60"/>
      <c r="B632" s="60"/>
      <c r="C632" s="69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</row>
    <row r="633" ht="24.0" customHeight="1">
      <c r="A633" s="60"/>
      <c r="B633" s="60"/>
      <c r="C633" s="69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</row>
    <row r="634" ht="24.0" customHeight="1">
      <c r="A634" s="60"/>
      <c r="B634" s="60"/>
      <c r="C634" s="69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</row>
    <row r="635" ht="24.0" customHeight="1">
      <c r="A635" s="60"/>
      <c r="B635" s="60"/>
      <c r="C635" s="69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</row>
    <row r="636" ht="24.0" customHeight="1">
      <c r="A636" s="60"/>
      <c r="B636" s="60"/>
      <c r="C636" s="69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</row>
    <row r="637" ht="24.0" customHeight="1">
      <c r="A637" s="60"/>
      <c r="B637" s="60"/>
      <c r="C637" s="69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</row>
    <row r="638" ht="24.0" customHeight="1">
      <c r="A638" s="60"/>
      <c r="B638" s="60"/>
      <c r="C638" s="69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</row>
    <row r="639" ht="24.0" customHeight="1">
      <c r="A639" s="60"/>
      <c r="B639" s="60"/>
      <c r="C639" s="69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</row>
    <row r="640" ht="24.0" customHeight="1">
      <c r="A640" s="60"/>
      <c r="B640" s="60"/>
      <c r="C640" s="69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</row>
    <row r="641" ht="24.0" customHeight="1">
      <c r="A641" s="60"/>
      <c r="B641" s="60"/>
      <c r="C641" s="69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</row>
    <row r="642" ht="24.0" customHeight="1">
      <c r="A642" s="60"/>
      <c r="B642" s="60"/>
      <c r="C642" s="69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</row>
    <row r="643" ht="24.0" customHeight="1">
      <c r="A643" s="60"/>
      <c r="B643" s="60"/>
      <c r="C643" s="69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</row>
    <row r="644" ht="24.0" customHeight="1">
      <c r="A644" s="60"/>
      <c r="B644" s="60"/>
      <c r="C644" s="69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</row>
    <row r="645" ht="24.0" customHeight="1">
      <c r="A645" s="60"/>
      <c r="B645" s="60"/>
      <c r="C645" s="69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</row>
    <row r="646" ht="24.0" customHeight="1">
      <c r="A646" s="60"/>
      <c r="B646" s="60"/>
      <c r="C646" s="69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</row>
    <row r="647" ht="24.0" customHeight="1">
      <c r="A647" s="60"/>
      <c r="B647" s="60"/>
      <c r="C647" s="69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</row>
    <row r="648" ht="24.0" customHeight="1">
      <c r="A648" s="60"/>
      <c r="B648" s="60"/>
      <c r="C648" s="69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</row>
    <row r="649" ht="24.0" customHeight="1">
      <c r="A649" s="60"/>
      <c r="B649" s="60"/>
      <c r="C649" s="69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</row>
    <row r="650" ht="24.0" customHeight="1">
      <c r="A650" s="60"/>
      <c r="B650" s="60"/>
      <c r="C650" s="69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</row>
    <row r="651" ht="24.0" customHeight="1">
      <c r="A651" s="60"/>
      <c r="B651" s="60"/>
      <c r="C651" s="69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</row>
    <row r="652" ht="24.0" customHeight="1">
      <c r="A652" s="60"/>
      <c r="B652" s="60"/>
      <c r="C652" s="69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</row>
    <row r="653" ht="24.0" customHeight="1">
      <c r="A653" s="60"/>
      <c r="B653" s="60"/>
      <c r="C653" s="69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</row>
    <row r="654" ht="24.0" customHeight="1">
      <c r="A654" s="60"/>
      <c r="B654" s="60"/>
      <c r="C654" s="69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</row>
    <row r="655" ht="24.0" customHeight="1">
      <c r="A655" s="60"/>
      <c r="B655" s="60"/>
      <c r="C655" s="69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</row>
    <row r="656" ht="24.0" customHeight="1">
      <c r="A656" s="60"/>
      <c r="B656" s="60"/>
      <c r="C656" s="69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</row>
    <row r="657" ht="24.0" customHeight="1">
      <c r="A657" s="60"/>
      <c r="B657" s="60"/>
      <c r="C657" s="69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</row>
    <row r="658" ht="24.0" customHeight="1">
      <c r="A658" s="60"/>
      <c r="B658" s="60"/>
      <c r="C658" s="69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</row>
    <row r="659" ht="24.0" customHeight="1">
      <c r="A659" s="60"/>
      <c r="B659" s="60"/>
      <c r="C659" s="69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</row>
    <row r="660" ht="24.0" customHeight="1">
      <c r="A660" s="60"/>
      <c r="B660" s="60"/>
      <c r="C660" s="69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</row>
    <row r="661" ht="24.0" customHeight="1">
      <c r="A661" s="60"/>
      <c r="B661" s="60"/>
      <c r="C661" s="69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</row>
    <row r="662" ht="24.0" customHeight="1">
      <c r="A662" s="60"/>
      <c r="B662" s="60"/>
      <c r="C662" s="69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</row>
    <row r="663" ht="24.0" customHeight="1">
      <c r="A663" s="60"/>
      <c r="B663" s="60"/>
      <c r="C663" s="69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</row>
    <row r="664" ht="24.0" customHeight="1">
      <c r="A664" s="60"/>
      <c r="B664" s="60"/>
      <c r="C664" s="69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</row>
    <row r="665" ht="24.0" customHeight="1">
      <c r="A665" s="60"/>
      <c r="B665" s="60"/>
      <c r="C665" s="69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</row>
    <row r="666" ht="24.0" customHeight="1">
      <c r="A666" s="60"/>
      <c r="B666" s="60"/>
      <c r="C666" s="69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</row>
    <row r="667" ht="24.0" customHeight="1">
      <c r="A667" s="60"/>
      <c r="B667" s="60"/>
      <c r="C667" s="69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</row>
    <row r="668" ht="24.0" customHeight="1">
      <c r="A668" s="60"/>
      <c r="B668" s="60"/>
      <c r="C668" s="69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</row>
    <row r="669" ht="24.0" customHeight="1">
      <c r="A669" s="60"/>
      <c r="B669" s="60"/>
      <c r="C669" s="69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</row>
    <row r="670" ht="24.0" customHeight="1">
      <c r="A670" s="60"/>
      <c r="B670" s="60"/>
      <c r="C670" s="69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</row>
    <row r="671" ht="24.0" customHeight="1">
      <c r="A671" s="60"/>
      <c r="B671" s="60"/>
      <c r="C671" s="69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</row>
    <row r="672" ht="24.0" customHeight="1">
      <c r="A672" s="60"/>
      <c r="B672" s="60"/>
      <c r="C672" s="69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</row>
    <row r="673" ht="24.0" customHeight="1">
      <c r="A673" s="60"/>
      <c r="B673" s="60"/>
      <c r="C673" s="69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</row>
    <row r="674" ht="24.0" customHeight="1">
      <c r="A674" s="60"/>
      <c r="B674" s="60"/>
      <c r="C674" s="69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</row>
    <row r="675" ht="24.0" customHeight="1">
      <c r="A675" s="60"/>
      <c r="B675" s="60"/>
      <c r="C675" s="69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</row>
    <row r="676" ht="24.0" customHeight="1">
      <c r="A676" s="60"/>
      <c r="B676" s="60"/>
      <c r="C676" s="69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</row>
    <row r="677" ht="24.0" customHeight="1">
      <c r="A677" s="60"/>
      <c r="B677" s="60"/>
      <c r="C677" s="69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</row>
    <row r="678" ht="24.0" customHeight="1">
      <c r="A678" s="60"/>
      <c r="B678" s="60"/>
      <c r="C678" s="69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</row>
    <row r="679" ht="24.0" customHeight="1">
      <c r="A679" s="60"/>
      <c r="B679" s="60"/>
      <c r="C679" s="69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</row>
    <row r="680" ht="24.0" customHeight="1">
      <c r="A680" s="60"/>
      <c r="B680" s="60"/>
      <c r="C680" s="69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</row>
    <row r="681" ht="24.0" customHeight="1">
      <c r="A681" s="60"/>
      <c r="B681" s="60"/>
      <c r="C681" s="69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</row>
    <row r="682" ht="24.0" customHeight="1">
      <c r="A682" s="60"/>
      <c r="B682" s="60"/>
      <c r="C682" s="69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</row>
    <row r="683" ht="24.0" customHeight="1">
      <c r="A683" s="60"/>
      <c r="B683" s="60"/>
      <c r="C683" s="69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</row>
    <row r="684" ht="24.0" customHeight="1">
      <c r="A684" s="60"/>
      <c r="B684" s="60"/>
      <c r="C684" s="69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</row>
    <row r="685" ht="24.0" customHeight="1">
      <c r="A685" s="60"/>
      <c r="B685" s="60"/>
      <c r="C685" s="69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</row>
    <row r="686" ht="24.0" customHeight="1">
      <c r="A686" s="60"/>
      <c r="B686" s="60"/>
      <c r="C686" s="69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</row>
    <row r="687" ht="24.0" customHeight="1">
      <c r="A687" s="60"/>
      <c r="B687" s="60"/>
      <c r="C687" s="69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</row>
    <row r="688" ht="24.0" customHeight="1">
      <c r="A688" s="60"/>
      <c r="B688" s="60"/>
      <c r="C688" s="69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</row>
    <row r="689" ht="24.0" customHeight="1">
      <c r="A689" s="60"/>
      <c r="B689" s="60"/>
      <c r="C689" s="69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</row>
    <row r="690" ht="24.0" customHeight="1">
      <c r="A690" s="60"/>
      <c r="B690" s="60"/>
      <c r="C690" s="69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</row>
    <row r="691" ht="24.0" customHeight="1">
      <c r="A691" s="60"/>
      <c r="B691" s="60"/>
      <c r="C691" s="69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</row>
    <row r="692" ht="24.0" customHeight="1">
      <c r="A692" s="60"/>
      <c r="B692" s="60"/>
      <c r="C692" s="69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</row>
    <row r="693" ht="24.0" customHeight="1">
      <c r="A693" s="60"/>
      <c r="B693" s="60"/>
      <c r="C693" s="69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</row>
    <row r="694" ht="24.0" customHeight="1">
      <c r="A694" s="60"/>
      <c r="B694" s="60"/>
      <c r="C694" s="69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</row>
    <row r="695" ht="24.0" customHeight="1">
      <c r="A695" s="60"/>
      <c r="B695" s="60"/>
      <c r="C695" s="69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</row>
    <row r="696" ht="24.0" customHeight="1">
      <c r="A696" s="60"/>
      <c r="B696" s="60"/>
      <c r="C696" s="69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</row>
    <row r="697" ht="24.0" customHeight="1">
      <c r="A697" s="60"/>
      <c r="B697" s="60"/>
      <c r="C697" s="69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</row>
    <row r="698" ht="24.0" customHeight="1">
      <c r="A698" s="60"/>
      <c r="B698" s="60"/>
      <c r="C698" s="69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</row>
    <row r="699" ht="24.0" customHeight="1">
      <c r="A699" s="60"/>
      <c r="B699" s="60"/>
      <c r="C699" s="69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</row>
    <row r="700" ht="24.0" customHeight="1">
      <c r="A700" s="60"/>
      <c r="B700" s="60"/>
      <c r="C700" s="69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</row>
    <row r="701" ht="24.0" customHeight="1">
      <c r="A701" s="60"/>
      <c r="B701" s="60"/>
      <c r="C701" s="69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</row>
    <row r="702" ht="24.0" customHeight="1">
      <c r="A702" s="60"/>
      <c r="B702" s="60"/>
      <c r="C702" s="69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</row>
    <row r="703" ht="24.0" customHeight="1">
      <c r="A703" s="60"/>
      <c r="B703" s="60"/>
      <c r="C703" s="69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</row>
    <row r="704" ht="24.0" customHeight="1">
      <c r="A704" s="60"/>
      <c r="B704" s="60"/>
      <c r="C704" s="69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</row>
    <row r="705" ht="24.0" customHeight="1">
      <c r="A705" s="60"/>
      <c r="B705" s="60"/>
      <c r="C705" s="69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</row>
    <row r="706" ht="24.0" customHeight="1">
      <c r="A706" s="60"/>
      <c r="B706" s="60"/>
      <c r="C706" s="69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</row>
    <row r="707" ht="24.0" customHeight="1">
      <c r="A707" s="60"/>
      <c r="B707" s="60"/>
      <c r="C707" s="69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</row>
    <row r="708" ht="24.0" customHeight="1">
      <c r="A708" s="60"/>
      <c r="B708" s="60"/>
      <c r="C708" s="69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</row>
    <row r="709" ht="24.0" customHeight="1">
      <c r="A709" s="60"/>
      <c r="B709" s="60"/>
      <c r="C709" s="69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</row>
    <row r="710" ht="24.0" customHeight="1">
      <c r="A710" s="60"/>
      <c r="B710" s="60"/>
      <c r="C710" s="69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</row>
    <row r="711" ht="24.0" customHeight="1">
      <c r="A711" s="60"/>
      <c r="B711" s="60"/>
      <c r="C711" s="69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</row>
    <row r="712" ht="24.0" customHeight="1">
      <c r="A712" s="60"/>
      <c r="B712" s="60"/>
      <c r="C712" s="69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</row>
    <row r="713" ht="24.0" customHeight="1">
      <c r="A713" s="60"/>
      <c r="B713" s="60"/>
      <c r="C713" s="69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</row>
    <row r="714" ht="24.0" customHeight="1">
      <c r="A714" s="60"/>
      <c r="B714" s="60"/>
      <c r="C714" s="69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</row>
    <row r="715" ht="24.0" customHeight="1">
      <c r="A715" s="60"/>
      <c r="B715" s="60"/>
      <c r="C715" s="69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</row>
    <row r="716" ht="24.0" customHeight="1">
      <c r="A716" s="60"/>
      <c r="B716" s="60"/>
      <c r="C716" s="69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</row>
    <row r="717" ht="24.0" customHeight="1">
      <c r="A717" s="60"/>
      <c r="B717" s="60"/>
      <c r="C717" s="69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</row>
    <row r="718" ht="24.0" customHeight="1">
      <c r="A718" s="60"/>
      <c r="B718" s="60"/>
      <c r="C718" s="69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</row>
    <row r="719" ht="24.0" customHeight="1">
      <c r="A719" s="60"/>
      <c r="B719" s="60"/>
      <c r="C719" s="69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</row>
    <row r="720" ht="24.0" customHeight="1">
      <c r="A720" s="60"/>
      <c r="B720" s="60"/>
      <c r="C720" s="69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</row>
    <row r="721" ht="24.0" customHeight="1">
      <c r="A721" s="60"/>
      <c r="B721" s="60"/>
      <c r="C721" s="69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</row>
    <row r="722" ht="24.0" customHeight="1">
      <c r="A722" s="60"/>
      <c r="B722" s="60"/>
      <c r="C722" s="69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</row>
    <row r="723" ht="24.0" customHeight="1">
      <c r="A723" s="60"/>
      <c r="B723" s="60"/>
      <c r="C723" s="69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</row>
    <row r="724" ht="24.0" customHeight="1">
      <c r="A724" s="60"/>
      <c r="B724" s="60"/>
      <c r="C724" s="69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</row>
    <row r="725" ht="24.0" customHeight="1">
      <c r="A725" s="60"/>
      <c r="B725" s="60"/>
      <c r="C725" s="69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</row>
    <row r="726" ht="24.0" customHeight="1">
      <c r="A726" s="60"/>
      <c r="B726" s="60"/>
      <c r="C726" s="69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</row>
    <row r="727" ht="24.0" customHeight="1">
      <c r="A727" s="60"/>
      <c r="B727" s="60"/>
      <c r="C727" s="69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</row>
    <row r="728" ht="24.0" customHeight="1">
      <c r="A728" s="60"/>
      <c r="B728" s="60"/>
      <c r="C728" s="69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</row>
    <row r="729" ht="24.0" customHeight="1">
      <c r="A729" s="60"/>
      <c r="B729" s="60"/>
      <c r="C729" s="69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</row>
    <row r="730" ht="24.0" customHeight="1">
      <c r="A730" s="60"/>
      <c r="B730" s="60"/>
      <c r="C730" s="69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</row>
    <row r="731" ht="24.0" customHeight="1">
      <c r="A731" s="60"/>
      <c r="B731" s="60"/>
      <c r="C731" s="69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</row>
    <row r="732" ht="24.0" customHeight="1">
      <c r="A732" s="60"/>
      <c r="B732" s="60"/>
      <c r="C732" s="69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</row>
    <row r="733" ht="24.0" customHeight="1">
      <c r="A733" s="60"/>
      <c r="B733" s="60"/>
      <c r="C733" s="69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</row>
    <row r="734" ht="24.0" customHeight="1">
      <c r="A734" s="60"/>
      <c r="B734" s="60"/>
      <c r="C734" s="69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</row>
    <row r="735" ht="24.0" customHeight="1">
      <c r="A735" s="60"/>
      <c r="B735" s="60"/>
      <c r="C735" s="69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</row>
    <row r="736" ht="24.0" customHeight="1">
      <c r="A736" s="60"/>
      <c r="B736" s="60"/>
      <c r="C736" s="69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</row>
    <row r="737" ht="24.0" customHeight="1">
      <c r="A737" s="60"/>
      <c r="B737" s="60"/>
      <c r="C737" s="69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</row>
    <row r="738" ht="24.0" customHeight="1">
      <c r="A738" s="60"/>
      <c r="B738" s="60"/>
      <c r="C738" s="69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</row>
    <row r="739" ht="24.0" customHeight="1">
      <c r="A739" s="60"/>
      <c r="B739" s="60"/>
      <c r="C739" s="69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</row>
    <row r="740" ht="24.0" customHeight="1">
      <c r="A740" s="60"/>
      <c r="B740" s="60"/>
      <c r="C740" s="69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</row>
    <row r="741" ht="24.0" customHeight="1">
      <c r="A741" s="60"/>
      <c r="B741" s="60"/>
      <c r="C741" s="69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</row>
    <row r="742" ht="24.0" customHeight="1">
      <c r="A742" s="60"/>
      <c r="B742" s="60"/>
      <c r="C742" s="69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</row>
    <row r="743" ht="24.0" customHeight="1">
      <c r="A743" s="60"/>
      <c r="B743" s="60"/>
      <c r="C743" s="69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</row>
    <row r="744" ht="24.0" customHeight="1">
      <c r="A744" s="60"/>
      <c r="B744" s="60"/>
      <c r="C744" s="69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</row>
    <row r="745" ht="24.0" customHeight="1">
      <c r="A745" s="60"/>
      <c r="B745" s="60"/>
      <c r="C745" s="69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</row>
    <row r="746" ht="24.0" customHeight="1">
      <c r="A746" s="60"/>
      <c r="B746" s="60"/>
      <c r="C746" s="69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</row>
    <row r="747" ht="24.0" customHeight="1">
      <c r="A747" s="60"/>
      <c r="B747" s="60"/>
      <c r="C747" s="69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</row>
    <row r="748" ht="24.0" customHeight="1">
      <c r="A748" s="60"/>
      <c r="B748" s="60"/>
      <c r="C748" s="69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</row>
    <row r="749" ht="24.0" customHeight="1">
      <c r="A749" s="60"/>
      <c r="B749" s="60"/>
      <c r="C749" s="69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</row>
    <row r="750" ht="24.0" customHeight="1">
      <c r="A750" s="60"/>
      <c r="B750" s="60"/>
      <c r="C750" s="69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</row>
    <row r="751" ht="24.0" customHeight="1">
      <c r="A751" s="60"/>
      <c r="B751" s="60"/>
      <c r="C751" s="69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</row>
    <row r="752" ht="24.0" customHeight="1">
      <c r="A752" s="60"/>
      <c r="B752" s="60"/>
      <c r="C752" s="69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</row>
    <row r="753" ht="24.0" customHeight="1">
      <c r="A753" s="60"/>
      <c r="B753" s="60"/>
      <c r="C753" s="69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</row>
    <row r="754" ht="24.0" customHeight="1">
      <c r="A754" s="60"/>
      <c r="B754" s="60"/>
      <c r="C754" s="69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</row>
    <row r="755" ht="24.0" customHeight="1">
      <c r="A755" s="60"/>
      <c r="B755" s="60"/>
      <c r="C755" s="69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</row>
    <row r="756" ht="24.0" customHeight="1">
      <c r="A756" s="60"/>
      <c r="B756" s="60"/>
      <c r="C756" s="69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</row>
    <row r="757" ht="24.0" customHeight="1">
      <c r="A757" s="60"/>
      <c r="B757" s="60"/>
      <c r="C757" s="69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</row>
    <row r="758" ht="24.0" customHeight="1">
      <c r="A758" s="60"/>
      <c r="B758" s="60"/>
      <c r="C758" s="69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</row>
    <row r="759" ht="24.0" customHeight="1">
      <c r="A759" s="60"/>
      <c r="B759" s="60"/>
      <c r="C759" s="69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</row>
    <row r="760" ht="24.0" customHeight="1">
      <c r="A760" s="60"/>
      <c r="B760" s="60"/>
      <c r="C760" s="69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</row>
    <row r="761" ht="24.0" customHeight="1">
      <c r="A761" s="60"/>
      <c r="B761" s="60"/>
      <c r="C761" s="69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</row>
    <row r="762" ht="24.0" customHeight="1">
      <c r="A762" s="60"/>
      <c r="B762" s="60"/>
      <c r="C762" s="69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</row>
    <row r="763" ht="24.0" customHeight="1">
      <c r="A763" s="60"/>
      <c r="B763" s="60"/>
      <c r="C763" s="69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</row>
    <row r="764" ht="24.0" customHeight="1">
      <c r="A764" s="60"/>
      <c r="B764" s="60"/>
      <c r="C764" s="69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</row>
    <row r="765" ht="24.0" customHeight="1">
      <c r="A765" s="60"/>
      <c r="B765" s="60"/>
      <c r="C765" s="69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</row>
    <row r="766" ht="24.0" customHeight="1">
      <c r="A766" s="60"/>
      <c r="B766" s="60"/>
      <c r="C766" s="69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</row>
    <row r="767" ht="24.0" customHeight="1">
      <c r="A767" s="60"/>
      <c r="B767" s="60"/>
      <c r="C767" s="69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</row>
    <row r="768" ht="24.0" customHeight="1">
      <c r="A768" s="60"/>
      <c r="B768" s="60"/>
      <c r="C768" s="69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</row>
    <row r="769" ht="24.0" customHeight="1">
      <c r="A769" s="60"/>
      <c r="B769" s="60"/>
      <c r="C769" s="69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</row>
    <row r="770" ht="24.0" customHeight="1">
      <c r="A770" s="60"/>
      <c r="B770" s="60"/>
      <c r="C770" s="69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</row>
    <row r="771" ht="24.0" customHeight="1">
      <c r="A771" s="60"/>
      <c r="B771" s="60"/>
      <c r="C771" s="69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</row>
    <row r="772" ht="24.0" customHeight="1">
      <c r="A772" s="60"/>
      <c r="B772" s="60"/>
      <c r="C772" s="69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</row>
    <row r="773" ht="24.0" customHeight="1">
      <c r="A773" s="60"/>
      <c r="B773" s="60"/>
      <c r="C773" s="69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</row>
    <row r="774" ht="24.0" customHeight="1">
      <c r="A774" s="60"/>
      <c r="B774" s="60"/>
      <c r="C774" s="69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</row>
    <row r="775" ht="24.0" customHeight="1">
      <c r="A775" s="60"/>
      <c r="B775" s="60"/>
      <c r="C775" s="69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</row>
    <row r="776" ht="24.0" customHeight="1">
      <c r="A776" s="60"/>
      <c r="B776" s="60"/>
      <c r="C776" s="69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</row>
    <row r="777" ht="24.0" customHeight="1">
      <c r="A777" s="60"/>
      <c r="B777" s="60"/>
      <c r="C777" s="69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</row>
    <row r="778" ht="24.0" customHeight="1">
      <c r="A778" s="60"/>
      <c r="B778" s="60"/>
      <c r="C778" s="69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</row>
    <row r="779" ht="24.0" customHeight="1">
      <c r="A779" s="60"/>
      <c r="B779" s="60"/>
      <c r="C779" s="69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</row>
    <row r="780" ht="24.0" customHeight="1">
      <c r="A780" s="60"/>
      <c r="B780" s="60"/>
      <c r="C780" s="69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</row>
    <row r="781" ht="24.0" customHeight="1">
      <c r="A781" s="60"/>
      <c r="B781" s="60"/>
      <c r="C781" s="69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</row>
    <row r="782" ht="24.0" customHeight="1">
      <c r="A782" s="60"/>
      <c r="B782" s="60"/>
      <c r="C782" s="69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</row>
    <row r="783" ht="24.0" customHeight="1">
      <c r="A783" s="60"/>
      <c r="B783" s="60"/>
      <c r="C783" s="69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</row>
    <row r="784" ht="24.0" customHeight="1">
      <c r="A784" s="60"/>
      <c r="B784" s="60"/>
      <c r="C784" s="69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</row>
    <row r="785" ht="24.0" customHeight="1">
      <c r="A785" s="60"/>
      <c r="B785" s="60"/>
      <c r="C785" s="69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</row>
    <row r="786" ht="24.0" customHeight="1">
      <c r="A786" s="60"/>
      <c r="B786" s="60"/>
      <c r="C786" s="69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</row>
    <row r="787" ht="24.0" customHeight="1">
      <c r="A787" s="60"/>
      <c r="B787" s="60"/>
      <c r="C787" s="69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</row>
    <row r="788" ht="24.0" customHeight="1">
      <c r="A788" s="60"/>
      <c r="B788" s="60"/>
      <c r="C788" s="69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</row>
    <row r="789" ht="24.0" customHeight="1">
      <c r="A789" s="60"/>
      <c r="B789" s="60"/>
      <c r="C789" s="69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</row>
    <row r="790" ht="24.0" customHeight="1">
      <c r="A790" s="60"/>
      <c r="B790" s="60"/>
      <c r="C790" s="69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</row>
    <row r="791" ht="24.0" customHeight="1">
      <c r="A791" s="60"/>
      <c r="B791" s="60"/>
      <c r="C791" s="69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</row>
    <row r="792" ht="24.0" customHeight="1">
      <c r="A792" s="60"/>
      <c r="B792" s="60"/>
      <c r="C792" s="69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</row>
    <row r="793" ht="24.0" customHeight="1">
      <c r="A793" s="60"/>
      <c r="B793" s="60"/>
      <c r="C793" s="69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</row>
    <row r="794" ht="24.0" customHeight="1">
      <c r="A794" s="60"/>
      <c r="B794" s="60"/>
      <c r="C794" s="69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</row>
    <row r="795" ht="24.0" customHeight="1">
      <c r="A795" s="60"/>
      <c r="B795" s="60"/>
      <c r="C795" s="69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</row>
    <row r="796" ht="24.0" customHeight="1">
      <c r="A796" s="60"/>
      <c r="B796" s="60"/>
      <c r="C796" s="69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</row>
    <row r="797" ht="24.0" customHeight="1">
      <c r="A797" s="60"/>
      <c r="B797" s="60"/>
      <c r="C797" s="69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</row>
    <row r="798" ht="24.0" customHeight="1">
      <c r="A798" s="60"/>
      <c r="B798" s="60"/>
      <c r="C798" s="69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</row>
    <row r="799" ht="24.0" customHeight="1">
      <c r="A799" s="60"/>
      <c r="B799" s="60"/>
      <c r="C799" s="69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</row>
    <row r="800" ht="24.0" customHeight="1">
      <c r="A800" s="60"/>
      <c r="B800" s="60"/>
      <c r="C800" s="69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</row>
    <row r="801" ht="24.0" customHeight="1">
      <c r="A801" s="60"/>
      <c r="B801" s="60"/>
      <c r="C801" s="69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</row>
    <row r="802" ht="24.0" customHeight="1">
      <c r="A802" s="60"/>
      <c r="B802" s="60"/>
      <c r="C802" s="69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</row>
    <row r="803" ht="24.0" customHeight="1">
      <c r="A803" s="60"/>
      <c r="B803" s="60"/>
      <c r="C803" s="69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</row>
    <row r="804" ht="24.0" customHeight="1">
      <c r="A804" s="60"/>
      <c r="B804" s="60"/>
      <c r="C804" s="69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</row>
    <row r="805" ht="24.0" customHeight="1">
      <c r="A805" s="60"/>
      <c r="B805" s="60"/>
      <c r="C805" s="69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</row>
    <row r="806" ht="24.0" customHeight="1">
      <c r="A806" s="60"/>
      <c r="B806" s="60"/>
      <c r="C806" s="69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</row>
    <row r="807" ht="24.0" customHeight="1">
      <c r="A807" s="60"/>
      <c r="B807" s="60"/>
      <c r="C807" s="69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</row>
    <row r="808" ht="24.0" customHeight="1">
      <c r="A808" s="60"/>
      <c r="B808" s="60"/>
      <c r="C808" s="69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</row>
    <row r="809" ht="24.0" customHeight="1">
      <c r="A809" s="60"/>
      <c r="B809" s="60"/>
      <c r="C809" s="69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</row>
    <row r="810" ht="24.0" customHeight="1">
      <c r="A810" s="60"/>
      <c r="B810" s="60"/>
      <c r="C810" s="69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</row>
    <row r="811" ht="24.0" customHeight="1">
      <c r="A811" s="60"/>
      <c r="B811" s="60"/>
      <c r="C811" s="69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</row>
    <row r="812" ht="24.0" customHeight="1">
      <c r="A812" s="60"/>
      <c r="B812" s="60"/>
      <c r="C812" s="69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</row>
    <row r="813" ht="24.0" customHeight="1">
      <c r="A813" s="60"/>
      <c r="B813" s="60"/>
      <c r="C813" s="69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</row>
    <row r="814" ht="24.0" customHeight="1">
      <c r="A814" s="60"/>
      <c r="B814" s="60"/>
      <c r="C814" s="69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</row>
    <row r="815" ht="24.0" customHeight="1">
      <c r="A815" s="60"/>
      <c r="B815" s="60"/>
      <c r="C815" s="69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</row>
    <row r="816" ht="24.0" customHeight="1">
      <c r="A816" s="60"/>
      <c r="B816" s="60"/>
      <c r="C816" s="69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</row>
    <row r="817" ht="24.0" customHeight="1">
      <c r="A817" s="60"/>
      <c r="B817" s="60"/>
      <c r="C817" s="69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</row>
    <row r="818" ht="24.0" customHeight="1">
      <c r="A818" s="60"/>
      <c r="B818" s="60"/>
      <c r="C818" s="69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</row>
    <row r="819" ht="24.0" customHeight="1">
      <c r="A819" s="60"/>
      <c r="B819" s="60"/>
      <c r="C819" s="69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</row>
    <row r="820" ht="24.0" customHeight="1">
      <c r="A820" s="60"/>
      <c r="B820" s="60"/>
      <c r="C820" s="69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</row>
    <row r="821" ht="24.0" customHeight="1">
      <c r="A821" s="60"/>
      <c r="B821" s="60"/>
      <c r="C821" s="69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</row>
    <row r="822" ht="24.0" customHeight="1">
      <c r="A822" s="60"/>
      <c r="B822" s="60"/>
      <c r="C822" s="69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</row>
    <row r="823" ht="24.0" customHeight="1">
      <c r="A823" s="60"/>
      <c r="B823" s="60"/>
      <c r="C823" s="69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</row>
    <row r="824" ht="24.0" customHeight="1">
      <c r="A824" s="60"/>
      <c r="B824" s="60"/>
      <c r="C824" s="69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</row>
    <row r="825" ht="24.0" customHeight="1">
      <c r="A825" s="60"/>
      <c r="B825" s="60"/>
      <c r="C825" s="69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</row>
    <row r="826" ht="24.0" customHeight="1">
      <c r="A826" s="60"/>
      <c r="B826" s="60"/>
      <c r="C826" s="69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</row>
    <row r="827" ht="24.0" customHeight="1">
      <c r="A827" s="60"/>
      <c r="B827" s="60"/>
      <c r="C827" s="69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</row>
    <row r="828" ht="24.0" customHeight="1">
      <c r="A828" s="60"/>
      <c r="B828" s="60"/>
      <c r="C828" s="69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</row>
    <row r="829" ht="24.0" customHeight="1">
      <c r="A829" s="60"/>
      <c r="B829" s="60"/>
      <c r="C829" s="69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</row>
    <row r="830" ht="24.0" customHeight="1">
      <c r="A830" s="60"/>
      <c r="B830" s="60"/>
      <c r="C830" s="69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</row>
    <row r="831" ht="24.0" customHeight="1">
      <c r="A831" s="60"/>
      <c r="B831" s="60"/>
      <c r="C831" s="69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</row>
    <row r="832" ht="24.0" customHeight="1">
      <c r="A832" s="60"/>
      <c r="B832" s="60"/>
      <c r="C832" s="69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</row>
    <row r="833" ht="24.0" customHeight="1">
      <c r="A833" s="60"/>
      <c r="B833" s="60"/>
      <c r="C833" s="69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</row>
    <row r="834" ht="24.0" customHeight="1">
      <c r="A834" s="60"/>
      <c r="B834" s="60"/>
      <c r="C834" s="69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</row>
    <row r="835" ht="24.0" customHeight="1">
      <c r="A835" s="60"/>
      <c r="B835" s="60"/>
      <c r="C835" s="69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</row>
    <row r="836" ht="24.0" customHeight="1">
      <c r="A836" s="60"/>
      <c r="B836" s="60"/>
      <c r="C836" s="69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</row>
    <row r="837" ht="24.0" customHeight="1">
      <c r="A837" s="60"/>
      <c r="B837" s="60"/>
      <c r="C837" s="69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</row>
    <row r="838" ht="24.0" customHeight="1">
      <c r="A838" s="60"/>
      <c r="B838" s="60"/>
      <c r="C838" s="69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</row>
    <row r="839" ht="24.0" customHeight="1">
      <c r="A839" s="60"/>
      <c r="B839" s="60"/>
      <c r="C839" s="69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</row>
    <row r="840" ht="24.0" customHeight="1">
      <c r="A840" s="60"/>
      <c r="B840" s="60"/>
      <c r="C840" s="69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</row>
    <row r="841" ht="24.0" customHeight="1">
      <c r="A841" s="60"/>
      <c r="B841" s="60"/>
      <c r="C841" s="69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</row>
    <row r="842" ht="24.0" customHeight="1">
      <c r="A842" s="60"/>
      <c r="B842" s="60"/>
      <c r="C842" s="69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</row>
    <row r="843" ht="24.0" customHeight="1">
      <c r="A843" s="60"/>
      <c r="B843" s="60"/>
      <c r="C843" s="69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</row>
    <row r="844" ht="24.0" customHeight="1">
      <c r="A844" s="60"/>
      <c r="B844" s="60"/>
      <c r="C844" s="69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</row>
    <row r="845" ht="24.0" customHeight="1">
      <c r="A845" s="60"/>
      <c r="B845" s="60"/>
      <c r="C845" s="69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</row>
    <row r="846" ht="24.0" customHeight="1">
      <c r="A846" s="60"/>
      <c r="B846" s="60"/>
      <c r="C846" s="69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</row>
    <row r="847" ht="24.0" customHeight="1">
      <c r="A847" s="60"/>
      <c r="B847" s="60"/>
      <c r="C847" s="69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</row>
    <row r="848" ht="24.0" customHeight="1">
      <c r="A848" s="60"/>
      <c r="B848" s="60"/>
      <c r="C848" s="69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</row>
    <row r="849" ht="24.0" customHeight="1">
      <c r="A849" s="60"/>
      <c r="B849" s="60"/>
      <c r="C849" s="69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</row>
    <row r="850" ht="24.0" customHeight="1">
      <c r="A850" s="60"/>
      <c r="B850" s="60"/>
      <c r="C850" s="69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</row>
    <row r="851" ht="24.0" customHeight="1">
      <c r="A851" s="60"/>
      <c r="B851" s="60"/>
      <c r="C851" s="69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</row>
    <row r="852" ht="24.0" customHeight="1">
      <c r="A852" s="60"/>
      <c r="B852" s="60"/>
      <c r="C852" s="69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</row>
    <row r="853" ht="24.0" customHeight="1">
      <c r="A853" s="60"/>
      <c r="B853" s="60"/>
      <c r="C853" s="69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</row>
    <row r="854" ht="24.0" customHeight="1">
      <c r="A854" s="60"/>
      <c r="B854" s="60"/>
      <c r="C854" s="69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</row>
    <row r="855" ht="24.0" customHeight="1">
      <c r="A855" s="60"/>
      <c r="B855" s="60"/>
      <c r="C855" s="69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</row>
    <row r="856" ht="24.0" customHeight="1">
      <c r="A856" s="60"/>
      <c r="B856" s="60"/>
      <c r="C856" s="69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</row>
    <row r="857" ht="24.0" customHeight="1">
      <c r="A857" s="60"/>
      <c r="B857" s="60"/>
      <c r="C857" s="69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</row>
    <row r="858" ht="24.0" customHeight="1">
      <c r="A858" s="60"/>
      <c r="B858" s="60"/>
      <c r="C858" s="69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</row>
    <row r="859" ht="24.0" customHeight="1">
      <c r="A859" s="60"/>
      <c r="B859" s="60"/>
      <c r="C859" s="69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</row>
    <row r="860" ht="24.0" customHeight="1">
      <c r="A860" s="60"/>
      <c r="B860" s="60"/>
      <c r="C860" s="69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</row>
    <row r="861" ht="24.0" customHeight="1">
      <c r="A861" s="60"/>
      <c r="B861" s="60"/>
      <c r="C861" s="69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</row>
    <row r="862" ht="24.0" customHeight="1">
      <c r="A862" s="60"/>
      <c r="B862" s="60"/>
      <c r="C862" s="69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</row>
    <row r="863" ht="24.0" customHeight="1">
      <c r="A863" s="60"/>
      <c r="B863" s="60"/>
      <c r="C863" s="69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</row>
    <row r="864" ht="24.0" customHeight="1">
      <c r="A864" s="60"/>
      <c r="B864" s="60"/>
      <c r="C864" s="69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</row>
    <row r="865" ht="24.0" customHeight="1">
      <c r="A865" s="60"/>
      <c r="B865" s="60"/>
      <c r="C865" s="69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</row>
    <row r="866" ht="24.0" customHeight="1">
      <c r="A866" s="60"/>
      <c r="B866" s="60"/>
      <c r="C866" s="69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</row>
    <row r="867" ht="24.0" customHeight="1">
      <c r="A867" s="60"/>
      <c r="B867" s="60"/>
      <c r="C867" s="69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</row>
    <row r="868" ht="24.0" customHeight="1">
      <c r="A868" s="60"/>
      <c r="B868" s="60"/>
      <c r="C868" s="69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</row>
    <row r="869" ht="24.0" customHeight="1">
      <c r="A869" s="60"/>
      <c r="B869" s="60"/>
      <c r="C869" s="69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</row>
    <row r="870" ht="24.0" customHeight="1">
      <c r="A870" s="60"/>
      <c r="B870" s="60"/>
      <c r="C870" s="69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</row>
    <row r="871" ht="24.0" customHeight="1">
      <c r="A871" s="60"/>
      <c r="B871" s="60"/>
      <c r="C871" s="69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</row>
    <row r="872" ht="24.0" customHeight="1">
      <c r="A872" s="60"/>
      <c r="B872" s="60"/>
      <c r="C872" s="69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</row>
    <row r="873" ht="24.0" customHeight="1">
      <c r="A873" s="60"/>
      <c r="B873" s="60"/>
      <c r="C873" s="69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</row>
    <row r="874" ht="24.0" customHeight="1">
      <c r="A874" s="60"/>
      <c r="B874" s="60"/>
      <c r="C874" s="69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</row>
    <row r="875" ht="24.0" customHeight="1">
      <c r="A875" s="60"/>
      <c r="B875" s="60"/>
      <c r="C875" s="69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</row>
    <row r="876" ht="24.0" customHeight="1">
      <c r="A876" s="60"/>
      <c r="B876" s="60"/>
      <c r="C876" s="69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</row>
    <row r="877" ht="24.0" customHeight="1">
      <c r="A877" s="60"/>
      <c r="B877" s="60"/>
      <c r="C877" s="69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</row>
    <row r="878" ht="24.0" customHeight="1">
      <c r="A878" s="60"/>
      <c r="B878" s="60"/>
      <c r="C878" s="69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</row>
    <row r="879" ht="24.0" customHeight="1">
      <c r="A879" s="60"/>
      <c r="B879" s="60"/>
      <c r="C879" s="69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</row>
    <row r="880" ht="24.0" customHeight="1">
      <c r="A880" s="60"/>
      <c r="B880" s="60"/>
      <c r="C880" s="69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</row>
    <row r="881" ht="24.0" customHeight="1">
      <c r="A881" s="60"/>
      <c r="B881" s="60"/>
      <c r="C881" s="69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</row>
    <row r="882" ht="24.0" customHeight="1">
      <c r="A882" s="60"/>
      <c r="B882" s="60"/>
      <c r="C882" s="69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</row>
    <row r="883" ht="24.0" customHeight="1">
      <c r="A883" s="60"/>
      <c r="B883" s="60"/>
      <c r="C883" s="69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</row>
    <row r="884" ht="24.0" customHeight="1">
      <c r="A884" s="60"/>
      <c r="B884" s="60"/>
      <c r="C884" s="69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</row>
    <row r="885" ht="24.0" customHeight="1">
      <c r="A885" s="60"/>
      <c r="B885" s="60"/>
      <c r="C885" s="69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</row>
    <row r="886" ht="24.0" customHeight="1">
      <c r="A886" s="60"/>
      <c r="B886" s="60"/>
      <c r="C886" s="69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</row>
    <row r="887" ht="24.0" customHeight="1">
      <c r="A887" s="60"/>
      <c r="B887" s="60"/>
      <c r="C887" s="69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</row>
    <row r="888" ht="24.0" customHeight="1">
      <c r="A888" s="60"/>
      <c r="B888" s="60"/>
      <c r="C888" s="69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</row>
    <row r="889" ht="24.0" customHeight="1">
      <c r="A889" s="60"/>
      <c r="B889" s="60"/>
      <c r="C889" s="69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</row>
    <row r="890" ht="24.0" customHeight="1">
      <c r="A890" s="60"/>
      <c r="B890" s="60"/>
      <c r="C890" s="69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</row>
    <row r="891" ht="24.0" customHeight="1">
      <c r="A891" s="60"/>
      <c r="B891" s="60"/>
      <c r="C891" s="69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</row>
    <row r="892" ht="24.0" customHeight="1">
      <c r="A892" s="60"/>
      <c r="B892" s="60"/>
      <c r="C892" s="69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</row>
    <row r="893" ht="24.0" customHeight="1">
      <c r="A893" s="60"/>
      <c r="B893" s="60"/>
      <c r="C893" s="69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</row>
    <row r="894" ht="24.0" customHeight="1">
      <c r="A894" s="60"/>
      <c r="B894" s="60"/>
      <c r="C894" s="69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</row>
    <row r="895" ht="24.0" customHeight="1">
      <c r="A895" s="60"/>
      <c r="B895" s="60"/>
      <c r="C895" s="69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</row>
    <row r="896" ht="24.0" customHeight="1">
      <c r="A896" s="60"/>
      <c r="B896" s="60"/>
      <c r="C896" s="69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</row>
    <row r="897" ht="24.0" customHeight="1">
      <c r="A897" s="60"/>
      <c r="B897" s="60"/>
      <c r="C897" s="69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</row>
    <row r="898" ht="24.0" customHeight="1">
      <c r="A898" s="60"/>
      <c r="B898" s="60"/>
      <c r="C898" s="69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</row>
    <row r="899" ht="24.0" customHeight="1">
      <c r="A899" s="60"/>
      <c r="B899" s="60"/>
      <c r="C899" s="69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</row>
    <row r="900" ht="24.0" customHeight="1">
      <c r="A900" s="60"/>
      <c r="B900" s="60"/>
      <c r="C900" s="69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</row>
    <row r="901" ht="24.0" customHeight="1">
      <c r="A901" s="60"/>
      <c r="B901" s="60"/>
      <c r="C901" s="69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</row>
    <row r="902" ht="24.0" customHeight="1">
      <c r="A902" s="60"/>
      <c r="B902" s="60"/>
      <c r="C902" s="69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</row>
    <row r="903" ht="24.0" customHeight="1">
      <c r="A903" s="60"/>
      <c r="B903" s="60"/>
      <c r="C903" s="69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</row>
    <row r="904" ht="24.0" customHeight="1">
      <c r="A904" s="60"/>
      <c r="B904" s="60"/>
      <c r="C904" s="69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</row>
    <row r="905" ht="24.0" customHeight="1">
      <c r="A905" s="60"/>
      <c r="B905" s="60"/>
      <c r="C905" s="69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</row>
    <row r="906" ht="24.0" customHeight="1">
      <c r="A906" s="60"/>
      <c r="B906" s="60"/>
      <c r="C906" s="69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</row>
    <row r="907" ht="24.0" customHeight="1">
      <c r="A907" s="60"/>
      <c r="B907" s="60"/>
      <c r="C907" s="69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</row>
    <row r="908" ht="24.0" customHeight="1">
      <c r="A908" s="60"/>
      <c r="B908" s="60"/>
      <c r="C908" s="69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</row>
    <row r="909" ht="24.0" customHeight="1">
      <c r="A909" s="60"/>
      <c r="B909" s="60"/>
      <c r="C909" s="69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</row>
    <row r="910" ht="24.0" customHeight="1">
      <c r="A910" s="60"/>
      <c r="B910" s="60"/>
      <c r="C910" s="69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</row>
    <row r="911" ht="24.0" customHeight="1">
      <c r="A911" s="60"/>
      <c r="B911" s="60"/>
      <c r="C911" s="69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</row>
    <row r="912" ht="24.0" customHeight="1">
      <c r="A912" s="60"/>
      <c r="B912" s="60"/>
      <c r="C912" s="69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</row>
    <row r="913" ht="24.0" customHeight="1">
      <c r="A913" s="60"/>
      <c r="B913" s="60"/>
      <c r="C913" s="69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</row>
    <row r="914" ht="24.0" customHeight="1">
      <c r="A914" s="60"/>
      <c r="B914" s="60"/>
      <c r="C914" s="69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</row>
    <row r="915" ht="24.0" customHeight="1">
      <c r="A915" s="60"/>
      <c r="B915" s="60"/>
      <c r="C915" s="69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</row>
    <row r="916" ht="24.0" customHeight="1">
      <c r="A916" s="60"/>
      <c r="B916" s="60"/>
      <c r="C916" s="69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</row>
    <row r="917" ht="24.0" customHeight="1">
      <c r="A917" s="60"/>
      <c r="B917" s="60"/>
      <c r="C917" s="69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</row>
    <row r="918" ht="24.0" customHeight="1">
      <c r="A918" s="60"/>
      <c r="B918" s="60"/>
      <c r="C918" s="69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</row>
    <row r="919" ht="24.0" customHeight="1">
      <c r="A919" s="60"/>
      <c r="B919" s="60"/>
      <c r="C919" s="69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</row>
    <row r="920" ht="24.0" customHeight="1">
      <c r="A920" s="60"/>
      <c r="B920" s="60"/>
      <c r="C920" s="69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</row>
    <row r="921" ht="24.0" customHeight="1">
      <c r="A921" s="60"/>
      <c r="B921" s="60"/>
      <c r="C921" s="69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</row>
    <row r="922" ht="24.0" customHeight="1">
      <c r="A922" s="60"/>
      <c r="B922" s="60"/>
      <c r="C922" s="69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</row>
    <row r="923" ht="24.0" customHeight="1">
      <c r="A923" s="60"/>
      <c r="B923" s="60"/>
      <c r="C923" s="69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</row>
    <row r="924" ht="24.0" customHeight="1">
      <c r="A924" s="60"/>
      <c r="B924" s="60"/>
      <c r="C924" s="69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</row>
    <row r="925" ht="24.0" customHeight="1">
      <c r="A925" s="60"/>
      <c r="B925" s="60"/>
      <c r="C925" s="69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</row>
    <row r="926" ht="24.0" customHeight="1">
      <c r="A926" s="60"/>
      <c r="B926" s="60"/>
      <c r="C926" s="69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</row>
    <row r="927" ht="24.0" customHeight="1">
      <c r="A927" s="60"/>
      <c r="B927" s="60"/>
      <c r="C927" s="69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</row>
    <row r="928" ht="24.0" customHeight="1">
      <c r="A928" s="60"/>
      <c r="B928" s="60"/>
      <c r="C928" s="69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</row>
    <row r="929" ht="24.0" customHeight="1">
      <c r="A929" s="60"/>
      <c r="B929" s="60"/>
      <c r="C929" s="69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</row>
    <row r="930" ht="24.0" customHeight="1">
      <c r="A930" s="60"/>
      <c r="B930" s="60"/>
      <c r="C930" s="69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</row>
    <row r="931" ht="24.0" customHeight="1">
      <c r="A931" s="60"/>
      <c r="B931" s="60"/>
      <c r="C931" s="69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</row>
    <row r="932" ht="24.0" customHeight="1">
      <c r="A932" s="60"/>
      <c r="B932" s="60"/>
      <c r="C932" s="69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</row>
    <row r="933" ht="24.0" customHeight="1">
      <c r="A933" s="60"/>
      <c r="B933" s="60"/>
      <c r="C933" s="69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</row>
    <row r="934" ht="24.0" customHeight="1">
      <c r="A934" s="60"/>
      <c r="B934" s="60"/>
      <c r="C934" s="69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</row>
    <row r="935" ht="24.0" customHeight="1">
      <c r="A935" s="60"/>
      <c r="B935" s="60"/>
      <c r="C935" s="69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</row>
    <row r="936" ht="24.0" customHeight="1">
      <c r="A936" s="60"/>
      <c r="B936" s="60"/>
      <c r="C936" s="69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</row>
    <row r="937" ht="24.0" customHeight="1">
      <c r="A937" s="60"/>
      <c r="B937" s="60"/>
      <c r="C937" s="69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</row>
    <row r="938" ht="24.0" customHeight="1">
      <c r="A938" s="60"/>
      <c r="B938" s="60"/>
      <c r="C938" s="69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</row>
    <row r="939" ht="24.0" customHeight="1">
      <c r="A939" s="60"/>
      <c r="B939" s="60"/>
      <c r="C939" s="69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</row>
    <row r="940" ht="24.0" customHeight="1">
      <c r="A940" s="60"/>
      <c r="B940" s="60"/>
      <c r="C940" s="69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</row>
    <row r="941" ht="24.0" customHeight="1">
      <c r="A941" s="60"/>
      <c r="B941" s="60"/>
      <c r="C941" s="69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</row>
    <row r="942" ht="24.0" customHeight="1">
      <c r="A942" s="60"/>
      <c r="B942" s="60"/>
      <c r="C942" s="69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</row>
    <row r="943" ht="24.0" customHeight="1">
      <c r="A943" s="60"/>
      <c r="B943" s="60"/>
      <c r="C943" s="69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</row>
    <row r="944" ht="24.0" customHeight="1">
      <c r="A944" s="60"/>
      <c r="B944" s="60"/>
      <c r="C944" s="69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</row>
    <row r="945" ht="24.0" customHeight="1">
      <c r="A945" s="60"/>
      <c r="B945" s="60"/>
      <c r="C945" s="69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</row>
    <row r="946" ht="24.0" customHeight="1">
      <c r="A946" s="60"/>
      <c r="B946" s="60"/>
      <c r="C946" s="69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</row>
    <row r="947" ht="24.0" customHeight="1">
      <c r="A947" s="60"/>
      <c r="B947" s="60"/>
      <c r="C947" s="69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</row>
    <row r="948" ht="24.0" customHeight="1">
      <c r="A948" s="60"/>
      <c r="B948" s="60"/>
      <c r="C948" s="69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</row>
    <row r="949" ht="24.0" customHeight="1">
      <c r="A949" s="60"/>
      <c r="B949" s="60"/>
      <c r="C949" s="69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</row>
    <row r="950" ht="24.0" customHeight="1">
      <c r="A950" s="60"/>
      <c r="B950" s="60"/>
      <c r="C950" s="69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</row>
    <row r="951" ht="24.0" customHeight="1">
      <c r="A951" s="60"/>
      <c r="B951" s="60"/>
      <c r="C951" s="69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</row>
    <row r="952" ht="24.0" customHeight="1">
      <c r="A952" s="60"/>
      <c r="B952" s="60"/>
      <c r="C952" s="69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</row>
    <row r="953" ht="24.0" customHeight="1">
      <c r="A953" s="60"/>
      <c r="B953" s="60"/>
      <c r="C953" s="69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</row>
    <row r="954" ht="24.0" customHeight="1">
      <c r="A954" s="60"/>
      <c r="B954" s="60"/>
      <c r="C954" s="69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</row>
    <row r="955" ht="24.0" customHeight="1">
      <c r="A955" s="60"/>
      <c r="B955" s="60"/>
      <c r="C955" s="69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</row>
    <row r="956" ht="24.0" customHeight="1">
      <c r="A956" s="60"/>
      <c r="B956" s="60"/>
      <c r="C956" s="69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</row>
    <row r="957" ht="24.0" customHeight="1">
      <c r="A957" s="60"/>
      <c r="B957" s="60"/>
      <c r="C957" s="69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</row>
    <row r="958" ht="24.0" customHeight="1">
      <c r="A958" s="60"/>
      <c r="B958" s="60"/>
      <c r="C958" s="69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</row>
    <row r="959" ht="24.0" customHeight="1">
      <c r="A959" s="60"/>
      <c r="B959" s="60"/>
      <c r="C959" s="69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</row>
    <row r="960" ht="24.0" customHeight="1">
      <c r="A960" s="60"/>
      <c r="B960" s="60"/>
      <c r="C960" s="69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</row>
    <row r="961" ht="24.0" customHeight="1">
      <c r="A961" s="60"/>
      <c r="B961" s="60"/>
      <c r="C961" s="69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</row>
    <row r="962" ht="24.0" customHeight="1">
      <c r="A962" s="60"/>
      <c r="B962" s="60"/>
      <c r="C962" s="69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</row>
    <row r="963" ht="24.0" customHeight="1">
      <c r="A963" s="60"/>
      <c r="B963" s="60"/>
      <c r="C963" s="69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</row>
    <row r="964" ht="24.0" customHeight="1">
      <c r="A964" s="60"/>
      <c r="B964" s="60"/>
      <c r="C964" s="69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</row>
    <row r="965" ht="24.0" customHeight="1">
      <c r="A965" s="60"/>
      <c r="B965" s="60"/>
      <c r="C965" s="69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</row>
    <row r="966" ht="24.0" customHeight="1">
      <c r="A966" s="60"/>
      <c r="B966" s="60"/>
      <c r="C966" s="69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</row>
    <row r="967" ht="24.0" customHeight="1">
      <c r="A967" s="60"/>
      <c r="B967" s="60"/>
      <c r="C967" s="69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</row>
    <row r="968" ht="24.0" customHeight="1">
      <c r="A968" s="60"/>
      <c r="B968" s="60"/>
      <c r="C968" s="69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</row>
    <row r="969" ht="24.0" customHeight="1">
      <c r="A969" s="60"/>
      <c r="B969" s="60"/>
      <c r="C969" s="69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</row>
    <row r="970" ht="24.0" customHeight="1">
      <c r="A970" s="60"/>
      <c r="B970" s="60"/>
      <c r="C970" s="69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</row>
    <row r="971" ht="24.0" customHeight="1">
      <c r="A971" s="60"/>
      <c r="B971" s="60"/>
      <c r="C971" s="69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</row>
    <row r="972" ht="24.0" customHeight="1">
      <c r="A972" s="60"/>
      <c r="B972" s="60"/>
      <c r="C972" s="69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</row>
    <row r="973" ht="24.0" customHeight="1">
      <c r="A973" s="60"/>
      <c r="B973" s="60"/>
      <c r="C973" s="69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</row>
    <row r="974" ht="24.0" customHeight="1">
      <c r="A974" s="60"/>
      <c r="B974" s="60"/>
      <c r="C974" s="69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</row>
    <row r="975" ht="24.0" customHeight="1">
      <c r="A975" s="60"/>
      <c r="B975" s="60"/>
      <c r="C975" s="69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</row>
    <row r="976" ht="24.0" customHeight="1">
      <c r="A976" s="60"/>
      <c r="B976" s="60"/>
      <c r="C976" s="69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</row>
    <row r="977" ht="24.0" customHeight="1">
      <c r="A977" s="60"/>
      <c r="B977" s="60"/>
      <c r="C977" s="69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</row>
    <row r="978" ht="24.0" customHeight="1">
      <c r="A978" s="60"/>
      <c r="B978" s="60"/>
      <c r="C978" s="69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</row>
    <row r="979" ht="24.0" customHeight="1">
      <c r="A979" s="60"/>
      <c r="B979" s="60"/>
      <c r="C979" s="69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</row>
    <row r="980" ht="24.0" customHeight="1">
      <c r="A980" s="60"/>
      <c r="B980" s="60"/>
      <c r="C980" s="69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</row>
    <row r="981" ht="24.0" customHeight="1">
      <c r="A981" s="60"/>
      <c r="B981" s="60"/>
      <c r="C981" s="69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</row>
    <row r="982" ht="24.0" customHeight="1">
      <c r="A982" s="60"/>
      <c r="B982" s="60"/>
      <c r="C982" s="69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</row>
    <row r="983" ht="24.0" customHeight="1">
      <c r="A983" s="60"/>
      <c r="B983" s="60"/>
      <c r="C983" s="69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</row>
    <row r="984" ht="24.0" customHeight="1">
      <c r="A984" s="60"/>
      <c r="B984" s="60"/>
      <c r="C984" s="69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</row>
    <row r="985" ht="24.0" customHeight="1">
      <c r="A985" s="60"/>
      <c r="B985" s="60"/>
      <c r="C985" s="69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</row>
    <row r="986" ht="24.0" customHeight="1">
      <c r="A986" s="60"/>
      <c r="B986" s="60"/>
      <c r="C986" s="69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</row>
    <row r="987" ht="24.0" customHeight="1">
      <c r="A987" s="60"/>
      <c r="B987" s="60"/>
      <c r="C987" s="69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</row>
    <row r="988" ht="24.0" customHeight="1">
      <c r="A988" s="60"/>
      <c r="B988" s="60"/>
      <c r="C988" s="69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</row>
    <row r="989" ht="24.0" customHeight="1">
      <c r="A989" s="60"/>
      <c r="B989" s="60"/>
      <c r="C989" s="69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</row>
    <row r="990" ht="24.0" customHeight="1">
      <c r="A990" s="60"/>
      <c r="B990" s="60"/>
      <c r="C990" s="69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</row>
    <row r="991" ht="24.0" customHeight="1">
      <c r="A991" s="60"/>
      <c r="B991" s="60"/>
      <c r="C991" s="69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</row>
    <row r="992" ht="24.0" customHeight="1">
      <c r="A992" s="60"/>
      <c r="B992" s="60"/>
      <c r="C992" s="69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</row>
    <row r="993" ht="24.0" customHeight="1">
      <c r="A993" s="60"/>
      <c r="B993" s="60"/>
      <c r="C993" s="69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</row>
    <row r="994" ht="24.0" customHeight="1">
      <c r="A994" s="60"/>
      <c r="B994" s="60"/>
      <c r="C994" s="69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</row>
    <row r="995" ht="24.0" customHeight="1">
      <c r="A995" s="60"/>
      <c r="B995" s="60"/>
      <c r="C995" s="69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</row>
    <row r="996" ht="24.0" customHeight="1">
      <c r="A996" s="60"/>
      <c r="B996" s="60"/>
      <c r="C996" s="69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</row>
    <row r="997" ht="24.0" customHeight="1">
      <c r="A997" s="60"/>
      <c r="B997" s="60"/>
      <c r="C997" s="69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</row>
    <row r="998" ht="24.0" customHeight="1">
      <c r="A998" s="60"/>
      <c r="B998" s="60"/>
      <c r="C998" s="69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</row>
    <row r="999" ht="24.0" customHeight="1">
      <c r="A999" s="60"/>
      <c r="B999" s="60"/>
      <c r="C999" s="69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</row>
    <row r="1000" ht="24.0" customHeight="1">
      <c r="A1000" s="60"/>
      <c r="B1000" s="60"/>
      <c r="C1000" s="69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</row>
    <row r="1001" ht="24.0" customHeight="1">
      <c r="A1001" s="60"/>
      <c r="B1001" s="60"/>
      <c r="C1001" s="69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</row>
  </sheetData>
  <mergeCells count="1">
    <mergeCell ref="H3:H6"/>
  </mergeCells>
  <conditionalFormatting sqref="H2">
    <cfRule type="notContainsBlanks" dxfId="0" priority="1">
      <formula>LEN(TRIM(H2))&gt;0</formula>
    </cfRule>
  </conditionalFormatting>
  <dataValidations>
    <dataValidation type="list" allowBlank="1" showInputMessage="1" showErrorMessage="1" prompt="按一下並輸入項目清單中的值" sqref="B2">
      <formula1>"選擇類別,售出,收帳,買入,內轉"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4.75"/>
    <col customWidth="1" min="13" max="13" width="14.0"/>
  </cols>
  <sheetData>
    <row r="1" ht="30.0" customHeight="1">
      <c r="A1" s="82" t="s">
        <v>156</v>
      </c>
      <c r="B1" s="83">
        <v>302487.0</v>
      </c>
      <c r="C1" s="84"/>
      <c r="D1" s="82"/>
      <c r="E1" s="83"/>
      <c r="F1" s="85"/>
      <c r="G1" s="86"/>
      <c r="H1" s="87" t="s">
        <v>157</v>
      </c>
      <c r="I1" s="86" t="s">
        <v>0</v>
      </c>
      <c r="J1" s="83" t="s">
        <v>158</v>
      </c>
      <c r="K1" s="88"/>
      <c r="L1" s="85"/>
      <c r="M1" s="82" t="s">
        <v>159</v>
      </c>
      <c r="N1" s="86" t="s">
        <v>160</v>
      </c>
      <c r="O1" s="83" t="s">
        <v>161</v>
      </c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30.0" customHeight="1">
      <c r="A2" s="82" t="s">
        <v>162</v>
      </c>
      <c r="B2" s="83">
        <v>315835.0</v>
      </c>
      <c r="C2" s="84"/>
      <c r="D2" s="82"/>
      <c r="E2" s="83"/>
      <c r="F2" s="84"/>
      <c r="G2" s="84"/>
      <c r="H2" s="82" t="s">
        <v>139</v>
      </c>
      <c r="I2" s="88">
        <v>46106.0</v>
      </c>
      <c r="J2" s="83">
        <v>506.0</v>
      </c>
      <c r="K2" s="84"/>
      <c r="L2" s="84"/>
      <c r="M2" s="89">
        <v>46093.0</v>
      </c>
      <c r="N2" s="85">
        <v>81000.0</v>
      </c>
      <c r="O2" s="83">
        <v>81000.0</v>
      </c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30.0" customHeight="1">
      <c r="A3" s="82" t="s">
        <v>163</v>
      </c>
      <c r="B3" s="83">
        <v>470007.0</v>
      </c>
      <c r="C3" s="84"/>
      <c r="D3" s="82"/>
      <c r="E3" s="83"/>
      <c r="F3" s="84"/>
      <c r="G3" s="84"/>
      <c r="H3" s="82" t="s">
        <v>139</v>
      </c>
      <c r="I3" s="88">
        <v>46110.0</v>
      </c>
      <c r="J3" s="83">
        <v>211.0</v>
      </c>
      <c r="K3" s="84"/>
      <c r="L3" s="84"/>
      <c r="M3" s="89">
        <v>46149.0</v>
      </c>
      <c r="N3" s="85">
        <v>137000.0</v>
      </c>
      <c r="O3" s="83">
        <v>137000.0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30.0" customHeight="1">
      <c r="A4" s="82" t="s">
        <v>164</v>
      </c>
      <c r="B4" s="83">
        <v>136334.0</v>
      </c>
      <c r="C4" s="84"/>
      <c r="D4" s="90"/>
      <c r="E4" s="91"/>
      <c r="F4" s="84"/>
      <c r="G4" s="84"/>
      <c r="H4" s="82" t="s">
        <v>165</v>
      </c>
      <c r="I4" s="88">
        <v>46103.0</v>
      </c>
      <c r="J4" s="83">
        <v>50.0</v>
      </c>
      <c r="K4" s="84"/>
      <c r="L4" s="84"/>
      <c r="M4" s="90"/>
      <c r="N4" s="84"/>
      <c r="O4" s="91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ht="30.0" customHeight="1">
      <c r="A5" s="82" t="s">
        <v>166</v>
      </c>
      <c r="B5" s="83">
        <v>275072.0</v>
      </c>
      <c r="C5" s="84"/>
      <c r="D5" s="90"/>
      <c r="E5" s="91"/>
      <c r="F5" s="84"/>
      <c r="G5" s="84"/>
      <c r="H5" s="82" t="s">
        <v>167</v>
      </c>
      <c r="I5" s="88">
        <v>46100.0</v>
      </c>
      <c r="J5" s="83">
        <v>130.0</v>
      </c>
      <c r="K5" s="84"/>
      <c r="L5" s="84"/>
      <c r="M5" s="90"/>
      <c r="N5" s="84"/>
      <c r="O5" s="91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ht="30.0" customHeight="1">
      <c r="A6" s="82" t="s">
        <v>168</v>
      </c>
      <c r="B6" s="83">
        <v>242619.0</v>
      </c>
      <c r="C6" s="84"/>
      <c r="D6" s="90"/>
      <c r="E6" s="91"/>
      <c r="F6" s="84"/>
      <c r="G6" s="84"/>
      <c r="H6" s="82" t="s">
        <v>167</v>
      </c>
      <c r="I6" s="88">
        <v>46105.0</v>
      </c>
      <c r="J6" s="83">
        <v>190.0</v>
      </c>
      <c r="K6" s="84"/>
      <c r="L6" s="84"/>
      <c r="M6" s="90"/>
      <c r="N6" s="84"/>
      <c r="O6" s="9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ht="30.0" customHeight="1">
      <c r="A7" s="82" t="s">
        <v>169</v>
      </c>
      <c r="B7" s="83">
        <v>500000.0</v>
      </c>
      <c r="C7" s="85"/>
      <c r="D7" s="90"/>
      <c r="E7" s="91"/>
      <c r="F7" s="84"/>
      <c r="G7" s="84"/>
      <c r="H7" s="82" t="s">
        <v>170</v>
      </c>
      <c r="I7" s="88">
        <v>46107.0</v>
      </c>
      <c r="J7" s="83">
        <v>211.0</v>
      </c>
      <c r="K7" s="84"/>
      <c r="L7" s="84"/>
      <c r="M7" s="90"/>
      <c r="N7" s="84"/>
      <c r="O7" s="9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ht="30.0" customHeight="1">
      <c r="A8" s="82" t="s">
        <v>171</v>
      </c>
      <c r="B8" s="83">
        <v>775968.0</v>
      </c>
      <c r="C8" s="84"/>
      <c r="D8" s="90"/>
      <c r="E8" s="91"/>
      <c r="F8" s="84"/>
      <c r="G8" s="84"/>
      <c r="H8" s="82" t="s">
        <v>172</v>
      </c>
      <c r="I8" s="88">
        <v>46101.0</v>
      </c>
      <c r="J8" s="83">
        <v>320.0</v>
      </c>
      <c r="K8" s="84"/>
      <c r="L8" s="84"/>
      <c r="M8" s="90"/>
      <c r="N8" s="84"/>
      <c r="O8" s="9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30.0" customHeight="1">
      <c r="A9" s="82" t="s">
        <v>173</v>
      </c>
      <c r="B9" s="83">
        <v>81187.0</v>
      </c>
      <c r="C9" s="84"/>
      <c r="D9" s="90"/>
      <c r="E9" s="83"/>
      <c r="F9" s="84"/>
      <c r="G9" s="84"/>
      <c r="H9" s="82" t="s">
        <v>174</v>
      </c>
      <c r="I9" s="88">
        <v>46107.0</v>
      </c>
      <c r="J9" s="83">
        <v>150.0</v>
      </c>
      <c r="K9" s="84"/>
      <c r="L9" s="84"/>
      <c r="M9" s="90"/>
      <c r="N9" s="84"/>
      <c r="O9" s="9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30.0" customHeight="1">
      <c r="A10" s="82" t="s">
        <v>175</v>
      </c>
      <c r="B10" s="83">
        <v>52888.0</v>
      </c>
      <c r="C10" s="85" t="s">
        <v>176</v>
      </c>
      <c r="D10" s="90"/>
      <c r="E10" s="83"/>
      <c r="F10" s="84"/>
      <c r="G10" s="84"/>
      <c r="H10" s="82" t="s">
        <v>177</v>
      </c>
      <c r="I10" s="88">
        <v>46109.0</v>
      </c>
      <c r="J10" s="83">
        <v>423.0</v>
      </c>
      <c r="K10" s="84"/>
      <c r="L10" s="84"/>
      <c r="M10" s="90"/>
      <c r="N10" s="84"/>
      <c r="O10" s="9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30.0" customHeight="1">
      <c r="A11" s="82" t="s">
        <v>178</v>
      </c>
      <c r="B11" s="83">
        <v>65454.0</v>
      </c>
      <c r="C11" s="85" t="s">
        <v>179</v>
      </c>
      <c r="D11" s="90"/>
      <c r="E11" s="83"/>
      <c r="F11" s="84"/>
      <c r="G11" s="84"/>
      <c r="H11" s="82" t="s">
        <v>177</v>
      </c>
      <c r="I11" s="88">
        <v>46109.0</v>
      </c>
      <c r="J11" s="83">
        <v>265.0</v>
      </c>
      <c r="K11" s="84"/>
      <c r="L11" s="84"/>
      <c r="M11" s="90"/>
      <c r="N11" s="84"/>
      <c r="O11" s="9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30.0" customHeight="1">
      <c r="A12" s="82" t="s">
        <v>180</v>
      </c>
      <c r="B12" s="83">
        <v>0.0</v>
      </c>
      <c r="C12" s="84"/>
      <c r="D12" s="90"/>
      <c r="E12" s="83"/>
      <c r="F12" s="84"/>
      <c r="G12" s="84"/>
      <c r="H12" s="82" t="s">
        <v>174</v>
      </c>
      <c r="I12" s="88">
        <v>46110.0</v>
      </c>
      <c r="J12" s="83">
        <v>600.0</v>
      </c>
      <c r="K12" s="84"/>
      <c r="L12" s="84"/>
      <c r="M12" s="90"/>
      <c r="N12" s="84"/>
      <c r="O12" s="9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30.0" customHeight="1">
      <c r="A13" s="82" t="s">
        <v>181</v>
      </c>
      <c r="B13" s="83">
        <v>161282.0</v>
      </c>
      <c r="C13" s="84"/>
      <c r="D13" s="90"/>
      <c r="E13" s="91"/>
      <c r="F13" s="84"/>
      <c r="G13" s="84"/>
      <c r="H13" s="82" t="s">
        <v>174</v>
      </c>
      <c r="I13" s="88">
        <v>46111.0</v>
      </c>
      <c r="J13" s="83">
        <v>180.0</v>
      </c>
      <c r="K13" s="84"/>
      <c r="L13" s="84"/>
      <c r="M13" s="90"/>
      <c r="N13" s="84"/>
      <c r="O13" s="9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30.0" customHeight="1">
      <c r="A14" s="82" t="s">
        <v>182</v>
      </c>
      <c r="B14" s="83">
        <v>-2665300.0</v>
      </c>
      <c r="C14" s="85"/>
      <c r="D14" s="90"/>
      <c r="E14" s="91"/>
      <c r="F14" s="84"/>
      <c r="G14" s="84"/>
      <c r="H14" s="82" t="s">
        <v>183</v>
      </c>
      <c r="I14" s="88">
        <v>46113.0</v>
      </c>
      <c r="J14" s="83">
        <v>-4660.0</v>
      </c>
      <c r="K14" s="84"/>
      <c r="L14" s="84"/>
      <c r="M14" s="90"/>
      <c r="N14" s="84"/>
      <c r="O14" s="9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30.0" customHeight="1">
      <c r="A15" s="82" t="s">
        <v>184</v>
      </c>
      <c r="B15" s="83">
        <v>-25000.0</v>
      </c>
      <c r="C15" s="85"/>
      <c r="D15" s="90"/>
      <c r="E15" s="91"/>
      <c r="F15" s="84"/>
      <c r="G15" s="84"/>
      <c r="H15" s="82" t="s">
        <v>165</v>
      </c>
      <c r="I15" s="88">
        <v>46114.0</v>
      </c>
      <c r="J15" s="83">
        <v>90.0</v>
      </c>
      <c r="K15" s="84"/>
      <c r="L15" s="84"/>
      <c r="M15" s="90"/>
      <c r="N15" s="84"/>
      <c r="O15" s="9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30.0" customHeight="1">
      <c r="A16" s="82" t="s">
        <v>185</v>
      </c>
      <c r="B16" s="83">
        <v>-100000.0</v>
      </c>
      <c r="C16" s="84"/>
      <c r="D16" s="90"/>
      <c r="E16" s="91"/>
      <c r="F16" s="84"/>
      <c r="G16" s="84"/>
      <c r="H16" s="82" t="s">
        <v>141</v>
      </c>
      <c r="I16" s="88">
        <v>46115.0</v>
      </c>
      <c r="J16" s="83">
        <v>45.0</v>
      </c>
      <c r="K16" s="84"/>
      <c r="L16" s="84"/>
      <c r="M16" s="90"/>
      <c r="N16" s="84"/>
      <c r="O16" s="9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30.0" customHeight="1">
      <c r="A17" s="82" t="s">
        <v>147</v>
      </c>
      <c r="B17" s="83">
        <v>7391.0</v>
      </c>
      <c r="C17" s="84"/>
      <c r="D17" s="90"/>
      <c r="E17" s="91"/>
      <c r="F17" s="84"/>
      <c r="G17" s="84"/>
      <c r="H17" s="82" t="s">
        <v>186</v>
      </c>
      <c r="I17" s="88">
        <v>46118.0</v>
      </c>
      <c r="J17" s="83">
        <v>1000.0</v>
      </c>
      <c r="K17" s="84"/>
      <c r="L17" s="84"/>
      <c r="M17" s="90"/>
      <c r="N17" s="84"/>
      <c r="O17" s="9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30.0" customHeight="1">
      <c r="A18" s="82" t="s">
        <v>187</v>
      </c>
      <c r="B18" s="83">
        <v>30000.0</v>
      </c>
      <c r="C18" s="84"/>
      <c r="D18" s="90"/>
      <c r="E18" s="91"/>
      <c r="F18" s="84"/>
      <c r="G18" s="84"/>
      <c r="H18" s="82" t="s">
        <v>188</v>
      </c>
      <c r="I18" s="88">
        <v>46121.0</v>
      </c>
      <c r="J18" s="83">
        <v>250.0</v>
      </c>
      <c r="K18" s="84"/>
      <c r="L18" s="84"/>
      <c r="M18" s="90"/>
      <c r="N18" s="84"/>
      <c r="O18" s="9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30.0" customHeight="1">
      <c r="A19" s="82" t="s">
        <v>189</v>
      </c>
      <c r="B19" s="83">
        <v>-1068500.0</v>
      </c>
      <c r="C19" s="85" t="s">
        <v>190</v>
      </c>
      <c r="D19" s="90"/>
      <c r="E19" s="91"/>
      <c r="F19" s="84"/>
      <c r="G19" s="84"/>
      <c r="H19" s="82" t="s">
        <v>186</v>
      </c>
      <c r="I19" s="88">
        <v>46120.0</v>
      </c>
      <c r="J19" s="83">
        <v>250.0</v>
      </c>
      <c r="K19" s="84"/>
      <c r="L19" s="84"/>
      <c r="M19" s="90"/>
      <c r="N19" s="84"/>
      <c r="O19" s="9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ht="30.0" customHeight="1">
      <c r="A20" s="82" t="s">
        <v>191</v>
      </c>
      <c r="B20" s="83">
        <v>96077.0</v>
      </c>
      <c r="C20" s="84"/>
      <c r="D20" s="90"/>
      <c r="E20" s="91"/>
      <c r="F20" s="84"/>
      <c r="G20" s="84"/>
      <c r="H20" s="82" t="s">
        <v>145</v>
      </c>
      <c r="I20" s="88">
        <v>46122.0</v>
      </c>
      <c r="J20" s="83">
        <v>31.7</v>
      </c>
      <c r="K20" s="84"/>
      <c r="L20" s="84"/>
      <c r="M20" s="90"/>
      <c r="N20" s="84"/>
      <c r="O20" s="9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30.0" customHeight="1">
      <c r="A21" s="82" t="s">
        <v>192</v>
      </c>
      <c r="B21" s="10">
        <f>sum(B1:B20)</f>
        <v>-346199</v>
      </c>
      <c r="C21" s="84"/>
      <c r="D21" s="90"/>
      <c r="E21" s="91"/>
      <c r="F21" s="84"/>
      <c r="G21" s="84"/>
      <c r="H21" s="82" t="s">
        <v>193</v>
      </c>
      <c r="I21" s="88">
        <v>46124.0</v>
      </c>
      <c r="J21" s="83">
        <v>-3100.0</v>
      </c>
      <c r="K21" s="84"/>
      <c r="L21" s="84"/>
      <c r="M21" s="90"/>
      <c r="N21" s="84"/>
      <c r="O21" s="9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ht="30.0" customHeight="1">
      <c r="A22" s="90"/>
      <c r="B22" s="91"/>
      <c r="C22" s="84"/>
      <c r="D22" s="90"/>
      <c r="E22" s="91"/>
      <c r="F22" s="84"/>
      <c r="G22" s="84"/>
      <c r="H22" s="82" t="s">
        <v>150</v>
      </c>
      <c r="I22" s="88">
        <v>46122.0</v>
      </c>
      <c r="J22" s="83">
        <v>100.0</v>
      </c>
      <c r="K22" s="84"/>
      <c r="L22" s="84"/>
      <c r="M22" s="90"/>
      <c r="N22" s="84"/>
      <c r="O22" s="9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ht="30.0" customHeight="1">
      <c r="A23" s="90"/>
      <c r="B23" s="91"/>
      <c r="C23" s="84"/>
      <c r="D23" s="90"/>
      <c r="E23" s="91"/>
      <c r="F23" s="84"/>
      <c r="G23" s="84"/>
      <c r="H23" s="82" t="s">
        <v>174</v>
      </c>
      <c r="I23" s="88">
        <v>46126.0</v>
      </c>
      <c r="J23" s="83">
        <v>2000.0</v>
      </c>
      <c r="K23" s="84"/>
      <c r="L23" s="84"/>
      <c r="M23" s="90"/>
      <c r="N23" s="84"/>
      <c r="O23" s="9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30.0" customHeight="1">
      <c r="A24" s="90"/>
      <c r="B24" s="91"/>
      <c r="C24" s="84"/>
      <c r="D24" s="90"/>
      <c r="E24" s="91"/>
      <c r="F24" s="84"/>
      <c r="G24" s="84"/>
      <c r="H24" s="82" t="s">
        <v>150</v>
      </c>
      <c r="I24" s="88">
        <v>46135.0</v>
      </c>
      <c r="J24" s="83">
        <v>40.0</v>
      </c>
      <c r="K24" s="84"/>
      <c r="L24" s="84"/>
      <c r="M24" s="90"/>
      <c r="N24" s="84"/>
      <c r="O24" s="9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30.0" customHeight="1">
      <c r="A25" s="90"/>
      <c r="B25" s="91"/>
      <c r="C25" s="84"/>
      <c r="D25" s="90"/>
      <c r="E25" s="91"/>
      <c r="F25" s="84"/>
      <c r="G25" s="84"/>
      <c r="H25" s="82" t="s">
        <v>153</v>
      </c>
      <c r="I25" s="88">
        <v>46141.0</v>
      </c>
      <c r="J25" s="83">
        <v>507.0</v>
      </c>
      <c r="K25" s="85" t="s">
        <v>194</v>
      </c>
      <c r="L25" s="84"/>
      <c r="M25" s="90"/>
      <c r="N25" s="84"/>
      <c r="O25" s="9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ht="30.0" customHeight="1">
      <c r="A26" s="90"/>
      <c r="B26" s="91"/>
      <c r="C26" s="84"/>
      <c r="D26" s="90"/>
      <c r="E26" s="91"/>
      <c r="F26" s="84"/>
      <c r="G26" s="84"/>
      <c r="H26" s="82" t="s">
        <v>150</v>
      </c>
      <c r="I26" s="88">
        <v>46158.0</v>
      </c>
      <c r="J26" s="83">
        <v>100.0</v>
      </c>
      <c r="K26" s="84"/>
      <c r="L26" s="84"/>
      <c r="M26" s="90"/>
      <c r="N26" s="84"/>
      <c r="O26" s="9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30.0" customHeight="1">
      <c r="A27" s="90"/>
      <c r="B27" s="91"/>
      <c r="C27" s="84"/>
      <c r="D27" s="90"/>
      <c r="E27" s="91"/>
      <c r="F27" s="84"/>
      <c r="G27" s="84"/>
      <c r="H27" s="82" t="s">
        <v>174</v>
      </c>
      <c r="I27" s="88">
        <v>46160.0</v>
      </c>
      <c r="J27" s="83">
        <v>2600.0</v>
      </c>
      <c r="K27" s="84"/>
      <c r="L27" s="84"/>
      <c r="M27" s="90"/>
      <c r="N27" s="84"/>
      <c r="O27" s="9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30.0" customHeight="1">
      <c r="A28" s="90"/>
      <c r="B28" s="91"/>
      <c r="C28" s="84"/>
      <c r="D28" s="90"/>
      <c r="E28" s="91"/>
      <c r="F28" s="84"/>
      <c r="G28" s="84"/>
      <c r="H28" s="82" t="s">
        <v>195</v>
      </c>
      <c r="I28" s="88">
        <v>46162.0</v>
      </c>
      <c r="J28" s="83">
        <v>424.0</v>
      </c>
      <c r="K28" s="84"/>
      <c r="L28" s="84"/>
      <c r="M28" s="90"/>
      <c r="N28" s="84"/>
      <c r="O28" s="9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ht="30.0" customHeight="1">
      <c r="A29" s="90"/>
      <c r="B29" s="91"/>
      <c r="C29" s="84"/>
      <c r="D29" s="90"/>
      <c r="E29" s="91"/>
      <c r="F29" s="84"/>
      <c r="G29" s="84"/>
      <c r="H29" s="82" t="s">
        <v>174</v>
      </c>
      <c r="I29" s="88">
        <v>46169.0</v>
      </c>
      <c r="J29" s="83">
        <v>2800.0</v>
      </c>
      <c r="K29" s="84"/>
      <c r="L29" s="84"/>
      <c r="M29" s="90"/>
      <c r="N29" s="84"/>
      <c r="O29" s="9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ht="30.0" customHeight="1">
      <c r="A30" s="90"/>
      <c r="B30" s="91"/>
      <c r="C30" s="84"/>
      <c r="D30" s="90"/>
      <c r="E30" s="91"/>
      <c r="F30" s="84"/>
      <c r="G30" s="84"/>
      <c r="H30" s="90"/>
      <c r="I30" s="84"/>
      <c r="J30" s="91"/>
      <c r="K30" s="84"/>
      <c r="L30" s="84"/>
      <c r="M30" s="90"/>
      <c r="N30" s="84"/>
      <c r="O30" s="9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30.0" customHeight="1">
      <c r="A31" s="90"/>
      <c r="B31" s="91"/>
      <c r="C31" s="84"/>
      <c r="D31" s="90"/>
      <c r="E31" s="91"/>
      <c r="F31" s="84"/>
      <c r="G31" s="84"/>
      <c r="H31" s="90"/>
      <c r="I31" s="84"/>
      <c r="J31" s="91"/>
      <c r="K31" s="84"/>
      <c r="L31" s="84"/>
      <c r="M31" s="90"/>
      <c r="N31" s="84"/>
      <c r="O31" s="9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30.0" customHeight="1">
      <c r="A32" s="90"/>
      <c r="B32" s="91"/>
      <c r="C32" s="84"/>
      <c r="D32" s="90"/>
      <c r="E32" s="91"/>
      <c r="F32" s="84"/>
      <c r="G32" s="84"/>
      <c r="H32" s="90"/>
      <c r="I32" s="84"/>
      <c r="J32" s="91"/>
      <c r="K32" s="84"/>
      <c r="L32" s="84"/>
      <c r="M32" s="90"/>
      <c r="N32" s="84"/>
      <c r="O32" s="9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30.0" customHeight="1">
      <c r="A33" s="90"/>
      <c r="B33" s="91"/>
      <c r="C33" s="84"/>
      <c r="D33" s="90"/>
      <c r="E33" s="91"/>
      <c r="F33" s="84"/>
      <c r="G33" s="84"/>
      <c r="H33" s="90"/>
      <c r="I33" s="84"/>
      <c r="J33" s="91"/>
      <c r="K33" s="84"/>
      <c r="L33" s="84"/>
      <c r="M33" s="90"/>
      <c r="N33" s="84"/>
      <c r="O33" s="9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ht="30.0" customHeight="1">
      <c r="A34" s="90"/>
      <c r="B34" s="91"/>
      <c r="C34" s="84"/>
      <c r="D34" s="90"/>
      <c r="E34" s="91"/>
      <c r="F34" s="84"/>
      <c r="G34" s="84"/>
      <c r="H34" s="90"/>
      <c r="I34" s="84"/>
      <c r="J34" s="91"/>
      <c r="K34" s="84"/>
      <c r="L34" s="84"/>
      <c r="M34" s="90"/>
      <c r="N34" s="84"/>
      <c r="O34" s="9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ht="30.0" customHeight="1">
      <c r="A35" s="90"/>
      <c r="B35" s="91"/>
      <c r="C35" s="84"/>
      <c r="D35" s="90"/>
      <c r="E35" s="91"/>
      <c r="F35" s="84"/>
      <c r="G35" s="84"/>
      <c r="H35" s="90"/>
      <c r="I35" s="84"/>
      <c r="J35" s="91"/>
      <c r="K35" s="84"/>
      <c r="L35" s="84"/>
      <c r="M35" s="90"/>
      <c r="N35" s="84"/>
      <c r="O35" s="9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ht="30.0" customHeight="1">
      <c r="A36" s="90"/>
      <c r="B36" s="91"/>
      <c r="C36" s="84"/>
      <c r="D36" s="90"/>
      <c r="E36" s="91"/>
      <c r="F36" s="84"/>
      <c r="G36" s="84"/>
      <c r="H36" s="90"/>
      <c r="I36" s="84"/>
      <c r="J36" s="91"/>
      <c r="K36" s="84"/>
      <c r="L36" s="84"/>
      <c r="M36" s="90"/>
      <c r="N36" s="84"/>
      <c r="O36" s="91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30.0" customHeight="1">
      <c r="A37" s="90"/>
      <c r="B37" s="91"/>
      <c r="C37" s="84"/>
      <c r="D37" s="90"/>
      <c r="E37" s="91"/>
      <c r="F37" s="84"/>
      <c r="G37" s="84"/>
      <c r="H37" s="90"/>
      <c r="I37" s="84"/>
      <c r="J37" s="91"/>
      <c r="K37" s="84"/>
      <c r="L37" s="84"/>
      <c r="M37" s="90"/>
      <c r="N37" s="84"/>
      <c r="O37" s="91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30.0" customHeight="1">
      <c r="A38" s="90"/>
      <c r="B38" s="91"/>
      <c r="C38" s="84"/>
      <c r="D38" s="90"/>
      <c r="E38" s="91"/>
      <c r="F38" s="84"/>
      <c r="G38" s="84"/>
      <c r="H38" s="90"/>
      <c r="I38" s="84"/>
      <c r="J38" s="91"/>
      <c r="K38" s="84"/>
      <c r="L38" s="84"/>
      <c r="M38" s="90"/>
      <c r="N38" s="84"/>
      <c r="O38" s="91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ht="30.0" customHeight="1">
      <c r="A39" s="90"/>
      <c r="B39" s="91"/>
      <c r="C39" s="84"/>
      <c r="D39" s="90"/>
      <c r="E39" s="91"/>
      <c r="F39" s="84"/>
      <c r="G39" s="84"/>
      <c r="H39" s="90"/>
      <c r="I39" s="84"/>
      <c r="J39" s="91"/>
      <c r="K39" s="84"/>
      <c r="L39" s="84"/>
      <c r="M39" s="90"/>
      <c r="N39" s="84"/>
      <c r="O39" s="91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30.0" customHeight="1">
      <c r="A40" s="90"/>
      <c r="B40" s="91"/>
      <c r="C40" s="84"/>
      <c r="D40" s="90"/>
      <c r="E40" s="91"/>
      <c r="F40" s="84"/>
      <c r="G40" s="84"/>
      <c r="H40" s="90"/>
      <c r="I40" s="84"/>
      <c r="J40" s="91"/>
      <c r="K40" s="84"/>
      <c r="L40" s="84"/>
      <c r="M40" s="90"/>
      <c r="N40" s="84"/>
      <c r="O40" s="91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ht="30.0" customHeight="1">
      <c r="A41" s="90"/>
      <c r="B41" s="91"/>
      <c r="C41" s="84"/>
      <c r="D41" s="90"/>
      <c r="E41" s="91"/>
      <c r="F41" s="84"/>
      <c r="G41" s="84"/>
      <c r="H41" s="90"/>
      <c r="I41" s="84"/>
      <c r="J41" s="91"/>
      <c r="K41" s="84"/>
      <c r="L41" s="84"/>
      <c r="M41" s="90"/>
      <c r="N41" s="84"/>
      <c r="O41" s="91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ht="30.0" customHeight="1">
      <c r="A42" s="90"/>
      <c r="B42" s="91"/>
      <c r="C42" s="84"/>
      <c r="D42" s="90"/>
      <c r="E42" s="91"/>
      <c r="F42" s="84"/>
      <c r="G42" s="84"/>
      <c r="H42" s="90"/>
      <c r="I42" s="84"/>
      <c r="J42" s="91"/>
      <c r="K42" s="84"/>
      <c r="L42" s="84"/>
      <c r="M42" s="90"/>
      <c r="N42" s="84"/>
      <c r="O42" s="91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ht="30.0" customHeight="1">
      <c r="A43" s="90"/>
      <c r="B43" s="91"/>
      <c r="C43" s="84"/>
      <c r="D43" s="90"/>
      <c r="E43" s="91"/>
      <c r="F43" s="84"/>
      <c r="G43" s="84"/>
      <c r="H43" s="90"/>
      <c r="I43" s="84"/>
      <c r="J43" s="91"/>
      <c r="K43" s="84"/>
      <c r="L43" s="84"/>
      <c r="M43" s="90"/>
      <c r="N43" s="84"/>
      <c r="O43" s="91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ht="30.0" customHeight="1">
      <c r="A44" s="90"/>
      <c r="B44" s="91"/>
      <c r="C44" s="84"/>
      <c r="D44" s="90"/>
      <c r="E44" s="91"/>
      <c r="F44" s="84"/>
      <c r="G44" s="84"/>
      <c r="H44" s="90"/>
      <c r="I44" s="84"/>
      <c r="J44" s="91"/>
      <c r="K44" s="84"/>
      <c r="L44" s="84"/>
      <c r="M44" s="90"/>
      <c r="N44" s="84"/>
      <c r="O44" s="91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ht="30.0" customHeight="1">
      <c r="A45" s="90"/>
      <c r="B45" s="91"/>
      <c r="C45" s="84"/>
      <c r="D45" s="90"/>
      <c r="E45" s="91"/>
      <c r="F45" s="84"/>
      <c r="G45" s="84"/>
      <c r="H45" s="90"/>
      <c r="I45" s="84"/>
      <c r="J45" s="91"/>
      <c r="K45" s="84"/>
      <c r="L45" s="84"/>
      <c r="M45" s="90"/>
      <c r="N45" s="84"/>
      <c r="O45" s="91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ht="30.0" customHeight="1">
      <c r="A46" s="90"/>
      <c r="B46" s="91"/>
      <c r="C46" s="84"/>
      <c r="D46" s="90"/>
      <c r="E46" s="91"/>
      <c r="F46" s="84"/>
      <c r="G46" s="84"/>
      <c r="H46" s="90"/>
      <c r="I46" s="84"/>
      <c r="J46" s="91"/>
      <c r="K46" s="84"/>
      <c r="L46" s="84"/>
      <c r="M46" s="90"/>
      <c r="N46" s="84"/>
      <c r="O46" s="91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ht="30.0" customHeight="1">
      <c r="A47" s="90"/>
      <c r="B47" s="91"/>
      <c r="C47" s="84"/>
      <c r="D47" s="90"/>
      <c r="E47" s="91"/>
      <c r="F47" s="84"/>
      <c r="G47" s="84"/>
      <c r="H47" s="90"/>
      <c r="I47" s="84"/>
      <c r="J47" s="91"/>
      <c r="K47" s="84"/>
      <c r="L47" s="84"/>
      <c r="M47" s="90"/>
      <c r="N47" s="84"/>
      <c r="O47" s="91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ht="30.0" customHeight="1">
      <c r="A48" s="90"/>
      <c r="B48" s="91"/>
      <c r="C48" s="84"/>
      <c r="D48" s="90"/>
      <c r="E48" s="91"/>
      <c r="F48" s="84"/>
      <c r="G48" s="84"/>
      <c r="H48" s="90"/>
      <c r="I48" s="84"/>
      <c r="J48" s="91"/>
      <c r="K48" s="84"/>
      <c r="L48" s="84"/>
      <c r="M48" s="90"/>
      <c r="N48" s="84"/>
      <c r="O48" s="91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ht="30.0" customHeight="1">
      <c r="A49" s="90"/>
      <c r="B49" s="91"/>
      <c r="C49" s="84"/>
      <c r="D49" s="90"/>
      <c r="E49" s="91"/>
      <c r="F49" s="84"/>
      <c r="G49" s="84"/>
      <c r="H49" s="90"/>
      <c r="I49" s="84"/>
      <c r="J49" s="91"/>
      <c r="K49" s="84"/>
      <c r="L49" s="84"/>
      <c r="M49" s="90"/>
      <c r="N49" s="84"/>
      <c r="O49" s="91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ht="30.0" customHeight="1">
      <c r="A50" s="90"/>
      <c r="B50" s="91"/>
      <c r="C50" s="84"/>
      <c r="D50" s="90"/>
      <c r="E50" s="91"/>
      <c r="F50" s="84"/>
      <c r="G50" s="84"/>
      <c r="H50" s="90"/>
      <c r="I50" s="84"/>
      <c r="J50" s="91"/>
      <c r="K50" s="84"/>
      <c r="L50" s="84"/>
      <c r="M50" s="90"/>
      <c r="N50" s="84"/>
      <c r="O50" s="91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ht="30.0" customHeight="1">
      <c r="A51" s="90"/>
      <c r="B51" s="91"/>
      <c r="C51" s="84"/>
      <c r="D51" s="90"/>
      <c r="E51" s="91"/>
      <c r="F51" s="84"/>
      <c r="G51" s="84"/>
      <c r="H51" s="90"/>
      <c r="I51" s="84"/>
      <c r="J51" s="91"/>
      <c r="K51" s="84"/>
      <c r="L51" s="84"/>
      <c r="M51" s="90"/>
      <c r="N51" s="84"/>
      <c r="O51" s="91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ht="30.0" customHeight="1">
      <c r="A52" s="90"/>
      <c r="B52" s="91"/>
      <c r="C52" s="84"/>
      <c r="D52" s="90"/>
      <c r="E52" s="91"/>
      <c r="F52" s="84"/>
      <c r="G52" s="84"/>
      <c r="H52" s="90"/>
      <c r="I52" s="84"/>
      <c r="J52" s="91"/>
      <c r="K52" s="84"/>
      <c r="L52" s="84"/>
      <c r="M52" s="90"/>
      <c r="N52" s="84"/>
      <c r="O52" s="91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ht="30.0" customHeight="1">
      <c r="A53" s="90"/>
      <c r="B53" s="91"/>
      <c r="C53" s="84"/>
      <c r="D53" s="90"/>
      <c r="E53" s="91"/>
      <c r="F53" s="84"/>
      <c r="G53" s="84"/>
      <c r="H53" s="90"/>
      <c r="I53" s="84"/>
      <c r="J53" s="91"/>
      <c r="K53" s="84"/>
      <c r="L53" s="84"/>
      <c r="M53" s="90"/>
      <c r="N53" s="84"/>
      <c r="O53" s="91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ht="30.0" customHeight="1">
      <c r="A54" s="90"/>
      <c r="B54" s="91"/>
      <c r="C54" s="84"/>
      <c r="D54" s="90"/>
      <c r="E54" s="91"/>
      <c r="F54" s="84"/>
      <c r="G54" s="84"/>
      <c r="H54" s="90"/>
      <c r="I54" s="84"/>
      <c r="J54" s="91"/>
      <c r="K54" s="84"/>
      <c r="L54" s="84"/>
      <c r="M54" s="90"/>
      <c r="N54" s="84"/>
      <c r="O54" s="91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ht="30.0" customHeight="1">
      <c r="A55" s="90"/>
      <c r="B55" s="91"/>
      <c r="C55" s="84"/>
      <c r="D55" s="90"/>
      <c r="E55" s="91"/>
      <c r="F55" s="84"/>
      <c r="G55" s="84"/>
      <c r="H55" s="90"/>
      <c r="I55" s="84"/>
      <c r="J55" s="91"/>
      <c r="K55" s="84"/>
      <c r="L55" s="84"/>
      <c r="M55" s="90"/>
      <c r="N55" s="84"/>
      <c r="O55" s="91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ht="30.0" customHeight="1">
      <c r="A56" s="90"/>
      <c r="B56" s="91"/>
      <c r="C56" s="84"/>
      <c r="D56" s="90"/>
      <c r="E56" s="91"/>
      <c r="F56" s="84"/>
      <c r="G56" s="84"/>
      <c r="H56" s="90"/>
      <c r="I56" s="84"/>
      <c r="J56" s="91"/>
      <c r="K56" s="84"/>
      <c r="L56" s="84"/>
      <c r="M56" s="90"/>
      <c r="N56" s="84"/>
      <c r="O56" s="91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ht="30.0" customHeight="1">
      <c r="A57" s="90"/>
      <c r="B57" s="91"/>
      <c r="C57" s="84"/>
      <c r="D57" s="90"/>
      <c r="E57" s="91"/>
      <c r="F57" s="84"/>
      <c r="G57" s="84"/>
      <c r="H57" s="90"/>
      <c r="I57" s="84"/>
      <c r="J57" s="91"/>
      <c r="K57" s="84"/>
      <c r="L57" s="84"/>
      <c r="M57" s="90"/>
      <c r="N57" s="84"/>
      <c r="O57" s="91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ht="30.0" customHeight="1">
      <c r="A58" s="90"/>
      <c r="B58" s="91"/>
      <c r="C58" s="84"/>
      <c r="D58" s="90"/>
      <c r="E58" s="91"/>
      <c r="F58" s="84"/>
      <c r="G58" s="84"/>
      <c r="H58" s="90"/>
      <c r="I58" s="84"/>
      <c r="J58" s="91"/>
      <c r="K58" s="84"/>
      <c r="L58" s="84"/>
      <c r="M58" s="90"/>
      <c r="N58" s="84"/>
      <c r="O58" s="91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30.0" customHeight="1">
      <c r="A59" s="90"/>
      <c r="B59" s="91"/>
      <c r="C59" s="84"/>
      <c r="D59" s="90"/>
      <c r="E59" s="91"/>
      <c r="F59" s="84"/>
      <c r="G59" s="84"/>
      <c r="H59" s="90"/>
      <c r="I59" s="84"/>
      <c r="J59" s="91"/>
      <c r="K59" s="84"/>
      <c r="L59" s="84"/>
      <c r="M59" s="90"/>
      <c r="N59" s="84"/>
      <c r="O59" s="91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ht="30.0" customHeight="1">
      <c r="A60" s="90"/>
      <c r="B60" s="91"/>
      <c r="C60" s="84"/>
      <c r="D60" s="90"/>
      <c r="E60" s="91"/>
      <c r="F60" s="84"/>
      <c r="G60" s="84"/>
      <c r="H60" s="90"/>
      <c r="I60" s="84"/>
      <c r="J60" s="91"/>
      <c r="K60" s="84"/>
      <c r="L60" s="84"/>
      <c r="M60" s="90"/>
      <c r="N60" s="84"/>
      <c r="O60" s="91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ht="30.0" customHeight="1">
      <c r="A61" s="90"/>
      <c r="B61" s="91"/>
      <c r="C61" s="84"/>
      <c r="D61" s="90"/>
      <c r="E61" s="91"/>
      <c r="F61" s="84"/>
      <c r="G61" s="84"/>
      <c r="H61" s="90"/>
      <c r="I61" s="84"/>
      <c r="J61" s="91"/>
      <c r="K61" s="84"/>
      <c r="L61" s="84"/>
      <c r="M61" s="90"/>
      <c r="N61" s="84"/>
      <c r="O61" s="91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30.0" customHeight="1">
      <c r="A62" s="90"/>
      <c r="B62" s="91"/>
      <c r="C62" s="84"/>
      <c r="D62" s="90"/>
      <c r="E62" s="91"/>
      <c r="F62" s="84"/>
      <c r="G62" s="84"/>
      <c r="H62" s="90"/>
      <c r="I62" s="84"/>
      <c r="J62" s="91"/>
      <c r="K62" s="84"/>
      <c r="L62" s="84"/>
      <c r="M62" s="90"/>
      <c r="N62" s="84"/>
      <c r="O62" s="91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30.0" customHeight="1">
      <c r="A63" s="90"/>
      <c r="B63" s="91"/>
      <c r="C63" s="84"/>
      <c r="D63" s="90"/>
      <c r="E63" s="91"/>
      <c r="F63" s="84"/>
      <c r="G63" s="84"/>
      <c r="H63" s="90"/>
      <c r="I63" s="84"/>
      <c r="J63" s="91"/>
      <c r="K63" s="84"/>
      <c r="L63" s="84"/>
      <c r="M63" s="90"/>
      <c r="N63" s="84"/>
      <c r="O63" s="91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30.0" customHeight="1">
      <c r="A64" s="90"/>
      <c r="B64" s="91"/>
      <c r="C64" s="84"/>
      <c r="D64" s="90"/>
      <c r="E64" s="91"/>
      <c r="F64" s="84"/>
      <c r="G64" s="84"/>
      <c r="H64" s="90"/>
      <c r="I64" s="84"/>
      <c r="J64" s="91"/>
      <c r="K64" s="84"/>
      <c r="L64" s="84"/>
      <c r="M64" s="90"/>
      <c r="N64" s="84"/>
      <c r="O64" s="91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30.0" customHeight="1">
      <c r="A65" s="90"/>
      <c r="B65" s="91"/>
      <c r="C65" s="84"/>
      <c r="D65" s="90"/>
      <c r="E65" s="91"/>
      <c r="F65" s="84"/>
      <c r="G65" s="84"/>
      <c r="H65" s="90"/>
      <c r="I65" s="84"/>
      <c r="J65" s="91"/>
      <c r="K65" s="84"/>
      <c r="L65" s="84"/>
      <c r="M65" s="90"/>
      <c r="N65" s="84"/>
      <c r="O65" s="91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30.0" customHeight="1">
      <c r="A66" s="90"/>
      <c r="B66" s="91"/>
      <c r="C66" s="84"/>
      <c r="D66" s="90"/>
      <c r="E66" s="91"/>
      <c r="F66" s="84"/>
      <c r="G66" s="84"/>
      <c r="H66" s="90"/>
      <c r="I66" s="84"/>
      <c r="J66" s="91"/>
      <c r="K66" s="84"/>
      <c r="L66" s="84"/>
      <c r="M66" s="90"/>
      <c r="N66" s="84"/>
      <c r="O66" s="91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30.0" customHeight="1">
      <c r="A67" s="90"/>
      <c r="B67" s="91"/>
      <c r="C67" s="84"/>
      <c r="D67" s="90"/>
      <c r="E67" s="91"/>
      <c r="F67" s="84"/>
      <c r="G67" s="84"/>
      <c r="H67" s="90"/>
      <c r="I67" s="84"/>
      <c r="J67" s="91"/>
      <c r="K67" s="84"/>
      <c r="L67" s="84"/>
      <c r="M67" s="90"/>
      <c r="N67" s="84"/>
      <c r="O67" s="91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30.0" customHeight="1">
      <c r="A68" s="90"/>
      <c r="B68" s="91"/>
      <c r="C68" s="84"/>
      <c r="D68" s="90"/>
      <c r="E68" s="91"/>
      <c r="F68" s="84"/>
      <c r="G68" s="84"/>
      <c r="H68" s="90"/>
      <c r="I68" s="84"/>
      <c r="J68" s="91"/>
      <c r="K68" s="84"/>
      <c r="L68" s="84"/>
      <c r="M68" s="90"/>
      <c r="N68" s="84"/>
      <c r="O68" s="91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ht="30.0" customHeight="1">
      <c r="A69" s="90"/>
      <c r="B69" s="91"/>
      <c r="C69" s="84"/>
      <c r="D69" s="90"/>
      <c r="E69" s="91"/>
      <c r="F69" s="84"/>
      <c r="G69" s="84"/>
      <c r="H69" s="90"/>
      <c r="I69" s="84"/>
      <c r="J69" s="91"/>
      <c r="K69" s="84"/>
      <c r="L69" s="84"/>
      <c r="M69" s="90"/>
      <c r="N69" s="84"/>
      <c r="O69" s="91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30.0" customHeight="1">
      <c r="A70" s="90"/>
      <c r="B70" s="91"/>
      <c r="C70" s="84"/>
      <c r="D70" s="90"/>
      <c r="E70" s="91"/>
      <c r="F70" s="84"/>
      <c r="G70" s="84"/>
      <c r="H70" s="90"/>
      <c r="I70" s="84"/>
      <c r="J70" s="91"/>
      <c r="K70" s="84"/>
      <c r="L70" s="84"/>
      <c r="M70" s="90"/>
      <c r="N70" s="84"/>
      <c r="O70" s="91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30.0" customHeight="1">
      <c r="A71" s="90"/>
      <c r="B71" s="91"/>
      <c r="C71" s="84"/>
      <c r="D71" s="90"/>
      <c r="E71" s="91"/>
      <c r="F71" s="84"/>
      <c r="G71" s="84"/>
      <c r="H71" s="90"/>
      <c r="I71" s="84"/>
      <c r="J71" s="91"/>
      <c r="K71" s="84"/>
      <c r="L71" s="84"/>
      <c r="M71" s="90"/>
      <c r="N71" s="84"/>
      <c r="O71" s="91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30.0" customHeight="1">
      <c r="A72" s="90"/>
      <c r="B72" s="91"/>
      <c r="C72" s="84"/>
      <c r="D72" s="90"/>
      <c r="E72" s="91"/>
      <c r="F72" s="84"/>
      <c r="G72" s="84"/>
      <c r="H72" s="90"/>
      <c r="I72" s="84"/>
      <c r="J72" s="91"/>
      <c r="K72" s="84"/>
      <c r="L72" s="84"/>
      <c r="M72" s="90"/>
      <c r="N72" s="84"/>
      <c r="O72" s="91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30.0" customHeight="1">
      <c r="A73" s="90"/>
      <c r="B73" s="91"/>
      <c r="C73" s="84"/>
      <c r="D73" s="90"/>
      <c r="E73" s="91"/>
      <c r="F73" s="84"/>
      <c r="G73" s="84"/>
      <c r="H73" s="90"/>
      <c r="I73" s="84"/>
      <c r="J73" s="91"/>
      <c r="K73" s="84"/>
      <c r="L73" s="84"/>
      <c r="M73" s="90"/>
      <c r="N73" s="84"/>
      <c r="O73" s="91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30.0" customHeight="1">
      <c r="A74" s="90"/>
      <c r="B74" s="91"/>
      <c r="C74" s="84"/>
      <c r="D74" s="90"/>
      <c r="E74" s="91"/>
      <c r="F74" s="84"/>
      <c r="G74" s="84"/>
      <c r="H74" s="90"/>
      <c r="I74" s="84"/>
      <c r="J74" s="91"/>
      <c r="K74" s="84"/>
      <c r="L74" s="84"/>
      <c r="M74" s="90"/>
      <c r="N74" s="84"/>
      <c r="O74" s="91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30.0" customHeight="1">
      <c r="A75" s="90"/>
      <c r="B75" s="91"/>
      <c r="C75" s="84"/>
      <c r="D75" s="90"/>
      <c r="E75" s="91"/>
      <c r="F75" s="84"/>
      <c r="G75" s="84"/>
      <c r="H75" s="90"/>
      <c r="I75" s="84"/>
      <c r="J75" s="91"/>
      <c r="K75" s="84"/>
      <c r="L75" s="84"/>
      <c r="M75" s="90"/>
      <c r="N75" s="84"/>
      <c r="O75" s="91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ht="30.0" customHeight="1">
      <c r="A76" s="90"/>
      <c r="B76" s="91"/>
      <c r="C76" s="84"/>
      <c r="D76" s="90"/>
      <c r="E76" s="91"/>
      <c r="F76" s="84"/>
      <c r="G76" s="84"/>
      <c r="H76" s="90"/>
      <c r="I76" s="84"/>
      <c r="J76" s="91"/>
      <c r="K76" s="84"/>
      <c r="L76" s="84"/>
      <c r="M76" s="90"/>
      <c r="N76" s="84"/>
      <c r="O76" s="91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ht="30.0" customHeight="1">
      <c r="A77" s="90"/>
      <c r="B77" s="91"/>
      <c r="C77" s="84"/>
      <c r="D77" s="90"/>
      <c r="E77" s="91"/>
      <c r="F77" s="84"/>
      <c r="G77" s="84"/>
      <c r="H77" s="90"/>
      <c r="I77" s="84"/>
      <c r="J77" s="91"/>
      <c r="K77" s="84"/>
      <c r="L77" s="84"/>
      <c r="M77" s="90"/>
      <c r="N77" s="84"/>
      <c r="O77" s="91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ht="30.0" customHeight="1">
      <c r="A78" s="90"/>
      <c r="B78" s="91"/>
      <c r="C78" s="84"/>
      <c r="D78" s="90"/>
      <c r="E78" s="91"/>
      <c r="F78" s="84"/>
      <c r="G78" s="84"/>
      <c r="H78" s="90"/>
      <c r="I78" s="84"/>
      <c r="J78" s="91"/>
      <c r="K78" s="84"/>
      <c r="L78" s="84"/>
      <c r="M78" s="90"/>
      <c r="N78" s="84"/>
      <c r="O78" s="91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ht="30.0" customHeight="1">
      <c r="A79" s="90"/>
      <c r="B79" s="91"/>
      <c r="C79" s="84"/>
      <c r="D79" s="90"/>
      <c r="E79" s="91"/>
      <c r="F79" s="84"/>
      <c r="G79" s="84"/>
      <c r="H79" s="90"/>
      <c r="I79" s="84"/>
      <c r="J79" s="91"/>
      <c r="K79" s="84"/>
      <c r="L79" s="84"/>
      <c r="M79" s="90"/>
      <c r="N79" s="84"/>
      <c r="O79" s="91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ht="30.0" customHeight="1">
      <c r="A80" s="90"/>
      <c r="B80" s="91"/>
      <c r="C80" s="84"/>
      <c r="D80" s="90"/>
      <c r="E80" s="91"/>
      <c r="F80" s="84"/>
      <c r="G80" s="84"/>
      <c r="H80" s="90"/>
      <c r="I80" s="84"/>
      <c r="J80" s="91"/>
      <c r="K80" s="84"/>
      <c r="L80" s="84"/>
      <c r="M80" s="90"/>
      <c r="N80" s="84"/>
      <c r="O80" s="91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ht="30.0" customHeight="1">
      <c r="A81" s="90"/>
      <c r="B81" s="91"/>
      <c r="C81" s="84"/>
      <c r="D81" s="90"/>
      <c r="E81" s="91"/>
      <c r="F81" s="84"/>
      <c r="G81" s="84"/>
      <c r="H81" s="90"/>
      <c r="I81" s="84"/>
      <c r="J81" s="91"/>
      <c r="K81" s="84"/>
      <c r="L81" s="84"/>
      <c r="M81" s="90"/>
      <c r="N81" s="84"/>
      <c r="O81" s="91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ht="30.0" customHeight="1">
      <c r="A82" s="90"/>
      <c r="B82" s="91"/>
      <c r="C82" s="84"/>
      <c r="D82" s="90"/>
      <c r="E82" s="91"/>
      <c r="F82" s="84"/>
      <c r="G82" s="84"/>
      <c r="H82" s="90"/>
      <c r="I82" s="84"/>
      <c r="J82" s="91"/>
      <c r="K82" s="84"/>
      <c r="L82" s="84"/>
      <c r="M82" s="90"/>
      <c r="N82" s="84"/>
      <c r="O82" s="91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ht="30.0" customHeight="1">
      <c r="A83" s="90"/>
      <c r="B83" s="91"/>
      <c r="C83" s="84"/>
      <c r="D83" s="90"/>
      <c r="E83" s="91"/>
      <c r="F83" s="84"/>
      <c r="G83" s="84"/>
      <c r="H83" s="90"/>
      <c r="I83" s="84"/>
      <c r="J83" s="91"/>
      <c r="K83" s="84"/>
      <c r="L83" s="84"/>
      <c r="M83" s="90"/>
      <c r="N83" s="84"/>
      <c r="O83" s="91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ht="30.0" customHeight="1">
      <c r="A84" s="90"/>
      <c r="B84" s="91"/>
      <c r="C84" s="84"/>
      <c r="D84" s="90"/>
      <c r="E84" s="91"/>
      <c r="F84" s="84"/>
      <c r="G84" s="84"/>
      <c r="H84" s="90"/>
      <c r="I84" s="84"/>
      <c r="J84" s="91"/>
      <c r="K84" s="84"/>
      <c r="L84" s="84"/>
      <c r="M84" s="90"/>
      <c r="N84" s="84"/>
      <c r="O84" s="91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ht="30.0" customHeight="1">
      <c r="A85" s="90"/>
      <c r="B85" s="91"/>
      <c r="C85" s="84"/>
      <c r="D85" s="90"/>
      <c r="E85" s="91"/>
      <c r="F85" s="84"/>
      <c r="G85" s="84"/>
      <c r="H85" s="90"/>
      <c r="I85" s="84"/>
      <c r="J85" s="91"/>
      <c r="K85" s="84"/>
      <c r="L85" s="84"/>
      <c r="M85" s="90"/>
      <c r="N85" s="84"/>
      <c r="O85" s="91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ht="30.0" customHeight="1">
      <c r="A86" s="90"/>
      <c r="B86" s="91"/>
      <c r="C86" s="84"/>
      <c r="D86" s="90"/>
      <c r="E86" s="91"/>
      <c r="F86" s="84"/>
      <c r="G86" s="84"/>
      <c r="H86" s="90"/>
      <c r="I86" s="84"/>
      <c r="J86" s="91"/>
      <c r="K86" s="84"/>
      <c r="L86" s="84"/>
      <c r="M86" s="90"/>
      <c r="N86" s="84"/>
      <c r="O86" s="91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ht="30.0" customHeight="1">
      <c r="A87" s="90"/>
      <c r="B87" s="91"/>
      <c r="C87" s="84"/>
      <c r="D87" s="90"/>
      <c r="E87" s="91"/>
      <c r="F87" s="84"/>
      <c r="G87" s="84"/>
      <c r="H87" s="90"/>
      <c r="I87" s="84"/>
      <c r="J87" s="91"/>
      <c r="K87" s="84"/>
      <c r="L87" s="84"/>
      <c r="M87" s="90"/>
      <c r="N87" s="84"/>
      <c r="O87" s="91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ht="30.0" customHeight="1">
      <c r="A88" s="90"/>
      <c r="B88" s="91"/>
      <c r="C88" s="84"/>
      <c r="D88" s="90"/>
      <c r="E88" s="91"/>
      <c r="F88" s="84"/>
      <c r="G88" s="84"/>
      <c r="H88" s="90"/>
      <c r="I88" s="84"/>
      <c r="J88" s="91"/>
      <c r="K88" s="84"/>
      <c r="L88" s="84"/>
      <c r="M88" s="90"/>
      <c r="N88" s="84"/>
      <c r="O88" s="91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ht="30.0" customHeight="1">
      <c r="A89" s="90"/>
      <c r="B89" s="91"/>
      <c r="C89" s="84"/>
      <c r="D89" s="90"/>
      <c r="E89" s="91"/>
      <c r="F89" s="84"/>
      <c r="G89" s="84"/>
      <c r="H89" s="90"/>
      <c r="I89" s="84"/>
      <c r="J89" s="91"/>
      <c r="K89" s="84"/>
      <c r="L89" s="84"/>
      <c r="M89" s="90"/>
      <c r="N89" s="84"/>
      <c r="O89" s="91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30.0" customHeight="1">
      <c r="A90" s="90"/>
      <c r="B90" s="91"/>
      <c r="C90" s="84"/>
      <c r="D90" s="90"/>
      <c r="E90" s="91"/>
      <c r="F90" s="84"/>
      <c r="G90" s="84"/>
      <c r="H90" s="90"/>
      <c r="I90" s="84"/>
      <c r="J90" s="91"/>
      <c r="K90" s="84"/>
      <c r="L90" s="84"/>
      <c r="M90" s="90"/>
      <c r="N90" s="84"/>
      <c r="O90" s="91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30.0" customHeight="1">
      <c r="A91" s="90"/>
      <c r="B91" s="91"/>
      <c r="C91" s="84"/>
      <c r="D91" s="90"/>
      <c r="E91" s="91"/>
      <c r="F91" s="84"/>
      <c r="G91" s="84"/>
      <c r="H91" s="90"/>
      <c r="I91" s="84"/>
      <c r="J91" s="91"/>
      <c r="K91" s="84"/>
      <c r="L91" s="84"/>
      <c r="M91" s="90"/>
      <c r="N91" s="84"/>
      <c r="O91" s="91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30.0" customHeight="1">
      <c r="A92" s="90"/>
      <c r="B92" s="91"/>
      <c r="C92" s="84"/>
      <c r="D92" s="90"/>
      <c r="E92" s="91"/>
      <c r="F92" s="84"/>
      <c r="G92" s="84"/>
      <c r="H92" s="90"/>
      <c r="I92" s="84"/>
      <c r="J92" s="91"/>
      <c r="K92" s="84"/>
      <c r="L92" s="84"/>
      <c r="M92" s="90"/>
      <c r="N92" s="84"/>
      <c r="O92" s="91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30.0" customHeight="1">
      <c r="A93" s="90"/>
      <c r="B93" s="91"/>
      <c r="C93" s="84"/>
      <c r="D93" s="90"/>
      <c r="E93" s="91"/>
      <c r="F93" s="84"/>
      <c r="G93" s="84"/>
      <c r="H93" s="90"/>
      <c r="I93" s="84"/>
      <c r="J93" s="91"/>
      <c r="K93" s="84"/>
      <c r="L93" s="84"/>
      <c r="M93" s="90"/>
      <c r="N93" s="84"/>
      <c r="O93" s="91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30.0" customHeight="1">
      <c r="A94" s="90"/>
      <c r="B94" s="91"/>
      <c r="C94" s="84"/>
      <c r="D94" s="90"/>
      <c r="E94" s="91"/>
      <c r="F94" s="84"/>
      <c r="G94" s="84"/>
      <c r="H94" s="90"/>
      <c r="I94" s="84"/>
      <c r="J94" s="91"/>
      <c r="K94" s="84"/>
      <c r="L94" s="84"/>
      <c r="M94" s="90"/>
      <c r="N94" s="84"/>
      <c r="O94" s="91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30.0" customHeight="1">
      <c r="A95" s="90"/>
      <c r="B95" s="91"/>
      <c r="C95" s="84"/>
      <c r="D95" s="90"/>
      <c r="E95" s="91"/>
      <c r="F95" s="84"/>
      <c r="G95" s="84"/>
      <c r="H95" s="90"/>
      <c r="I95" s="84"/>
      <c r="J95" s="91"/>
      <c r="K95" s="84"/>
      <c r="L95" s="84"/>
      <c r="M95" s="90"/>
      <c r="N95" s="84"/>
      <c r="O95" s="91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30.0" customHeight="1">
      <c r="A96" s="90"/>
      <c r="B96" s="91"/>
      <c r="C96" s="84"/>
      <c r="D96" s="90"/>
      <c r="E96" s="91"/>
      <c r="F96" s="84"/>
      <c r="G96" s="84"/>
      <c r="H96" s="90"/>
      <c r="I96" s="84"/>
      <c r="J96" s="91"/>
      <c r="K96" s="84"/>
      <c r="L96" s="84"/>
      <c r="M96" s="90"/>
      <c r="N96" s="84"/>
      <c r="O96" s="91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30.0" customHeight="1">
      <c r="A97" s="90"/>
      <c r="B97" s="91"/>
      <c r="C97" s="84"/>
      <c r="D97" s="90"/>
      <c r="E97" s="91"/>
      <c r="F97" s="84"/>
      <c r="G97" s="84"/>
      <c r="H97" s="90"/>
      <c r="I97" s="84"/>
      <c r="J97" s="91"/>
      <c r="K97" s="84"/>
      <c r="L97" s="84"/>
      <c r="M97" s="90"/>
      <c r="N97" s="84"/>
      <c r="O97" s="91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30.0" customHeight="1">
      <c r="A98" s="90"/>
      <c r="B98" s="91"/>
      <c r="C98" s="84"/>
      <c r="D98" s="90"/>
      <c r="E98" s="91"/>
      <c r="F98" s="84"/>
      <c r="G98" s="84"/>
      <c r="H98" s="90"/>
      <c r="I98" s="84"/>
      <c r="J98" s="91"/>
      <c r="K98" s="84"/>
      <c r="L98" s="84"/>
      <c r="M98" s="90"/>
      <c r="N98" s="84"/>
      <c r="O98" s="91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30.0" customHeight="1">
      <c r="A99" s="90"/>
      <c r="B99" s="91"/>
      <c r="C99" s="84"/>
      <c r="D99" s="90"/>
      <c r="E99" s="91"/>
      <c r="F99" s="84"/>
      <c r="G99" s="84"/>
      <c r="H99" s="90"/>
      <c r="I99" s="84"/>
      <c r="J99" s="91"/>
      <c r="K99" s="84"/>
      <c r="L99" s="84"/>
      <c r="M99" s="90"/>
      <c r="N99" s="84"/>
      <c r="O99" s="91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30.0" customHeight="1">
      <c r="A100" s="90"/>
      <c r="B100" s="91"/>
      <c r="C100" s="84"/>
      <c r="D100" s="90"/>
      <c r="E100" s="91"/>
      <c r="F100" s="84"/>
      <c r="G100" s="84"/>
      <c r="H100" s="90"/>
      <c r="I100" s="84"/>
      <c r="J100" s="91"/>
      <c r="K100" s="84"/>
      <c r="L100" s="84"/>
      <c r="M100" s="90"/>
      <c r="N100" s="84"/>
      <c r="O100" s="91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30.0" customHeight="1">
      <c r="A101" s="90"/>
      <c r="B101" s="91"/>
      <c r="C101" s="84"/>
      <c r="D101" s="90"/>
      <c r="E101" s="91"/>
      <c r="F101" s="84"/>
      <c r="G101" s="84"/>
      <c r="H101" s="90"/>
      <c r="I101" s="84"/>
      <c r="J101" s="91"/>
      <c r="K101" s="84"/>
      <c r="L101" s="84"/>
      <c r="M101" s="90"/>
      <c r="N101" s="84"/>
      <c r="O101" s="91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30.0" customHeight="1">
      <c r="A102" s="90"/>
      <c r="B102" s="91"/>
      <c r="C102" s="84"/>
      <c r="D102" s="90"/>
      <c r="E102" s="91"/>
      <c r="F102" s="84"/>
      <c r="G102" s="84"/>
      <c r="H102" s="90"/>
      <c r="I102" s="84"/>
      <c r="J102" s="91"/>
      <c r="K102" s="84"/>
      <c r="L102" s="84"/>
      <c r="M102" s="90"/>
      <c r="N102" s="84"/>
      <c r="O102" s="91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30.0" customHeight="1">
      <c r="A103" s="90"/>
      <c r="B103" s="91"/>
      <c r="C103" s="84"/>
      <c r="D103" s="90"/>
      <c r="E103" s="91"/>
      <c r="F103" s="84"/>
      <c r="G103" s="84"/>
      <c r="H103" s="90"/>
      <c r="I103" s="84"/>
      <c r="J103" s="91"/>
      <c r="K103" s="84"/>
      <c r="L103" s="84"/>
      <c r="M103" s="90"/>
      <c r="N103" s="84"/>
      <c r="O103" s="91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30.0" customHeight="1">
      <c r="A104" s="90"/>
      <c r="B104" s="91"/>
      <c r="C104" s="84"/>
      <c r="D104" s="90"/>
      <c r="E104" s="91"/>
      <c r="F104" s="84"/>
      <c r="G104" s="84"/>
      <c r="H104" s="90"/>
      <c r="I104" s="84"/>
      <c r="J104" s="91"/>
      <c r="K104" s="84"/>
      <c r="L104" s="84"/>
      <c r="M104" s="90"/>
      <c r="N104" s="84"/>
      <c r="O104" s="91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30.0" customHeight="1">
      <c r="A105" s="90"/>
      <c r="B105" s="91"/>
      <c r="C105" s="84"/>
      <c r="D105" s="90"/>
      <c r="E105" s="91"/>
      <c r="F105" s="84"/>
      <c r="G105" s="84"/>
      <c r="H105" s="90"/>
      <c r="I105" s="84"/>
      <c r="J105" s="91"/>
      <c r="K105" s="84"/>
      <c r="L105" s="84"/>
      <c r="M105" s="90"/>
      <c r="N105" s="84"/>
      <c r="O105" s="91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30.0" customHeight="1">
      <c r="A106" s="90"/>
      <c r="B106" s="91"/>
      <c r="C106" s="84"/>
      <c r="D106" s="90"/>
      <c r="E106" s="91"/>
      <c r="F106" s="84"/>
      <c r="G106" s="84"/>
      <c r="H106" s="90"/>
      <c r="I106" s="84"/>
      <c r="J106" s="91"/>
      <c r="K106" s="84"/>
      <c r="L106" s="84"/>
      <c r="M106" s="90"/>
      <c r="N106" s="84"/>
      <c r="O106" s="91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30.0" customHeight="1">
      <c r="A107" s="90"/>
      <c r="B107" s="91"/>
      <c r="C107" s="84"/>
      <c r="D107" s="90"/>
      <c r="E107" s="91"/>
      <c r="F107" s="84"/>
      <c r="G107" s="84"/>
      <c r="H107" s="90"/>
      <c r="I107" s="84"/>
      <c r="J107" s="91"/>
      <c r="K107" s="84"/>
      <c r="L107" s="84"/>
      <c r="M107" s="90"/>
      <c r="N107" s="84"/>
      <c r="O107" s="91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30.0" customHeight="1">
      <c r="A108" s="90"/>
      <c r="B108" s="91"/>
      <c r="C108" s="84"/>
      <c r="D108" s="90"/>
      <c r="E108" s="91"/>
      <c r="F108" s="84"/>
      <c r="G108" s="84"/>
      <c r="H108" s="90"/>
      <c r="I108" s="84"/>
      <c r="J108" s="91"/>
      <c r="K108" s="84"/>
      <c r="L108" s="84"/>
      <c r="M108" s="90"/>
      <c r="N108" s="84"/>
      <c r="O108" s="91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30.0" customHeight="1">
      <c r="A109" s="90"/>
      <c r="B109" s="91"/>
      <c r="C109" s="84"/>
      <c r="D109" s="90"/>
      <c r="E109" s="91"/>
      <c r="F109" s="84"/>
      <c r="G109" s="84"/>
      <c r="H109" s="90"/>
      <c r="I109" s="84"/>
      <c r="J109" s="91"/>
      <c r="K109" s="84"/>
      <c r="L109" s="84"/>
      <c r="M109" s="90"/>
      <c r="N109" s="84"/>
      <c r="O109" s="91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ht="30.0" customHeight="1">
      <c r="A110" s="90"/>
      <c r="B110" s="91"/>
      <c r="C110" s="84"/>
      <c r="D110" s="90"/>
      <c r="E110" s="91"/>
      <c r="F110" s="84"/>
      <c r="G110" s="84"/>
      <c r="H110" s="90"/>
      <c r="I110" s="84"/>
      <c r="J110" s="91"/>
      <c r="K110" s="84"/>
      <c r="L110" s="84"/>
      <c r="M110" s="90"/>
      <c r="N110" s="84"/>
      <c r="O110" s="91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ht="30.0" customHeight="1">
      <c r="A111" s="90"/>
      <c r="B111" s="91"/>
      <c r="C111" s="84"/>
      <c r="D111" s="90"/>
      <c r="E111" s="91"/>
      <c r="F111" s="84"/>
      <c r="G111" s="84"/>
      <c r="H111" s="90"/>
      <c r="I111" s="84"/>
      <c r="J111" s="91"/>
      <c r="K111" s="84"/>
      <c r="L111" s="84"/>
      <c r="M111" s="90"/>
      <c r="N111" s="84"/>
      <c r="O111" s="91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ht="30.0" customHeight="1">
      <c r="A112" s="90"/>
      <c r="B112" s="91"/>
      <c r="C112" s="84"/>
      <c r="D112" s="90"/>
      <c r="E112" s="91"/>
      <c r="F112" s="84"/>
      <c r="G112" s="84"/>
      <c r="H112" s="90"/>
      <c r="I112" s="84"/>
      <c r="J112" s="91"/>
      <c r="K112" s="84"/>
      <c r="L112" s="84"/>
      <c r="M112" s="90"/>
      <c r="N112" s="84"/>
      <c r="O112" s="91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ht="30.0" customHeight="1">
      <c r="A113" s="90"/>
      <c r="B113" s="91"/>
      <c r="C113" s="84"/>
      <c r="D113" s="90"/>
      <c r="E113" s="91"/>
      <c r="F113" s="84"/>
      <c r="G113" s="84"/>
      <c r="H113" s="90"/>
      <c r="I113" s="84"/>
      <c r="J113" s="91"/>
      <c r="K113" s="84"/>
      <c r="L113" s="84"/>
      <c r="M113" s="90"/>
      <c r="N113" s="84"/>
      <c r="O113" s="91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ht="30.0" customHeight="1">
      <c r="A114" s="90"/>
      <c r="B114" s="91"/>
      <c r="C114" s="84"/>
      <c r="D114" s="90"/>
      <c r="E114" s="91"/>
      <c r="F114" s="84"/>
      <c r="G114" s="84"/>
      <c r="H114" s="90"/>
      <c r="I114" s="84"/>
      <c r="J114" s="91"/>
      <c r="K114" s="84"/>
      <c r="L114" s="84"/>
      <c r="M114" s="90"/>
      <c r="N114" s="84"/>
      <c r="O114" s="91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ht="30.0" customHeight="1">
      <c r="A115" s="90"/>
      <c r="B115" s="91"/>
      <c r="C115" s="84"/>
      <c r="D115" s="90"/>
      <c r="E115" s="91"/>
      <c r="F115" s="84"/>
      <c r="G115" s="84"/>
      <c r="H115" s="90"/>
      <c r="I115" s="84"/>
      <c r="J115" s="91"/>
      <c r="K115" s="84"/>
      <c r="L115" s="84"/>
      <c r="M115" s="90"/>
      <c r="N115" s="84"/>
      <c r="O115" s="91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ht="30.0" customHeight="1">
      <c r="A116" s="90"/>
      <c r="B116" s="91"/>
      <c r="C116" s="84"/>
      <c r="D116" s="90"/>
      <c r="E116" s="91"/>
      <c r="F116" s="84"/>
      <c r="G116" s="84"/>
      <c r="H116" s="90"/>
      <c r="I116" s="84"/>
      <c r="J116" s="91"/>
      <c r="K116" s="84"/>
      <c r="L116" s="84"/>
      <c r="M116" s="90"/>
      <c r="N116" s="84"/>
      <c r="O116" s="91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ht="30.0" customHeight="1">
      <c r="A117" s="90"/>
      <c r="B117" s="91"/>
      <c r="C117" s="84"/>
      <c r="D117" s="90"/>
      <c r="E117" s="91"/>
      <c r="F117" s="84"/>
      <c r="G117" s="84"/>
      <c r="H117" s="90"/>
      <c r="I117" s="84"/>
      <c r="J117" s="91"/>
      <c r="K117" s="84"/>
      <c r="L117" s="84"/>
      <c r="M117" s="90"/>
      <c r="N117" s="84"/>
      <c r="O117" s="91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ht="30.0" customHeight="1">
      <c r="A118" s="90"/>
      <c r="B118" s="91"/>
      <c r="C118" s="84"/>
      <c r="D118" s="90"/>
      <c r="E118" s="91"/>
      <c r="F118" s="84"/>
      <c r="G118" s="84"/>
      <c r="H118" s="90"/>
      <c r="I118" s="84"/>
      <c r="J118" s="91"/>
      <c r="K118" s="84"/>
      <c r="L118" s="84"/>
      <c r="M118" s="90"/>
      <c r="N118" s="84"/>
      <c r="O118" s="91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ht="30.0" customHeight="1">
      <c r="A119" s="90"/>
      <c r="B119" s="91"/>
      <c r="C119" s="84"/>
      <c r="D119" s="90"/>
      <c r="E119" s="91"/>
      <c r="F119" s="84"/>
      <c r="G119" s="84"/>
      <c r="H119" s="90"/>
      <c r="I119" s="84"/>
      <c r="J119" s="91"/>
      <c r="K119" s="84"/>
      <c r="L119" s="84"/>
      <c r="M119" s="90"/>
      <c r="N119" s="84"/>
      <c r="O119" s="91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ht="30.0" customHeight="1">
      <c r="A120" s="90"/>
      <c r="B120" s="91"/>
      <c r="C120" s="84"/>
      <c r="D120" s="90"/>
      <c r="E120" s="91"/>
      <c r="F120" s="84"/>
      <c r="G120" s="84"/>
      <c r="H120" s="90"/>
      <c r="I120" s="84"/>
      <c r="J120" s="91"/>
      <c r="K120" s="84"/>
      <c r="L120" s="84"/>
      <c r="M120" s="90"/>
      <c r="N120" s="84"/>
      <c r="O120" s="91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ht="30.0" customHeight="1">
      <c r="A121" s="90"/>
      <c r="B121" s="91"/>
      <c r="C121" s="84"/>
      <c r="D121" s="90"/>
      <c r="E121" s="91"/>
      <c r="F121" s="84"/>
      <c r="G121" s="84"/>
      <c r="H121" s="90"/>
      <c r="I121" s="84"/>
      <c r="J121" s="91"/>
      <c r="K121" s="84"/>
      <c r="L121" s="84"/>
      <c r="M121" s="90"/>
      <c r="N121" s="84"/>
      <c r="O121" s="91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ht="30.0" customHeight="1">
      <c r="A122" s="90"/>
      <c r="B122" s="91"/>
      <c r="C122" s="84"/>
      <c r="D122" s="90"/>
      <c r="E122" s="91"/>
      <c r="F122" s="84"/>
      <c r="G122" s="84"/>
      <c r="H122" s="90"/>
      <c r="I122" s="84"/>
      <c r="J122" s="91"/>
      <c r="K122" s="84"/>
      <c r="L122" s="84"/>
      <c r="M122" s="90"/>
      <c r="N122" s="84"/>
      <c r="O122" s="91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ht="30.0" customHeight="1">
      <c r="A123" s="90"/>
      <c r="B123" s="91"/>
      <c r="C123" s="84"/>
      <c r="D123" s="90"/>
      <c r="E123" s="91"/>
      <c r="F123" s="84"/>
      <c r="G123" s="84"/>
      <c r="H123" s="90"/>
      <c r="I123" s="84"/>
      <c r="J123" s="91"/>
      <c r="K123" s="84"/>
      <c r="L123" s="84"/>
      <c r="M123" s="90"/>
      <c r="N123" s="84"/>
      <c r="O123" s="91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ht="30.0" customHeight="1">
      <c r="A124" s="90"/>
      <c r="B124" s="91"/>
      <c r="C124" s="84"/>
      <c r="D124" s="90"/>
      <c r="E124" s="91"/>
      <c r="F124" s="84"/>
      <c r="G124" s="84"/>
      <c r="H124" s="90"/>
      <c r="I124" s="84"/>
      <c r="J124" s="91"/>
      <c r="K124" s="84"/>
      <c r="L124" s="84"/>
      <c r="M124" s="90"/>
      <c r="N124" s="84"/>
      <c r="O124" s="91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ht="30.0" customHeight="1">
      <c r="A125" s="90"/>
      <c r="B125" s="91"/>
      <c r="C125" s="84"/>
      <c r="D125" s="90"/>
      <c r="E125" s="91"/>
      <c r="F125" s="84"/>
      <c r="G125" s="84"/>
      <c r="H125" s="90"/>
      <c r="I125" s="84"/>
      <c r="J125" s="91"/>
      <c r="K125" s="84"/>
      <c r="L125" s="84"/>
      <c r="M125" s="90"/>
      <c r="N125" s="84"/>
      <c r="O125" s="91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ht="30.0" customHeight="1">
      <c r="A126" s="90"/>
      <c r="B126" s="91"/>
      <c r="C126" s="84"/>
      <c r="D126" s="90"/>
      <c r="E126" s="91"/>
      <c r="F126" s="84"/>
      <c r="G126" s="84"/>
      <c r="H126" s="90"/>
      <c r="I126" s="84"/>
      <c r="J126" s="91"/>
      <c r="K126" s="84"/>
      <c r="L126" s="84"/>
      <c r="M126" s="90"/>
      <c r="N126" s="84"/>
      <c r="O126" s="91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ht="30.0" customHeight="1">
      <c r="A127" s="90"/>
      <c r="B127" s="91"/>
      <c r="C127" s="84"/>
      <c r="D127" s="90"/>
      <c r="E127" s="91"/>
      <c r="F127" s="84"/>
      <c r="G127" s="84"/>
      <c r="H127" s="90"/>
      <c r="I127" s="84"/>
      <c r="J127" s="91"/>
      <c r="K127" s="84"/>
      <c r="L127" s="84"/>
      <c r="M127" s="90"/>
      <c r="N127" s="84"/>
      <c r="O127" s="91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ht="30.0" customHeight="1">
      <c r="A128" s="90"/>
      <c r="B128" s="91"/>
      <c r="C128" s="84"/>
      <c r="D128" s="90"/>
      <c r="E128" s="91"/>
      <c r="F128" s="84"/>
      <c r="G128" s="84"/>
      <c r="H128" s="90"/>
      <c r="I128" s="84"/>
      <c r="J128" s="91"/>
      <c r="K128" s="84"/>
      <c r="L128" s="84"/>
      <c r="M128" s="90"/>
      <c r="N128" s="84"/>
      <c r="O128" s="91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ht="30.0" customHeight="1">
      <c r="A129" s="90"/>
      <c r="B129" s="91"/>
      <c r="C129" s="84"/>
      <c r="D129" s="90"/>
      <c r="E129" s="91"/>
      <c r="F129" s="84"/>
      <c r="G129" s="84"/>
      <c r="H129" s="90"/>
      <c r="I129" s="84"/>
      <c r="J129" s="91"/>
      <c r="K129" s="84"/>
      <c r="L129" s="84"/>
      <c r="M129" s="90"/>
      <c r="N129" s="84"/>
      <c r="O129" s="91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ht="30.0" customHeight="1">
      <c r="A130" s="90"/>
      <c r="B130" s="91"/>
      <c r="C130" s="84"/>
      <c r="D130" s="90"/>
      <c r="E130" s="91"/>
      <c r="F130" s="84"/>
      <c r="G130" s="84"/>
      <c r="H130" s="90"/>
      <c r="I130" s="84"/>
      <c r="J130" s="91"/>
      <c r="K130" s="84"/>
      <c r="L130" s="84"/>
      <c r="M130" s="90"/>
      <c r="N130" s="84"/>
      <c r="O130" s="91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ht="30.0" customHeight="1">
      <c r="A131" s="90"/>
      <c r="B131" s="91"/>
      <c r="C131" s="84"/>
      <c r="D131" s="90"/>
      <c r="E131" s="91"/>
      <c r="F131" s="84"/>
      <c r="G131" s="84"/>
      <c r="H131" s="90"/>
      <c r="I131" s="84"/>
      <c r="J131" s="91"/>
      <c r="K131" s="84"/>
      <c r="L131" s="84"/>
      <c r="M131" s="90"/>
      <c r="N131" s="84"/>
      <c r="O131" s="91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ht="30.0" customHeight="1">
      <c r="A132" s="90"/>
      <c r="B132" s="91"/>
      <c r="C132" s="84"/>
      <c r="D132" s="90"/>
      <c r="E132" s="91"/>
      <c r="F132" s="84"/>
      <c r="G132" s="84"/>
      <c r="H132" s="90"/>
      <c r="I132" s="84"/>
      <c r="J132" s="91"/>
      <c r="K132" s="84"/>
      <c r="L132" s="84"/>
      <c r="M132" s="90"/>
      <c r="N132" s="84"/>
      <c r="O132" s="91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ht="30.0" customHeight="1">
      <c r="A133" s="90"/>
      <c r="B133" s="91"/>
      <c r="C133" s="84"/>
      <c r="D133" s="90"/>
      <c r="E133" s="91"/>
      <c r="F133" s="84"/>
      <c r="G133" s="84"/>
      <c r="H133" s="90"/>
      <c r="I133" s="84"/>
      <c r="J133" s="91"/>
      <c r="K133" s="84"/>
      <c r="L133" s="84"/>
      <c r="M133" s="90"/>
      <c r="N133" s="84"/>
      <c r="O133" s="91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ht="30.0" customHeight="1">
      <c r="A134" s="90"/>
      <c r="B134" s="91"/>
      <c r="C134" s="84"/>
      <c r="D134" s="90"/>
      <c r="E134" s="91"/>
      <c r="F134" s="84"/>
      <c r="G134" s="84"/>
      <c r="H134" s="90"/>
      <c r="I134" s="84"/>
      <c r="J134" s="91"/>
      <c r="K134" s="84"/>
      <c r="L134" s="84"/>
      <c r="M134" s="90"/>
      <c r="N134" s="84"/>
      <c r="O134" s="91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ht="30.0" customHeight="1">
      <c r="A135" s="90"/>
      <c r="B135" s="91"/>
      <c r="C135" s="84"/>
      <c r="D135" s="90"/>
      <c r="E135" s="91"/>
      <c r="F135" s="84"/>
      <c r="G135" s="84"/>
      <c r="H135" s="90"/>
      <c r="I135" s="84"/>
      <c r="J135" s="91"/>
      <c r="K135" s="84"/>
      <c r="L135" s="84"/>
      <c r="M135" s="90"/>
      <c r="N135" s="84"/>
      <c r="O135" s="91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ht="30.0" customHeight="1">
      <c r="A136" s="90"/>
      <c r="B136" s="91"/>
      <c r="C136" s="84"/>
      <c r="D136" s="90"/>
      <c r="E136" s="91"/>
      <c r="F136" s="84"/>
      <c r="G136" s="84"/>
      <c r="H136" s="90"/>
      <c r="I136" s="84"/>
      <c r="J136" s="91"/>
      <c r="K136" s="84"/>
      <c r="L136" s="84"/>
      <c r="M136" s="90"/>
      <c r="N136" s="84"/>
      <c r="O136" s="91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ht="30.0" customHeight="1">
      <c r="A137" s="90"/>
      <c r="B137" s="91"/>
      <c r="C137" s="84"/>
      <c r="D137" s="90"/>
      <c r="E137" s="91"/>
      <c r="F137" s="84"/>
      <c r="G137" s="84"/>
      <c r="H137" s="90"/>
      <c r="I137" s="84"/>
      <c r="J137" s="91"/>
      <c r="K137" s="84"/>
      <c r="L137" s="84"/>
      <c r="M137" s="90"/>
      <c r="N137" s="84"/>
      <c r="O137" s="91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ht="30.0" customHeight="1">
      <c r="A138" s="90"/>
      <c r="B138" s="91"/>
      <c r="C138" s="84"/>
      <c r="D138" s="90"/>
      <c r="E138" s="91"/>
      <c r="F138" s="84"/>
      <c r="G138" s="84"/>
      <c r="H138" s="90"/>
      <c r="I138" s="84"/>
      <c r="J138" s="91"/>
      <c r="K138" s="84"/>
      <c r="L138" s="84"/>
      <c r="M138" s="90"/>
      <c r="N138" s="84"/>
      <c r="O138" s="91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ht="30.0" customHeight="1">
      <c r="A139" s="90"/>
      <c r="B139" s="91"/>
      <c r="C139" s="84"/>
      <c r="D139" s="90"/>
      <c r="E139" s="91"/>
      <c r="F139" s="84"/>
      <c r="G139" s="84"/>
      <c r="H139" s="90"/>
      <c r="I139" s="84"/>
      <c r="J139" s="91"/>
      <c r="K139" s="84"/>
      <c r="L139" s="84"/>
      <c r="M139" s="90"/>
      <c r="N139" s="84"/>
      <c r="O139" s="91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ht="30.0" customHeight="1">
      <c r="A140" s="90"/>
      <c r="B140" s="91"/>
      <c r="C140" s="84"/>
      <c r="D140" s="90"/>
      <c r="E140" s="91"/>
      <c r="F140" s="84"/>
      <c r="G140" s="84"/>
      <c r="H140" s="90"/>
      <c r="I140" s="84"/>
      <c r="J140" s="91"/>
      <c r="K140" s="84"/>
      <c r="L140" s="84"/>
      <c r="M140" s="90"/>
      <c r="N140" s="84"/>
      <c r="O140" s="91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ht="30.0" customHeight="1">
      <c r="A141" s="90"/>
      <c r="B141" s="91"/>
      <c r="C141" s="84"/>
      <c r="D141" s="90"/>
      <c r="E141" s="91"/>
      <c r="F141" s="84"/>
      <c r="G141" s="84"/>
      <c r="H141" s="90"/>
      <c r="I141" s="84"/>
      <c r="J141" s="91"/>
      <c r="K141" s="84"/>
      <c r="L141" s="84"/>
      <c r="M141" s="90"/>
      <c r="N141" s="84"/>
      <c r="O141" s="91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ht="30.0" customHeight="1">
      <c r="A142" s="90"/>
      <c r="B142" s="91"/>
      <c r="C142" s="84"/>
      <c r="D142" s="90"/>
      <c r="E142" s="91"/>
      <c r="F142" s="84"/>
      <c r="G142" s="84"/>
      <c r="H142" s="90"/>
      <c r="I142" s="84"/>
      <c r="J142" s="91"/>
      <c r="K142" s="84"/>
      <c r="L142" s="84"/>
      <c r="M142" s="90"/>
      <c r="N142" s="84"/>
      <c r="O142" s="91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ht="30.0" customHeight="1">
      <c r="A143" s="90"/>
      <c r="B143" s="91"/>
      <c r="C143" s="84"/>
      <c r="D143" s="90"/>
      <c r="E143" s="91"/>
      <c r="F143" s="84"/>
      <c r="G143" s="84"/>
      <c r="H143" s="90"/>
      <c r="I143" s="84"/>
      <c r="J143" s="91"/>
      <c r="K143" s="84"/>
      <c r="L143" s="84"/>
      <c r="M143" s="90"/>
      <c r="N143" s="84"/>
      <c r="O143" s="91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ht="30.0" customHeight="1">
      <c r="A144" s="90"/>
      <c r="B144" s="91"/>
      <c r="C144" s="84"/>
      <c r="D144" s="90"/>
      <c r="E144" s="91"/>
      <c r="F144" s="84"/>
      <c r="G144" s="84"/>
      <c r="H144" s="90"/>
      <c r="I144" s="84"/>
      <c r="J144" s="91"/>
      <c r="K144" s="84"/>
      <c r="L144" s="84"/>
      <c r="M144" s="90"/>
      <c r="N144" s="84"/>
      <c r="O144" s="91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ht="30.0" customHeight="1">
      <c r="A145" s="90"/>
      <c r="B145" s="91"/>
      <c r="C145" s="84"/>
      <c r="D145" s="90"/>
      <c r="E145" s="91"/>
      <c r="F145" s="84"/>
      <c r="G145" s="84"/>
      <c r="H145" s="90"/>
      <c r="I145" s="84"/>
      <c r="J145" s="91"/>
      <c r="K145" s="84"/>
      <c r="L145" s="84"/>
      <c r="M145" s="90"/>
      <c r="N145" s="84"/>
      <c r="O145" s="91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ht="30.0" customHeight="1">
      <c r="A146" s="90"/>
      <c r="B146" s="91"/>
      <c r="C146" s="84"/>
      <c r="D146" s="90"/>
      <c r="E146" s="91"/>
      <c r="F146" s="84"/>
      <c r="G146" s="84"/>
      <c r="H146" s="90"/>
      <c r="I146" s="84"/>
      <c r="J146" s="91"/>
      <c r="K146" s="84"/>
      <c r="L146" s="84"/>
      <c r="M146" s="90"/>
      <c r="N146" s="84"/>
      <c r="O146" s="91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ht="30.0" customHeight="1">
      <c r="A147" s="90"/>
      <c r="B147" s="91"/>
      <c r="C147" s="84"/>
      <c r="D147" s="90"/>
      <c r="E147" s="91"/>
      <c r="F147" s="84"/>
      <c r="G147" s="84"/>
      <c r="H147" s="90"/>
      <c r="I147" s="84"/>
      <c r="J147" s="91"/>
      <c r="K147" s="84"/>
      <c r="L147" s="84"/>
      <c r="M147" s="90"/>
      <c r="N147" s="84"/>
      <c r="O147" s="91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ht="30.0" customHeight="1">
      <c r="A148" s="90"/>
      <c r="B148" s="91"/>
      <c r="C148" s="84"/>
      <c r="D148" s="90"/>
      <c r="E148" s="91"/>
      <c r="F148" s="84"/>
      <c r="G148" s="84"/>
      <c r="H148" s="90"/>
      <c r="I148" s="84"/>
      <c r="J148" s="91"/>
      <c r="K148" s="84"/>
      <c r="L148" s="84"/>
      <c r="M148" s="90"/>
      <c r="N148" s="84"/>
      <c r="O148" s="91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ht="30.0" customHeight="1">
      <c r="A149" s="90"/>
      <c r="B149" s="91"/>
      <c r="C149" s="84"/>
      <c r="D149" s="90"/>
      <c r="E149" s="91"/>
      <c r="F149" s="84"/>
      <c r="G149" s="84"/>
      <c r="H149" s="90"/>
      <c r="I149" s="84"/>
      <c r="J149" s="91"/>
      <c r="K149" s="84"/>
      <c r="L149" s="84"/>
      <c r="M149" s="90"/>
      <c r="N149" s="84"/>
      <c r="O149" s="91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ht="30.0" customHeight="1">
      <c r="A150" s="90"/>
      <c r="B150" s="91"/>
      <c r="C150" s="84"/>
      <c r="D150" s="90"/>
      <c r="E150" s="91"/>
      <c r="F150" s="84"/>
      <c r="G150" s="84"/>
      <c r="H150" s="90"/>
      <c r="I150" s="84"/>
      <c r="J150" s="91"/>
      <c r="K150" s="84"/>
      <c r="L150" s="84"/>
      <c r="M150" s="90"/>
      <c r="N150" s="84"/>
      <c r="O150" s="91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ht="30.0" customHeight="1">
      <c r="A151" s="90"/>
      <c r="B151" s="91"/>
      <c r="C151" s="84"/>
      <c r="D151" s="90"/>
      <c r="E151" s="91"/>
      <c r="F151" s="84"/>
      <c r="G151" s="84"/>
      <c r="H151" s="90"/>
      <c r="I151" s="84"/>
      <c r="J151" s="91"/>
      <c r="K151" s="84"/>
      <c r="L151" s="84"/>
      <c r="M151" s="90"/>
      <c r="N151" s="84"/>
      <c r="O151" s="91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ht="30.0" customHeight="1">
      <c r="A152" s="90"/>
      <c r="B152" s="91"/>
      <c r="C152" s="84"/>
      <c r="D152" s="90"/>
      <c r="E152" s="91"/>
      <c r="F152" s="84"/>
      <c r="G152" s="84"/>
      <c r="H152" s="90"/>
      <c r="I152" s="84"/>
      <c r="J152" s="91"/>
      <c r="K152" s="84"/>
      <c r="L152" s="84"/>
      <c r="M152" s="90"/>
      <c r="N152" s="84"/>
      <c r="O152" s="91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ht="30.0" customHeight="1">
      <c r="A153" s="90"/>
      <c r="B153" s="91"/>
      <c r="C153" s="84"/>
      <c r="D153" s="90"/>
      <c r="E153" s="91"/>
      <c r="F153" s="84"/>
      <c r="G153" s="84"/>
      <c r="H153" s="90"/>
      <c r="I153" s="84"/>
      <c r="J153" s="91"/>
      <c r="K153" s="84"/>
      <c r="L153" s="84"/>
      <c r="M153" s="90"/>
      <c r="N153" s="84"/>
      <c r="O153" s="91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ht="30.0" customHeight="1">
      <c r="A154" s="90"/>
      <c r="B154" s="91"/>
      <c r="C154" s="84"/>
      <c r="D154" s="90"/>
      <c r="E154" s="91"/>
      <c r="F154" s="84"/>
      <c r="G154" s="84"/>
      <c r="H154" s="90"/>
      <c r="I154" s="84"/>
      <c r="J154" s="91"/>
      <c r="K154" s="84"/>
      <c r="L154" s="84"/>
      <c r="M154" s="90"/>
      <c r="N154" s="84"/>
      <c r="O154" s="91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ht="30.0" customHeight="1">
      <c r="A155" s="90"/>
      <c r="B155" s="91"/>
      <c r="C155" s="84"/>
      <c r="D155" s="90"/>
      <c r="E155" s="91"/>
      <c r="F155" s="84"/>
      <c r="G155" s="84"/>
      <c r="H155" s="90"/>
      <c r="I155" s="84"/>
      <c r="J155" s="91"/>
      <c r="K155" s="84"/>
      <c r="L155" s="84"/>
      <c r="M155" s="90"/>
      <c r="N155" s="84"/>
      <c r="O155" s="91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ht="30.0" customHeight="1">
      <c r="A156" s="90"/>
      <c r="B156" s="91"/>
      <c r="C156" s="84"/>
      <c r="D156" s="90"/>
      <c r="E156" s="91"/>
      <c r="F156" s="84"/>
      <c r="G156" s="84"/>
      <c r="H156" s="90"/>
      <c r="I156" s="84"/>
      <c r="J156" s="91"/>
      <c r="K156" s="84"/>
      <c r="L156" s="84"/>
      <c r="M156" s="90"/>
      <c r="N156" s="84"/>
      <c r="O156" s="91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ht="30.0" customHeight="1">
      <c r="A157" s="90"/>
      <c r="B157" s="91"/>
      <c r="C157" s="84"/>
      <c r="D157" s="90"/>
      <c r="E157" s="91"/>
      <c r="F157" s="84"/>
      <c r="G157" s="84"/>
      <c r="H157" s="90"/>
      <c r="I157" s="84"/>
      <c r="J157" s="91"/>
      <c r="K157" s="84"/>
      <c r="L157" s="84"/>
      <c r="M157" s="90"/>
      <c r="N157" s="84"/>
      <c r="O157" s="91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ht="30.0" customHeight="1">
      <c r="A158" s="90"/>
      <c r="B158" s="91"/>
      <c r="C158" s="84"/>
      <c r="D158" s="90"/>
      <c r="E158" s="91"/>
      <c r="F158" s="84"/>
      <c r="G158" s="84"/>
      <c r="H158" s="90"/>
      <c r="I158" s="84"/>
      <c r="J158" s="91"/>
      <c r="K158" s="84"/>
      <c r="L158" s="84"/>
      <c r="M158" s="90"/>
      <c r="N158" s="84"/>
      <c r="O158" s="91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ht="30.0" customHeight="1">
      <c r="A159" s="90"/>
      <c r="B159" s="91"/>
      <c r="C159" s="84"/>
      <c r="D159" s="90"/>
      <c r="E159" s="91"/>
      <c r="F159" s="84"/>
      <c r="G159" s="84"/>
      <c r="H159" s="90"/>
      <c r="I159" s="84"/>
      <c r="J159" s="91"/>
      <c r="K159" s="84"/>
      <c r="L159" s="84"/>
      <c r="M159" s="90"/>
      <c r="N159" s="84"/>
      <c r="O159" s="91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ht="30.0" customHeight="1">
      <c r="A160" s="90"/>
      <c r="B160" s="91"/>
      <c r="C160" s="84"/>
      <c r="D160" s="90"/>
      <c r="E160" s="91"/>
      <c r="F160" s="84"/>
      <c r="G160" s="84"/>
      <c r="H160" s="90"/>
      <c r="I160" s="84"/>
      <c r="J160" s="91"/>
      <c r="K160" s="84"/>
      <c r="L160" s="84"/>
      <c r="M160" s="90"/>
      <c r="N160" s="84"/>
      <c r="O160" s="91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ht="30.0" customHeight="1">
      <c r="A161" s="90"/>
      <c r="B161" s="91"/>
      <c r="C161" s="84"/>
      <c r="D161" s="90"/>
      <c r="E161" s="91"/>
      <c r="F161" s="84"/>
      <c r="G161" s="84"/>
      <c r="H161" s="90"/>
      <c r="I161" s="84"/>
      <c r="J161" s="91"/>
      <c r="K161" s="84"/>
      <c r="L161" s="84"/>
      <c r="M161" s="90"/>
      <c r="N161" s="84"/>
      <c r="O161" s="91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ht="30.0" customHeight="1">
      <c r="A162" s="90"/>
      <c r="B162" s="91"/>
      <c r="C162" s="84"/>
      <c r="D162" s="90"/>
      <c r="E162" s="91"/>
      <c r="F162" s="84"/>
      <c r="G162" s="84"/>
      <c r="H162" s="90"/>
      <c r="I162" s="84"/>
      <c r="J162" s="91"/>
      <c r="K162" s="84"/>
      <c r="L162" s="84"/>
      <c r="M162" s="90"/>
      <c r="N162" s="84"/>
      <c r="O162" s="91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ht="30.0" customHeight="1">
      <c r="A163" s="90"/>
      <c r="B163" s="91"/>
      <c r="C163" s="84"/>
      <c r="D163" s="90"/>
      <c r="E163" s="91"/>
      <c r="F163" s="84"/>
      <c r="G163" s="84"/>
      <c r="H163" s="90"/>
      <c r="I163" s="84"/>
      <c r="J163" s="91"/>
      <c r="K163" s="84"/>
      <c r="L163" s="84"/>
      <c r="M163" s="90"/>
      <c r="N163" s="84"/>
      <c r="O163" s="91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ht="30.0" customHeight="1">
      <c r="A164" s="90"/>
      <c r="B164" s="91"/>
      <c r="C164" s="84"/>
      <c r="D164" s="90"/>
      <c r="E164" s="91"/>
      <c r="F164" s="84"/>
      <c r="G164" s="84"/>
      <c r="H164" s="90"/>
      <c r="I164" s="84"/>
      <c r="J164" s="91"/>
      <c r="K164" s="84"/>
      <c r="L164" s="84"/>
      <c r="M164" s="90"/>
      <c r="N164" s="84"/>
      <c r="O164" s="91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ht="30.0" customHeight="1">
      <c r="A165" s="90"/>
      <c r="B165" s="91"/>
      <c r="C165" s="84"/>
      <c r="D165" s="90"/>
      <c r="E165" s="91"/>
      <c r="F165" s="84"/>
      <c r="G165" s="84"/>
      <c r="H165" s="90"/>
      <c r="I165" s="84"/>
      <c r="J165" s="91"/>
      <c r="K165" s="84"/>
      <c r="L165" s="84"/>
      <c r="M165" s="90"/>
      <c r="N165" s="84"/>
      <c r="O165" s="91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ht="30.0" customHeight="1">
      <c r="A166" s="90"/>
      <c r="B166" s="91"/>
      <c r="C166" s="84"/>
      <c r="D166" s="90"/>
      <c r="E166" s="91"/>
      <c r="F166" s="84"/>
      <c r="G166" s="84"/>
      <c r="H166" s="90"/>
      <c r="I166" s="84"/>
      <c r="J166" s="91"/>
      <c r="K166" s="84"/>
      <c r="L166" s="84"/>
      <c r="M166" s="90"/>
      <c r="N166" s="84"/>
      <c r="O166" s="91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ht="30.0" customHeight="1">
      <c r="A167" s="90"/>
      <c r="B167" s="91"/>
      <c r="C167" s="84"/>
      <c r="D167" s="90"/>
      <c r="E167" s="91"/>
      <c r="F167" s="84"/>
      <c r="G167" s="84"/>
      <c r="H167" s="90"/>
      <c r="I167" s="84"/>
      <c r="J167" s="91"/>
      <c r="K167" s="84"/>
      <c r="L167" s="84"/>
      <c r="M167" s="90"/>
      <c r="N167" s="84"/>
      <c r="O167" s="91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ht="30.0" customHeight="1">
      <c r="A168" s="90"/>
      <c r="B168" s="91"/>
      <c r="C168" s="84"/>
      <c r="D168" s="90"/>
      <c r="E168" s="91"/>
      <c r="F168" s="84"/>
      <c r="G168" s="84"/>
      <c r="H168" s="90"/>
      <c r="I168" s="84"/>
      <c r="J168" s="91"/>
      <c r="K168" s="84"/>
      <c r="L168" s="84"/>
      <c r="M168" s="90"/>
      <c r="N168" s="84"/>
      <c r="O168" s="91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ht="30.0" customHeight="1">
      <c r="A169" s="90"/>
      <c r="B169" s="91"/>
      <c r="C169" s="84"/>
      <c r="D169" s="90"/>
      <c r="E169" s="91"/>
      <c r="F169" s="84"/>
      <c r="G169" s="84"/>
      <c r="H169" s="90"/>
      <c r="I169" s="84"/>
      <c r="J169" s="91"/>
      <c r="K169" s="84"/>
      <c r="L169" s="84"/>
      <c r="M169" s="90"/>
      <c r="N169" s="84"/>
      <c r="O169" s="91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ht="30.0" customHeight="1">
      <c r="A170" s="90"/>
      <c r="B170" s="91"/>
      <c r="C170" s="84"/>
      <c r="D170" s="90"/>
      <c r="E170" s="91"/>
      <c r="F170" s="84"/>
      <c r="G170" s="84"/>
      <c r="H170" s="90"/>
      <c r="I170" s="84"/>
      <c r="J170" s="91"/>
      <c r="K170" s="84"/>
      <c r="L170" s="84"/>
      <c r="M170" s="90"/>
      <c r="N170" s="84"/>
      <c r="O170" s="91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ht="30.0" customHeight="1">
      <c r="A171" s="90"/>
      <c r="B171" s="91"/>
      <c r="C171" s="84"/>
      <c r="D171" s="90"/>
      <c r="E171" s="91"/>
      <c r="F171" s="84"/>
      <c r="G171" s="84"/>
      <c r="H171" s="90"/>
      <c r="I171" s="84"/>
      <c r="J171" s="91"/>
      <c r="K171" s="84"/>
      <c r="L171" s="84"/>
      <c r="M171" s="90"/>
      <c r="N171" s="84"/>
      <c r="O171" s="91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ht="30.0" customHeight="1">
      <c r="A172" s="90"/>
      <c r="B172" s="91"/>
      <c r="C172" s="84"/>
      <c r="D172" s="90"/>
      <c r="E172" s="91"/>
      <c r="F172" s="84"/>
      <c r="G172" s="84"/>
      <c r="H172" s="90"/>
      <c r="I172" s="84"/>
      <c r="J172" s="91"/>
      <c r="K172" s="84"/>
      <c r="L172" s="84"/>
      <c r="M172" s="90"/>
      <c r="N172" s="84"/>
      <c r="O172" s="91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ht="30.0" customHeight="1">
      <c r="A173" s="90"/>
      <c r="B173" s="91"/>
      <c r="C173" s="84"/>
      <c r="D173" s="90"/>
      <c r="E173" s="91"/>
      <c r="F173" s="84"/>
      <c r="G173" s="84"/>
      <c r="H173" s="90"/>
      <c r="I173" s="84"/>
      <c r="J173" s="91"/>
      <c r="K173" s="84"/>
      <c r="L173" s="84"/>
      <c r="M173" s="90"/>
      <c r="N173" s="84"/>
      <c r="O173" s="91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ht="30.0" customHeight="1">
      <c r="A174" s="90"/>
      <c r="B174" s="91"/>
      <c r="C174" s="84"/>
      <c r="D174" s="90"/>
      <c r="E174" s="91"/>
      <c r="F174" s="84"/>
      <c r="G174" s="84"/>
      <c r="H174" s="90"/>
      <c r="I174" s="84"/>
      <c r="J174" s="91"/>
      <c r="K174" s="84"/>
      <c r="L174" s="84"/>
      <c r="M174" s="90"/>
      <c r="N174" s="84"/>
      <c r="O174" s="91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ht="30.0" customHeight="1">
      <c r="A175" s="90"/>
      <c r="B175" s="91"/>
      <c r="C175" s="84"/>
      <c r="D175" s="90"/>
      <c r="E175" s="91"/>
      <c r="F175" s="84"/>
      <c r="G175" s="84"/>
      <c r="H175" s="90"/>
      <c r="I175" s="84"/>
      <c r="J175" s="91"/>
      <c r="K175" s="84"/>
      <c r="L175" s="84"/>
      <c r="M175" s="90"/>
      <c r="N175" s="84"/>
      <c r="O175" s="91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ht="30.0" customHeight="1">
      <c r="A176" s="90"/>
      <c r="B176" s="91"/>
      <c r="C176" s="84"/>
      <c r="D176" s="90"/>
      <c r="E176" s="91"/>
      <c r="F176" s="84"/>
      <c r="G176" s="84"/>
      <c r="H176" s="90"/>
      <c r="I176" s="84"/>
      <c r="J176" s="91"/>
      <c r="K176" s="84"/>
      <c r="L176" s="84"/>
      <c r="M176" s="90"/>
      <c r="N176" s="84"/>
      <c r="O176" s="91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ht="30.0" customHeight="1">
      <c r="A177" s="90"/>
      <c r="B177" s="91"/>
      <c r="C177" s="84"/>
      <c r="D177" s="90"/>
      <c r="E177" s="91"/>
      <c r="F177" s="84"/>
      <c r="G177" s="84"/>
      <c r="H177" s="90"/>
      <c r="I177" s="84"/>
      <c r="J177" s="91"/>
      <c r="K177" s="84"/>
      <c r="L177" s="84"/>
      <c r="M177" s="90"/>
      <c r="N177" s="84"/>
      <c r="O177" s="91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ht="30.0" customHeight="1">
      <c r="A178" s="90"/>
      <c r="B178" s="91"/>
      <c r="C178" s="84"/>
      <c r="D178" s="90"/>
      <c r="E178" s="91"/>
      <c r="F178" s="84"/>
      <c r="G178" s="84"/>
      <c r="H178" s="90"/>
      <c r="I178" s="84"/>
      <c r="J178" s="91"/>
      <c r="K178" s="84"/>
      <c r="L178" s="84"/>
      <c r="M178" s="90"/>
      <c r="N178" s="84"/>
      <c r="O178" s="91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ht="30.0" customHeight="1">
      <c r="A179" s="90"/>
      <c r="B179" s="91"/>
      <c r="C179" s="84"/>
      <c r="D179" s="90"/>
      <c r="E179" s="91"/>
      <c r="F179" s="84"/>
      <c r="G179" s="84"/>
      <c r="H179" s="90"/>
      <c r="I179" s="84"/>
      <c r="J179" s="91"/>
      <c r="K179" s="84"/>
      <c r="L179" s="84"/>
      <c r="M179" s="90"/>
      <c r="N179" s="84"/>
      <c r="O179" s="91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ht="30.0" customHeight="1">
      <c r="A180" s="90"/>
      <c r="B180" s="91"/>
      <c r="C180" s="84"/>
      <c r="D180" s="90"/>
      <c r="E180" s="91"/>
      <c r="F180" s="84"/>
      <c r="G180" s="84"/>
      <c r="H180" s="90"/>
      <c r="I180" s="84"/>
      <c r="J180" s="91"/>
      <c r="K180" s="84"/>
      <c r="L180" s="84"/>
      <c r="M180" s="90"/>
      <c r="N180" s="84"/>
      <c r="O180" s="91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ht="30.0" customHeight="1">
      <c r="A181" s="90"/>
      <c r="B181" s="91"/>
      <c r="C181" s="84"/>
      <c r="D181" s="90"/>
      <c r="E181" s="91"/>
      <c r="F181" s="84"/>
      <c r="G181" s="84"/>
      <c r="H181" s="90"/>
      <c r="I181" s="84"/>
      <c r="J181" s="91"/>
      <c r="K181" s="84"/>
      <c r="L181" s="84"/>
      <c r="M181" s="90"/>
      <c r="N181" s="84"/>
      <c r="O181" s="91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ht="30.0" customHeight="1">
      <c r="A182" s="90"/>
      <c r="B182" s="91"/>
      <c r="C182" s="84"/>
      <c r="D182" s="90"/>
      <c r="E182" s="91"/>
      <c r="F182" s="84"/>
      <c r="G182" s="84"/>
      <c r="H182" s="90"/>
      <c r="I182" s="84"/>
      <c r="J182" s="91"/>
      <c r="K182" s="84"/>
      <c r="L182" s="84"/>
      <c r="M182" s="90"/>
      <c r="N182" s="84"/>
      <c r="O182" s="91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ht="30.0" customHeight="1">
      <c r="A183" s="90"/>
      <c r="B183" s="91"/>
      <c r="C183" s="84"/>
      <c r="D183" s="90"/>
      <c r="E183" s="91"/>
      <c r="F183" s="84"/>
      <c r="G183" s="84"/>
      <c r="H183" s="90"/>
      <c r="I183" s="84"/>
      <c r="J183" s="91"/>
      <c r="K183" s="84"/>
      <c r="L183" s="84"/>
      <c r="M183" s="90"/>
      <c r="N183" s="84"/>
      <c r="O183" s="91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ht="30.0" customHeight="1">
      <c r="A184" s="90"/>
      <c r="B184" s="91"/>
      <c r="C184" s="84"/>
      <c r="D184" s="90"/>
      <c r="E184" s="91"/>
      <c r="F184" s="84"/>
      <c r="G184" s="84"/>
      <c r="H184" s="90"/>
      <c r="I184" s="84"/>
      <c r="J184" s="91"/>
      <c r="K184" s="84"/>
      <c r="L184" s="84"/>
      <c r="M184" s="90"/>
      <c r="N184" s="84"/>
      <c r="O184" s="91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ht="30.0" customHeight="1">
      <c r="A185" s="90"/>
      <c r="B185" s="91"/>
      <c r="C185" s="84"/>
      <c r="D185" s="90"/>
      <c r="E185" s="91"/>
      <c r="F185" s="84"/>
      <c r="G185" s="84"/>
      <c r="H185" s="90"/>
      <c r="I185" s="84"/>
      <c r="J185" s="91"/>
      <c r="K185" s="84"/>
      <c r="L185" s="84"/>
      <c r="M185" s="90"/>
      <c r="N185" s="84"/>
      <c r="O185" s="91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ht="30.0" customHeight="1">
      <c r="A186" s="90"/>
      <c r="B186" s="91"/>
      <c r="C186" s="84"/>
      <c r="D186" s="90"/>
      <c r="E186" s="91"/>
      <c r="F186" s="84"/>
      <c r="G186" s="84"/>
      <c r="H186" s="90"/>
      <c r="I186" s="84"/>
      <c r="J186" s="91"/>
      <c r="K186" s="84"/>
      <c r="L186" s="84"/>
      <c r="M186" s="90"/>
      <c r="N186" s="84"/>
      <c r="O186" s="91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ht="30.0" customHeight="1">
      <c r="A187" s="90"/>
      <c r="B187" s="91"/>
      <c r="C187" s="84"/>
      <c r="D187" s="90"/>
      <c r="E187" s="91"/>
      <c r="F187" s="84"/>
      <c r="G187" s="84"/>
      <c r="H187" s="90"/>
      <c r="I187" s="84"/>
      <c r="J187" s="91"/>
      <c r="K187" s="84"/>
      <c r="L187" s="84"/>
      <c r="M187" s="90"/>
      <c r="N187" s="84"/>
      <c r="O187" s="91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ht="30.0" customHeight="1">
      <c r="A188" s="90"/>
      <c r="B188" s="91"/>
      <c r="C188" s="84"/>
      <c r="D188" s="90"/>
      <c r="E188" s="91"/>
      <c r="F188" s="84"/>
      <c r="G188" s="84"/>
      <c r="H188" s="90"/>
      <c r="I188" s="84"/>
      <c r="J188" s="91"/>
      <c r="K188" s="84"/>
      <c r="L188" s="84"/>
      <c r="M188" s="90"/>
      <c r="N188" s="84"/>
      <c r="O188" s="91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ht="30.0" customHeight="1">
      <c r="A189" s="90"/>
      <c r="B189" s="91"/>
      <c r="C189" s="84"/>
      <c r="D189" s="90"/>
      <c r="E189" s="91"/>
      <c r="F189" s="84"/>
      <c r="G189" s="84"/>
      <c r="H189" s="90"/>
      <c r="I189" s="84"/>
      <c r="J189" s="91"/>
      <c r="K189" s="84"/>
      <c r="L189" s="84"/>
      <c r="M189" s="90"/>
      <c r="N189" s="84"/>
      <c r="O189" s="91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ht="30.0" customHeight="1">
      <c r="A190" s="90"/>
      <c r="B190" s="91"/>
      <c r="C190" s="84"/>
      <c r="D190" s="90"/>
      <c r="E190" s="91"/>
      <c r="F190" s="84"/>
      <c r="G190" s="84"/>
      <c r="H190" s="90"/>
      <c r="I190" s="84"/>
      <c r="J190" s="91"/>
      <c r="K190" s="84"/>
      <c r="L190" s="84"/>
      <c r="M190" s="90"/>
      <c r="N190" s="84"/>
      <c r="O190" s="91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ht="30.0" customHeight="1">
      <c r="A191" s="90"/>
      <c r="B191" s="91"/>
      <c r="C191" s="84"/>
      <c r="D191" s="90"/>
      <c r="E191" s="91"/>
      <c r="F191" s="84"/>
      <c r="G191" s="84"/>
      <c r="H191" s="90"/>
      <c r="I191" s="84"/>
      <c r="J191" s="91"/>
      <c r="K191" s="84"/>
      <c r="L191" s="84"/>
      <c r="M191" s="90"/>
      <c r="N191" s="84"/>
      <c r="O191" s="91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ht="30.0" customHeight="1">
      <c r="A192" s="90"/>
      <c r="B192" s="91"/>
      <c r="C192" s="84"/>
      <c r="D192" s="90"/>
      <c r="E192" s="91"/>
      <c r="F192" s="84"/>
      <c r="G192" s="84"/>
      <c r="H192" s="90"/>
      <c r="I192" s="84"/>
      <c r="J192" s="91"/>
      <c r="K192" s="84"/>
      <c r="L192" s="84"/>
      <c r="M192" s="90"/>
      <c r="N192" s="84"/>
      <c r="O192" s="91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ht="30.0" customHeight="1">
      <c r="A193" s="90"/>
      <c r="B193" s="91"/>
      <c r="C193" s="84"/>
      <c r="D193" s="90"/>
      <c r="E193" s="91"/>
      <c r="F193" s="84"/>
      <c r="G193" s="84"/>
      <c r="H193" s="90"/>
      <c r="I193" s="84"/>
      <c r="J193" s="91"/>
      <c r="K193" s="84"/>
      <c r="L193" s="84"/>
      <c r="M193" s="90"/>
      <c r="N193" s="84"/>
      <c r="O193" s="91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ht="30.0" customHeight="1">
      <c r="A194" s="90"/>
      <c r="B194" s="91"/>
      <c r="C194" s="84"/>
      <c r="D194" s="90"/>
      <c r="E194" s="91"/>
      <c r="F194" s="84"/>
      <c r="G194" s="84"/>
      <c r="H194" s="90"/>
      <c r="I194" s="84"/>
      <c r="J194" s="91"/>
      <c r="K194" s="84"/>
      <c r="L194" s="84"/>
      <c r="M194" s="90"/>
      <c r="N194" s="84"/>
      <c r="O194" s="91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ht="30.0" customHeight="1">
      <c r="A195" s="90"/>
      <c r="B195" s="91"/>
      <c r="C195" s="84"/>
      <c r="D195" s="90"/>
      <c r="E195" s="91"/>
      <c r="F195" s="84"/>
      <c r="G195" s="84"/>
      <c r="H195" s="90"/>
      <c r="I195" s="84"/>
      <c r="J195" s="91"/>
      <c r="K195" s="84"/>
      <c r="L195" s="84"/>
      <c r="M195" s="90"/>
      <c r="N195" s="84"/>
      <c r="O195" s="91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ht="30.0" customHeight="1">
      <c r="A196" s="90"/>
      <c r="B196" s="91"/>
      <c r="C196" s="84"/>
      <c r="D196" s="90"/>
      <c r="E196" s="91"/>
      <c r="F196" s="84"/>
      <c r="G196" s="84"/>
      <c r="H196" s="90"/>
      <c r="I196" s="84"/>
      <c r="J196" s="91"/>
      <c r="K196" s="84"/>
      <c r="L196" s="84"/>
      <c r="M196" s="90"/>
      <c r="N196" s="84"/>
      <c r="O196" s="91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ht="30.0" customHeight="1">
      <c r="A197" s="90"/>
      <c r="B197" s="91"/>
      <c r="C197" s="84"/>
      <c r="D197" s="90"/>
      <c r="E197" s="91"/>
      <c r="F197" s="84"/>
      <c r="G197" s="84"/>
      <c r="H197" s="90"/>
      <c r="I197" s="84"/>
      <c r="J197" s="91"/>
      <c r="K197" s="84"/>
      <c r="L197" s="84"/>
      <c r="M197" s="90"/>
      <c r="N197" s="84"/>
      <c r="O197" s="91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ht="30.0" customHeight="1">
      <c r="A198" s="90"/>
      <c r="B198" s="91"/>
      <c r="C198" s="84"/>
      <c r="D198" s="90"/>
      <c r="E198" s="91"/>
      <c r="F198" s="84"/>
      <c r="G198" s="84"/>
      <c r="H198" s="90"/>
      <c r="I198" s="84"/>
      <c r="J198" s="91"/>
      <c r="K198" s="84"/>
      <c r="L198" s="84"/>
      <c r="M198" s="90"/>
      <c r="N198" s="84"/>
      <c r="O198" s="91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ht="30.0" customHeight="1">
      <c r="A199" s="90"/>
      <c r="B199" s="91"/>
      <c r="C199" s="84"/>
      <c r="D199" s="90"/>
      <c r="E199" s="91"/>
      <c r="F199" s="84"/>
      <c r="G199" s="84"/>
      <c r="H199" s="90"/>
      <c r="I199" s="84"/>
      <c r="J199" s="91"/>
      <c r="K199" s="84"/>
      <c r="L199" s="84"/>
      <c r="M199" s="90"/>
      <c r="N199" s="84"/>
      <c r="O199" s="91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ht="30.0" customHeight="1">
      <c r="A200" s="90"/>
      <c r="B200" s="91"/>
      <c r="C200" s="84"/>
      <c r="D200" s="90"/>
      <c r="E200" s="91"/>
      <c r="F200" s="84"/>
      <c r="G200" s="84"/>
      <c r="H200" s="90"/>
      <c r="I200" s="84"/>
      <c r="J200" s="91"/>
      <c r="K200" s="84"/>
      <c r="L200" s="84"/>
      <c r="M200" s="90"/>
      <c r="N200" s="84"/>
      <c r="O200" s="91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ht="30.0" customHeight="1">
      <c r="A201" s="90"/>
      <c r="B201" s="91"/>
      <c r="C201" s="84"/>
      <c r="D201" s="90"/>
      <c r="E201" s="91"/>
      <c r="F201" s="84"/>
      <c r="G201" s="84"/>
      <c r="H201" s="90"/>
      <c r="I201" s="84"/>
      <c r="J201" s="91"/>
      <c r="K201" s="84"/>
      <c r="L201" s="84"/>
      <c r="M201" s="90"/>
      <c r="N201" s="84"/>
      <c r="O201" s="91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ht="30.0" customHeight="1">
      <c r="A202" s="90"/>
      <c r="B202" s="91"/>
      <c r="C202" s="84"/>
      <c r="D202" s="90"/>
      <c r="E202" s="91"/>
      <c r="F202" s="84"/>
      <c r="G202" s="84"/>
      <c r="H202" s="90"/>
      <c r="I202" s="84"/>
      <c r="J202" s="91"/>
      <c r="K202" s="84"/>
      <c r="L202" s="84"/>
      <c r="M202" s="90"/>
      <c r="N202" s="84"/>
      <c r="O202" s="91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ht="30.0" customHeight="1">
      <c r="A203" s="90"/>
      <c r="B203" s="91"/>
      <c r="C203" s="84"/>
      <c r="D203" s="90"/>
      <c r="E203" s="91"/>
      <c r="F203" s="84"/>
      <c r="G203" s="84"/>
      <c r="H203" s="90"/>
      <c r="I203" s="84"/>
      <c r="J203" s="91"/>
      <c r="K203" s="84"/>
      <c r="L203" s="84"/>
      <c r="M203" s="90"/>
      <c r="N203" s="84"/>
      <c r="O203" s="91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ht="30.0" customHeight="1">
      <c r="A204" s="90"/>
      <c r="B204" s="91"/>
      <c r="C204" s="84"/>
      <c r="D204" s="90"/>
      <c r="E204" s="91"/>
      <c r="F204" s="84"/>
      <c r="G204" s="84"/>
      <c r="H204" s="90"/>
      <c r="I204" s="84"/>
      <c r="J204" s="91"/>
      <c r="K204" s="84"/>
      <c r="L204" s="84"/>
      <c r="M204" s="90"/>
      <c r="N204" s="84"/>
      <c r="O204" s="91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ht="30.0" customHeight="1">
      <c r="A205" s="90"/>
      <c r="B205" s="91"/>
      <c r="C205" s="84"/>
      <c r="D205" s="90"/>
      <c r="E205" s="91"/>
      <c r="F205" s="84"/>
      <c r="G205" s="84"/>
      <c r="H205" s="90"/>
      <c r="I205" s="84"/>
      <c r="J205" s="91"/>
      <c r="K205" s="84"/>
      <c r="L205" s="84"/>
      <c r="M205" s="90"/>
      <c r="N205" s="84"/>
      <c r="O205" s="91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ht="30.0" customHeight="1">
      <c r="A206" s="90"/>
      <c r="B206" s="91"/>
      <c r="C206" s="84"/>
      <c r="D206" s="90"/>
      <c r="E206" s="91"/>
      <c r="F206" s="84"/>
      <c r="G206" s="84"/>
      <c r="H206" s="90"/>
      <c r="I206" s="84"/>
      <c r="J206" s="91"/>
      <c r="K206" s="84"/>
      <c r="L206" s="84"/>
      <c r="M206" s="90"/>
      <c r="N206" s="84"/>
      <c r="O206" s="91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ht="30.0" customHeight="1">
      <c r="A207" s="90"/>
      <c r="B207" s="91"/>
      <c r="C207" s="84"/>
      <c r="D207" s="90"/>
      <c r="E207" s="91"/>
      <c r="F207" s="84"/>
      <c r="G207" s="84"/>
      <c r="H207" s="90"/>
      <c r="I207" s="84"/>
      <c r="J207" s="91"/>
      <c r="K207" s="84"/>
      <c r="L207" s="84"/>
      <c r="M207" s="90"/>
      <c r="N207" s="84"/>
      <c r="O207" s="91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ht="30.0" customHeight="1">
      <c r="A208" s="90"/>
      <c r="B208" s="91"/>
      <c r="C208" s="84"/>
      <c r="D208" s="90"/>
      <c r="E208" s="91"/>
      <c r="F208" s="84"/>
      <c r="G208" s="84"/>
      <c r="H208" s="90"/>
      <c r="I208" s="84"/>
      <c r="J208" s="91"/>
      <c r="K208" s="84"/>
      <c r="L208" s="84"/>
      <c r="M208" s="90"/>
      <c r="N208" s="84"/>
      <c r="O208" s="91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ht="30.0" customHeight="1">
      <c r="A209" s="90"/>
      <c r="B209" s="91"/>
      <c r="C209" s="84"/>
      <c r="D209" s="90"/>
      <c r="E209" s="91"/>
      <c r="F209" s="84"/>
      <c r="G209" s="84"/>
      <c r="H209" s="90"/>
      <c r="I209" s="84"/>
      <c r="J209" s="91"/>
      <c r="K209" s="84"/>
      <c r="L209" s="84"/>
      <c r="M209" s="90"/>
      <c r="N209" s="84"/>
      <c r="O209" s="91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ht="30.0" customHeight="1">
      <c r="A210" s="90"/>
      <c r="B210" s="91"/>
      <c r="C210" s="84"/>
      <c r="D210" s="90"/>
      <c r="E210" s="91"/>
      <c r="F210" s="84"/>
      <c r="G210" s="84"/>
      <c r="H210" s="90"/>
      <c r="I210" s="84"/>
      <c r="J210" s="91"/>
      <c r="K210" s="84"/>
      <c r="L210" s="84"/>
      <c r="M210" s="90"/>
      <c r="N210" s="84"/>
      <c r="O210" s="91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ht="30.0" customHeight="1">
      <c r="A211" s="90"/>
      <c r="B211" s="91"/>
      <c r="C211" s="84"/>
      <c r="D211" s="90"/>
      <c r="E211" s="91"/>
      <c r="F211" s="84"/>
      <c r="G211" s="84"/>
      <c r="H211" s="90"/>
      <c r="I211" s="84"/>
      <c r="J211" s="91"/>
      <c r="K211" s="84"/>
      <c r="L211" s="84"/>
      <c r="M211" s="90"/>
      <c r="N211" s="84"/>
      <c r="O211" s="91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ht="30.0" customHeight="1">
      <c r="A212" s="90"/>
      <c r="B212" s="91"/>
      <c r="C212" s="84"/>
      <c r="D212" s="90"/>
      <c r="E212" s="91"/>
      <c r="F212" s="84"/>
      <c r="G212" s="84"/>
      <c r="H212" s="90"/>
      <c r="I212" s="84"/>
      <c r="J212" s="91"/>
      <c r="K212" s="84"/>
      <c r="L212" s="84"/>
      <c r="M212" s="90"/>
      <c r="N212" s="84"/>
      <c r="O212" s="91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ht="30.0" customHeight="1">
      <c r="A213" s="90"/>
      <c r="B213" s="91"/>
      <c r="C213" s="84"/>
      <c r="D213" s="90"/>
      <c r="E213" s="91"/>
      <c r="F213" s="84"/>
      <c r="G213" s="84"/>
      <c r="H213" s="90"/>
      <c r="I213" s="84"/>
      <c r="J213" s="91"/>
      <c r="K213" s="84"/>
      <c r="L213" s="84"/>
      <c r="M213" s="90"/>
      <c r="N213" s="84"/>
      <c r="O213" s="91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ht="30.0" customHeight="1">
      <c r="A214" s="90"/>
      <c r="B214" s="91"/>
      <c r="C214" s="84"/>
      <c r="D214" s="90"/>
      <c r="E214" s="91"/>
      <c r="F214" s="84"/>
      <c r="G214" s="84"/>
      <c r="H214" s="90"/>
      <c r="I214" s="84"/>
      <c r="J214" s="91"/>
      <c r="K214" s="84"/>
      <c r="L214" s="84"/>
      <c r="M214" s="90"/>
      <c r="N214" s="84"/>
      <c r="O214" s="91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ht="30.0" customHeight="1">
      <c r="A215" s="90"/>
      <c r="B215" s="91"/>
      <c r="C215" s="84"/>
      <c r="D215" s="90"/>
      <c r="E215" s="91"/>
      <c r="F215" s="84"/>
      <c r="G215" s="84"/>
      <c r="H215" s="90"/>
      <c r="I215" s="84"/>
      <c r="J215" s="91"/>
      <c r="K215" s="84"/>
      <c r="L215" s="84"/>
      <c r="M215" s="90"/>
      <c r="N215" s="84"/>
      <c r="O215" s="91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ht="30.0" customHeight="1">
      <c r="A216" s="90"/>
      <c r="B216" s="91"/>
      <c r="C216" s="84"/>
      <c r="D216" s="90"/>
      <c r="E216" s="91"/>
      <c r="F216" s="84"/>
      <c r="G216" s="84"/>
      <c r="H216" s="90"/>
      <c r="I216" s="84"/>
      <c r="J216" s="91"/>
      <c r="K216" s="84"/>
      <c r="L216" s="84"/>
      <c r="M216" s="90"/>
      <c r="N216" s="84"/>
      <c r="O216" s="91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ht="30.0" customHeight="1">
      <c r="A217" s="90"/>
      <c r="B217" s="91"/>
      <c r="C217" s="84"/>
      <c r="D217" s="90"/>
      <c r="E217" s="91"/>
      <c r="F217" s="84"/>
      <c r="G217" s="84"/>
      <c r="H217" s="90"/>
      <c r="I217" s="84"/>
      <c r="J217" s="91"/>
      <c r="K217" s="84"/>
      <c r="L217" s="84"/>
      <c r="M217" s="90"/>
      <c r="N217" s="84"/>
      <c r="O217" s="91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ht="30.0" customHeight="1">
      <c r="A218" s="90"/>
      <c r="B218" s="91"/>
      <c r="C218" s="84"/>
      <c r="D218" s="90"/>
      <c r="E218" s="91"/>
      <c r="F218" s="84"/>
      <c r="G218" s="84"/>
      <c r="H218" s="90"/>
      <c r="I218" s="84"/>
      <c r="J218" s="91"/>
      <c r="K218" s="84"/>
      <c r="L218" s="84"/>
      <c r="M218" s="90"/>
      <c r="N218" s="84"/>
      <c r="O218" s="91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ht="30.0" customHeight="1">
      <c r="A219" s="90"/>
      <c r="B219" s="91"/>
      <c r="C219" s="84"/>
      <c r="D219" s="90"/>
      <c r="E219" s="91"/>
      <c r="F219" s="84"/>
      <c r="G219" s="84"/>
      <c r="H219" s="90"/>
      <c r="I219" s="84"/>
      <c r="J219" s="91"/>
      <c r="K219" s="84"/>
      <c r="L219" s="84"/>
      <c r="M219" s="90"/>
      <c r="N219" s="84"/>
      <c r="O219" s="91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ht="30.0" customHeight="1">
      <c r="A220" s="90"/>
      <c r="B220" s="91"/>
      <c r="C220" s="84"/>
      <c r="D220" s="90"/>
      <c r="E220" s="91"/>
      <c r="F220" s="84"/>
      <c r="G220" s="84"/>
      <c r="H220" s="90"/>
      <c r="I220" s="84"/>
      <c r="J220" s="91"/>
      <c r="K220" s="84"/>
      <c r="L220" s="84"/>
      <c r="M220" s="90"/>
      <c r="N220" s="84"/>
      <c r="O220" s="91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ht="30.0" customHeight="1">
      <c r="A221" s="90"/>
      <c r="B221" s="91"/>
      <c r="C221" s="84"/>
      <c r="D221" s="90"/>
      <c r="E221" s="91"/>
      <c r="F221" s="84"/>
      <c r="G221" s="84"/>
      <c r="H221" s="90"/>
      <c r="I221" s="84"/>
      <c r="J221" s="91"/>
      <c r="K221" s="84"/>
      <c r="L221" s="84"/>
      <c r="M221" s="90"/>
      <c r="N221" s="84"/>
      <c r="O221" s="91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ht="30.0" customHeight="1">
      <c r="A222" s="90"/>
      <c r="B222" s="91"/>
      <c r="C222" s="84"/>
      <c r="D222" s="90"/>
      <c r="E222" s="91"/>
      <c r="F222" s="84"/>
      <c r="G222" s="84"/>
      <c r="H222" s="90"/>
      <c r="I222" s="84"/>
      <c r="J222" s="91"/>
      <c r="K222" s="84"/>
      <c r="L222" s="84"/>
      <c r="M222" s="90"/>
      <c r="N222" s="84"/>
      <c r="O222" s="91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ht="30.0" customHeight="1">
      <c r="A223" s="90"/>
      <c r="B223" s="91"/>
      <c r="C223" s="84"/>
      <c r="D223" s="90"/>
      <c r="E223" s="91"/>
      <c r="F223" s="84"/>
      <c r="G223" s="84"/>
      <c r="H223" s="90"/>
      <c r="I223" s="84"/>
      <c r="J223" s="91"/>
      <c r="K223" s="84"/>
      <c r="L223" s="84"/>
      <c r="M223" s="90"/>
      <c r="N223" s="84"/>
      <c r="O223" s="91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ht="30.0" customHeight="1">
      <c r="A224" s="90"/>
      <c r="B224" s="91"/>
      <c r="C224" s="84"/>
      <c r="D224" s="90"/>
      <c r="E224" s="91"/>
      <c r="F224" s="84"/>
      <c r="G224" s="84"/>
      <c r="H224" s="90"/>
      <c r="I224" s="84"/>
      <c r="J224" s="91"/>
      <c r="K224" s="84"/>
      <c r="L224" s="84"/>
      <c r="M224" s="90"/>
      <c r="N224" s="84"/>
      <c r="O224" s="91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ht="30.0" customHeight="1">
      <c r="A225" s="90"/>
      <c r="B225" s="91"/>
      <c r="C225" s="84"/>
      <c r="D225" s="90"/>
      <c r="E225" s="91"/>
      <c r="F225" s="84"/>
      <c r="G225" s="84"/>
      <c r="H225" s="90"/>
      <c r="I225" s="84"/>
      <c r="J225" s="91"/>
      <c r="K225" s="84"/>
      <c r="L225" s="84"/>
      <c r="M225" s="90"/>
      <c r="N225" s="84"/>
      <c r="O225" s="91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ht="30.0" customHeight="1">
      <c r="A226" s="90"/>
      <c r="B226" s="91"/>
      <c r="C226" s="84"/>
      <c r="D226" s="90"/>
      <c r="E226" s="91"/>
      <c r="F226" s="84"/>
      <c r="G226" s="84"/>
      <c r="H226" s="90"/>
      <c r="I226" s="84"/>
      <c r="J226" s="91"/>
      <c r="K226" s="84"/>
      <c r="L226" s="84"/>
      <c r="M226" s="90"/>
      <c r="N226" s="84"/>
      <c r="O226" s="91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ht="30.0" customHeight="1">
      <c r="A227" s="90"/>
      <c r="B227" s="91"/>
      <c r="C227" s="84"/>
      <c r="D227" s="90"/>
      <c r="E227" s="91"/>
      <c r="F227" s="84"/>
      <c r="G227" s="84"/>
      <c r="H227" s="90"/>
      <c r="I227" s="84"/>
      <c r="J227" s="91"/>
      <c r="K227" s="84"/>
      <c r="L227" s="84"/>
      <c r="M227" s="90"/>
      <c r="N227" s="84"/>
      <c r="O227" s="91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ht="30.0" customHeight="1">
      <c r="A228" s="90"/>
      <c r="B228" s="91"/>
      <c r="C228" s="84"/>
      <c r="D228" s="90"/>
      <c r="E228" s="91"/>
      <c r="F228" s="84"/>
      <c r="G228" s="84"/>
      <c r="H228" s="90"/>
      <c r="I228" s="84"/>
      <c r="J228" s="91"/>
      <c r="K228" s="84"/>
      <c r="L228" s="84"/>
      <c r="M228" s="90"/>
      <c r="N228" s="84"/>
      <c r="O228" s="91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ht="30.0" customHeight="1">
      <c r="A229" s="90"/>
      <c r="B229" s="91"/>
      <c r="C229" s="84"/>
      <c r="D229" s="90"/>
      <c r="E229" s="91"/>
      <c r="F229" s="84"/>
      <c r="G229" s="84"/>
      <c r="H229" s="90"/>
      <c r="I229" s="84"/>
      <c r="J229" s="91"/>
      <c r="K229" s="84"/>
      <c r="L229" s="84"/>
      <c r="M229" s="90"/>
      <c r="N229" s="84"/>
      <c r="O229" s="91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ht="30.0" customHeight="1">
      <c r="A230" s="90"/>
      <c r="B230" s="91"/>
      <c r="C230" s="84"/>
      <c r="D230" s="90"/>
      <c r="E230" s="91"/>
      <c r="F230" s="84"/>
      <c r="G230" s="84"/>
      <c r="H230" s="90"/>
      <c r="I230" s="84"/>
      <c r="J230" s="91"/>
      <c r="K230" s="84"/>
      <c r="L230" s="84"/>
      <c r="M230" s="90"/>
      <c r="N230" s="84"/>
      <c r="O230" s="91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ht="30.0" customHeight="1">
      <c r="A231" s="90"/>
      <c r="B231" s="91"/>
      <c r="C231" s="84"/>
      <c r="D231" s="90"/>
      <c r="E231" s="91"/>
      <c r="F231" s="84"/>
      <c r="G231" s="84"/>
      <c r="H231" s="90"/>
      <c r="I231" s="84"/>
      <c r="J231" s="91"/>
      <c r="K231" s="84"/>
      <c r="L231" s="84"/>
      <c r="M231" s="90"/>
      <c r="N231" s="84"/>
      <c r="O231" s="91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ht="30.0" customHeight="1">
      <c r="A232" s="90"/>
      <c r="B232" s="91"/>
      <c r="C232" s="84"/>
      <c r="D232" s="90"/>
      <c r="E232" s="91"/>
      <c r="F232" s="84"/>
      <c r="G232" s="84"/>
      <c r="H232" s="90"/>
      <c r="I232" s="84"/>
      <c r="J232" s="91"/>
      <c r="K232" s="84"/>
      <c r="L232" s="84"/>
      <c r="M232" s="90"/>
      <c r="N232" s="84"/>
      <c r="O232" s="91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ht="30.0" customHeight="1">
      <c r="A233" s="90"/>
      <c r="B233" s="91"/>
      <c r="C233" s="84"/>
      <c r="D233" s="90"/>
      <c r="E233" s="91"/>
      <c r="F233" s="84"/>
      <c r="G233" s="84"/>
      <c r="H233" s="90"/>
      <c r="I233" s="84"/>
      <c r="J233" s="91"/>
      <c r="K233" s="84"/>
      <c r="L233" s="84"/>
      <c r="M233" s="90"/>
      <c r="N233" s="84"/>
      <c r="O233" s="91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ht="30.0" customHeight="1">
      <c r="A234" s="90"/>
      <c r="B234" s="91"/>
      <c r="C234" s="84"/>
      <c r="D234" s="90"/>
      <c r="E234" s="91"/>
      <c r="F234" s="84"/>
      <c r="G234" s="84"/>
      <c r="H234" s="90"/>
      <c r="I234" s="84"/>
      <c r="J234" s="91"/>
      <c r="K234" s="84"/>
      <c r="L234" s="84"/>
      <c r="M234" s="90"/>
      <c r="N234" s="84"/>
      <c r="O234" s="91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ht="30.0" customHeight="1">
      <c r="A235" s="90"/>
      <c r="B235" s="91"/>
      <c r="C235" s="84"/>
      <c r="D235" s="90"/>
      <c r="E235" s="91"/>
      <c r="F235" s="84"/>
      <c r="G235" s="84"/>
      <c r="H235" s="90"/>
      <c r="I235" s="84"/>
      <c r="J235" s="91"/>
      <c r="K235" s="84"/>
      <c r="L235" s="84"/>
      <c r="M235" s="90"/>
      <c r="N235" s="84"/>
      <c r="O235" s="91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ht="30.0" customHeight="1">
      <c r="A236" s="90"/>
      <c r="B236" s="91"/>
      <c r="C236" s="84"/>
      <c r="D236" s="90"/>
      <c r="E236" s="91"/>
      <c r="F236" s="84"/>
      <c r="G236" s="84"/>
      <c r="H236" s="90"/>
      <c r="I236" s="84"/>
      <c r="J236" s="91"/>
      <c r="K236" s="84"/>
      <c r="L236" s="84"/>
      <c r="M236" s="90"/>
      <c r="N236" s="84"/>
      <c r="O236" s="91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ht="30.0" customHeight="1">
      <c r="A237" s="90"/>
      <c r="B237" s="91"/>
      <c r="C237" s="84"/>
      <c r="D237" s="90"/>
      <c r="E237" s="91"/>
      <c r="F237" s="84"/>
      <c r="G237" s="84"/>
      <c r="H237" s="90"/>
      <c r="I237" s="84"/>
      <c r="J237" s="91"/>
      <c r="K237" s="84"/>
      <c r="L237" s="84"/>
      <c r="M237" s="90"/>
      <c r="N237" s="84"/>
      <c r="O237" s="91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ht="30.0" customHeight="1">
      <c r="A238" s="90"/>
      <c r="B238" s="91"/>
      <c r="C238" s="84"/>
      <c r="D238" s="90"/>
      <c r="E238" s="91"/>
      <c r="F238" s="84"/>
      <c r="G238" s="84"/>
      <c r="H238" s="90"/>
      <c r="I238" s="84"/>
      <c r="J238" s="91"/>
      <c r="K238" s="84"/>
      <c r="L238" s="84"/>
      <c r="M238" s="90"/>
      <c r="N238" s="84"/>
      <c r="O238" s="91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ht="30.0" customHeight="1">
      <c r="A239" s="90"/>
      <c r="B239" s="91"/>
      <c r="C239" s="84"/>
      <c r="D239" s="90"/>
      <c r="E239" s="91"/>
      <c r="F239" s="84"/>
      <c r="G239" s="84"/>
      <c r="H239" s="90"/>
      <c r="I239" s="84"/>
      <c r="J239" s="91"/>
      <c r="K239" s="84"/>
      <c r="L239" s="84"/>
      <c r="M239" s="90"/>
      <c r="N239" s="84"/>
      <c r="O239" s="91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ht="30.0" customHeight="1">
      <c r="A240" s="90"/>
      <c r="B240" s="91"/>
      <c r="C240" s="84"/>
      <c r="D240" s="90"/>
      <c r="E240" s="91"/>
      <c r="F240" s="84"/>
      <c r="G240" s="84"/>
      <c r="H240" s="90"/>
      <c r="I240" s="84"/>
      <c r="J240" s="91"/>
      <c r="K240" s="84"/>
      <c r="L240" s="84"/>
      <c r="M240" s="90"/>
      <c r="N240" s="84"/>
      <c r="O240" s="91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ht="30.0" customHeight="1">
      <c r="A241" s="90"/>
      <c r="B241" s="91"/>
      <c r="C241" s="84"/>
      <c r="D241" s="90"/>
      <c r="E241" s="91"/>
      <c r="F241" s="84"/>
      <c r="G241" s="84"/>
      <c r="H241" s="90"/>
      <c r="I241" s="84"/>
      <c r="J241" s="91"/>
      <c r="K241" s="84"/>
      <c r="L241" s="84"/>
      <c r="M241" s="90"/>
      <c r="N241" s="84"/>
      <c r="O241" s="91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ht="30.0" customHeight="1">
      <c r="A242" s="90"/>
      <c r="B242" s="91"/>
      <c r="C242" s="84"/>
      <c r="D242" s="90"/>
      <c r="E242" s="91"/>
      <c r="F242" s="84"/>
      <c r="G242" s="84"/>
      <c r="H242" s="90"/>
      <c r="I242" s="84"/>
      <c r="J242" s="91"/>
      <c r="K242" s="84"/>
      <c r="L242" s="84"/>
      <c r="M242" s="90"/>
      <c r="N242" s="84"/>
      <c r="O242" s="91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ht="30.0" customHeight="1">
      <c r="A243" s="90"/>
      <c r="B243" s="91"/>
      <c r="C243" s="84"/>
      <c r="D243" s="90"/>
      <c r="E243" s="91"/>
      <c r="F243" s="84"/>
      <c r="G243" s="84"/>
      <c r="H243" s="90"/>
      <c r="I243" s="84"/>
      <c r="J243" s="91"/>
      <c r="K243" s="84"/>
      <c r="L243" s="84"/>
      <c r="M243" s="90"/>
      <c r="N243" s="84"/>
      <c r="O243" s="91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ht="30.0" customHeight="1">
      <c r="A244" s="90"/>
      <c r="B244" s="91"/>
      <c r="C244" s="84"/>
      <c r="D244" s="90"/>
      <c r="E244" s="91"/>
      <c r="F244" s="84"/>
      <c r="G244" s="84"/>
      <c r="H244" s="90"/>
      <c r="I244" s="84"/>
      <c r="J244" s="91"/>
      <c r="K244" s="84"/>
      <c r="L244" s="84"/>
      <c r="M244" s="90"/>
      <c r="N244" s="84"/>
      <c r="O244" s="91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ht="30.0" customHeight="1">
      <c r="A245" s="90"/>
      <c r="B245" s="91"/>
      <c r="C245" s="84"/>
      <c r="D245" s="90"/>
      <c r="E245" s="91"/>
      <c r="F245" s="84"/>
      <c r="G245" s="84"/>
      <c r="H245" s="90"/>
      <c r="I245" s="84"/>
      <c r="J245" s="91"/>
      <c r="K245" s="84"/>
      <c r="L245" s="84"/>
      <c r="M245" s="90"/>
      <c r="N245" s="84"/>
      <c r="O245" s="91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ht="30.0" customHeight="1">
      <c r="A246" s="90"/>
      <c r="B246" s="91"/>
      <c r="C246" s="84"/>
      <c r="D246" s="90"/>
      <c r="E246" s="91"/>
      <c r="F246" s="84"/>
      <c r="G246" s="84"/>
      <c r="H246" s="90"/>
      <c r="I246" s="84"/>
      <c r="J246" s="91"/>
      <c r="K246" s="84"/>
      <c r="L246" s="84"/>
      <c r="M246" s="90"/>
      <c r="N246" s="84"/>
      <c r="O246" s="91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ht="30.0" customHeight="1">
      <c r="A247" s="90"/>
      <c r="B247" s="91"/>
      <c r="C247" s="84"/>
      <c r="D247" s="90"/>
      <c r="E247" s="91"/>
      <c r="F247" s="84"/>
      <c r="G247" s="84"/>
      <c r="H247" s="90"/>
      <c r="I247" s="84"/>
      <c r="J247" s="91"/>
      <c r="K247" s="84"/>
      <c r="L247" s="84"/>
      <c r="M247" s="90"/>
      <c r="N247" s="84"/>
      <c r="O247" s="91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ht="30.0" customHeight="1">
      <c r="A248" s="90"/>
      <c r="B248" s="91"/>
      <c r="C248" s="84"/>
      <c r="D248" s="90"/>
      <c r="E248" s="91"/>
      <c r="F248" s="84"/>
      <c r="G248" s="84"/>
      <c r="H248" s="90"/>
      <c r="I248" s="84"/>
      <c r="J248" s="91"/>
      <c r="K248" s="84"/>
      <c r="L248" s="84"/>
      <c r="M248" s="90"/>
      <c r="N248" s="84"/>
      <c r="O248" s="91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ht="30.0" customHeight="1">
      <c r="A249" s="90"/>
      <c r="B249" s="91"/>
      <c r="C249" s="84"/>
      <c r="D249" s="90"/>
      <c r="E249" s="91"/>
      <c r="F249" s="84"/>
      <c r="G249" s="84"/>
      <c r="H249" s="90"/>
      <c r="I249" s="84"/>
      <c r="J249" s="91"/>
      <c r="K249" s="84"/>
      <c r="L249" s="84"/>
      <c r="M249" s="90"/>
      <c r="N249" s="84"/>
      <c r="O249" s="91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ht="30.0" customHeight="1">
      <c r="A250" s="90"/>
      <c r="B250" s="91"/>
      <c r="C250" s="84"/>
      <c r="D250" s="90"/>
      <c r="E250" s="91"/>
      <c r="F250" s="84"/>
      <c r="G250" s="84"/>
      <c r="H250" s="90"/>
      <c r="I250" s="84"/>
      <c r="J250" s="91"/>
      <c r="K250" s="84"/>
      <c r="L250" s="84"/>
      <c r="M250" s="90"/>
      <c r="N250" s="84"/>
      <c r="O250" s="91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ht="30.0" customHeight="1">
      <c r="A251" s="90"/>
      <c r="B251" s="91"/>
      <c r="C251" s="84"/>
      <c r="D251" s="90"/>
      <c r="E251" s="91"/>
      <c r="F251" s="84"/>
      <c r="G251" s="84"/>
      <c r="H251" s="90"/>
      <c r="I251" s="84"/>
      <c r="J251" s="91"/>
      <c r="K251" s="84"/>
      <c r="L251" s="84"/>
      <c r="M251" s="90"/>
      <c r="N251" s="84"/>
      <c r="O251" s="91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ht="30.0" customHeight="1">
      <c r="A252" s="90"/>
      <c r="B252" s="91"/>
      <c r="C252" s="84"/>
      <c r="D252" s="90"/>
      <c r="E252" s="91"/>
      <c r="F252" s="84"/>
      <c r="G252" s="84"/>
      <c r="H252" s="90"/>
      <c r="I252" s="84"/>
      <c r="J252" s="91"/>
      <c r="K252" s="84"/>
      <c r="L252" s="84"/>
      <c r="M252" s="90"/>
      <c r="N252" s="84"/>
      <c r="O252" s="91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ht="30.0" customHeight="1">
      <c r="A253" s="90"/>
      <c r="B253" s="91"/>
      <c r="C253" s="84"/>
      <c r="D253" s="90"/>
      <c r="E253" s="91"/>
      <c r="F253" s="84"/>
      <c r="G253" s="84"/>
      <c r="H253" s="90"/>
      <c r="I253" s="84"/>
      <c r="J253" s="91"/>
      <c r="K253" s="84"/>
      <c r="L253" s="84"/>
      <c r="M253" s="90"/>
      <c r="N253" s="84"/>
      <c r="O253" s="91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ht="30.0" customHeight="1">
      <c r="A254" s="90"/>
      <c r="B254" s="91"/>
      <c r="C254" s="84"/>
      <c r="D254" s="90"/>
      <c r="E254" s="91"/>
      <c r="F254" s="84"/>
      <c r="G254" s="84"/>
      <c r="H254" s="90"/>
      <c r="I254" s="84"/>
      <c r="J254" s="91"/>
      <c r="K254" s="84"/>
      <c r="L254" s="84"/>
      <c r="M254" s="90"/>
      <c r="N254" s="84"/>
      <c r="O254" s="91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ht="30.0" customHeight="1">
      <c r="A255" s="90"/>
      <c r="B255" s="91"/>
      <c r="C255" s="84"/>
      <c r="D255" s="90"/>
      <c r="E255" s="91"/>
      <c r="F255" s="84"/>
      <c r="G255" s="84"/>
      <c r="H255" s="90"/>
      <c r="I255" s="84"/>
      <c r="J255" s="91"/>
      <c r="K255" s="84"/>
      <c r="L255" s="84"/>
      <c r="M255" s="90"/>
      <c r="N255" s="84"/>
      <c r="O255" s="91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ht="30.0" customHeight="1">
      <c r="A256" s="90"/>
      <c r="B256" s="91"/>
      <c r="C256" s="84"/>
      <c r="D256" s="90"/>
      <c r="E256" s="91"/>
      <c r="F256" s="84"/>
      <c r="G256" s="84"/>
      <c r="H256" s="90"/>
      <c r="I256" s="84"/>
      <c r="J256" s="91"/>
      <c r="K256" s="84"/>
      <c r="L256" s="84"/>
      <c r="M256" s="90"/>
      <c r="N256" s="84"/>
      <c r="O256" s="91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ht="30.0" customHeight="1">
      <c r="A257" s="90"/>
      <c r="B257" s="91"/>
      <c r="C257" s="84"/>
      <c r="D257" s="90"/>
      <c r="E257" s="91"/>
      <c r="F257" s="84"/>
      <c r="G257" s="84"/>
      <c r="H257" s="90"/>
      <c r="I257" s="84"/>
      <c r="J257" s="91"/>
      <c r="K257" s="84"/>
      <c r="L257" s="84"/>
      <c r="M257" s="90"/>
      <c r="N257" s="84"/>
      <c r="O257" s="91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ht="30.0" customHeight="1">
      <c r="A258" s="90"/>
      <c r="B258" s="91"/>
      <c r="C258" s="84"/>
      <c r="D258" s="90"/>
      <c r="E258" s="91"/>
      <c r="F258" s="84"/>
      <c r="G258" s="84"/>
      <c r="H258" s="90"/>
      <c r="I258" s="84"/>
      <c r="J258" s="91"/>
      <c r="K258" s="84"/>
      <c r="L258" s="84"/>
      <c r="M258" s="90"/>
      <c r="N258" s="84"/>
      <c r="O258" s="91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ht="30.0" customHeight="1">
      <c r="A259" s="90"/>
      <c r="B259" s="91"/>
      <c r="C259" s="84"/>
      <c r="D259" s="90"/>
      <c r="E259" s="91"/>
      <c r="F259" s="84"/>
      <c r="G259" s="84"/>
      <c r="H259" s="90"/>
      <c r="I259" s="84"/>
      <c r="J259" s="91"/>
      <c r="K259" s="84"/>
      <c r="L259" s="84"/>
      <c r="M259" s="90"/>
      <c r="N259" s="84"/>
      <c r="O259" s="91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ht="30.0" customHeight="1">
      <c r="A260" s="90"/>
      <c r="B260" s="91"/>
      <c r="C260" s="84"/>
      <c r="D260" s="90"/>
      <c r="E260" s="91"/>
      <c r="F260" s="84"/>
      <c r="G260" s="84"/>
      <c r="H260" s="90"/>
      <c r="I260" s="84"/>
      <c r="J260" s="91"/>
      <c r="K260" s="84"/>
      <c r="L260" s="84"/>
      <c r="M260" s="90"/>
      <c r="N260" s="84"/>
      <c r="O260" s="91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ht="30.0" customHeight="1">
      <c r="A261" s="90"/>
      <c r="B261" s="91"/>
      <c r="C261" s="84"/>
      <c r="D261" s="90"/>
      <c r="E261" s="91"/>
      <c r="F261" s="84"/>
      <c r="G261" s="84"/>
      <c r="H261" s="90"/>
      <c r="I261" s="84"/>
      <c r="J261" s="91"/>
      <c r="K261" s="84"/>
      <c r="L261" s="84"/>
      <c r="M261" s="90"/>
      <c r="N261" s="84"/>
      <c r="O261" s="91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ht="30.0" customHeight="1">
      <c r="A262" s="90"/>
      <c r="B262" s="91"/>
      <c r="C262" s="84"/>
      <c r="D262" s="90"/>
      <c r="E262" s="91"/>
      <c r="F262" s="84"/>
      <c r="G262" s="84"/>
      <c r="H262" s="90"/>
      <c r="I262" s="84"/>
      <c r="J262" s="91"/>
      <c r="K262" s="84"/>
      <c r="L262" s="84"/>
      <c r="M262" s="90"/>
      <c r="N262" s="84"/>
      <c r="O262" s="91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ht="30.0" customHeight="1">
      <c r="A263" s="90"/>
      <c r="B263" s="91"/>
      <c r="C263" s="84"/>
      <c r="D263" s="90"/>
      <c r="E263" s="91"/>
      <c r="F263" s="84"/>
      <c r="G263" s="84"/>
      <c r="H263" s="90"/>
      <c r="I263" s="84"/>
      <c r="J263" s="91"/>
      <c r="K263" s="84"/>
      <c r="L263" s="84"/>
      <c r="M263" s="90"/>
      <c r="N263" s="84"/>
      <c r="O263" s="91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ht="30.0" customHeight="1">
      <c r="A264" s="90"/>
      <c r="B264" s="91"/>
      <c r="C264" s="84"/>
      <c r="D264" s="90"/>
      <c r="E264" s="91"/>
      <c r="F264" s="84"/>
      <c r="G264" s="84"/>
      <c r="H264" s="90"/>
      <c r="I264" s="84"/>
      <c r="J264" s="91"/>
      <c r="K264" s="84"/>
      <c r="L264" s="84"/>
      <c r="M264" s="90"/>
      <c r="N264" s="84"/>
      <c r="O264" s="91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ht="30.0" customHeight="1">
      <c r="A265" s="90"/>
      <c r="B265" s="91"/>
      <c r="C265" s="84"/>
      <c r="D265" s="90"/>
      <c r="E265" s="91"/>
      <c r="F265" s="84"/>
      <c r="G265" s="84"/>
      <c r="H265" s="90"/>
      <c r="I265" s="84"/>
      <c r="J265" s="91"/>
      <c r="K265" s="84"/>
      <c r="L265" s="84"/>
      <c r="M265" s="90"/>
      <c r="N265" s="84"/>
      <c r="O265" s="91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ht="30.0" customHeight="1">
      <c r="A266" s="90"/>
      <c r="B266" s="91"/>
      <c r="C266" s="84"/>
      <c r="D266" s="90"/>
      <c r="E266" s="91"/>
      <c r="F266" s="84"/>
      <c r="G266" s="84"/>
      <c r="H266" s="90"/>
      <c r="I266" s="84"/>
      <c r="J266" s="91"/>
      <c r="K266" s="84"/>
      <c r="L266" s="84"/>
      <c r="M266" s="90"/>
      <c r="N266" s="84"/>
      <c r="O266" s="91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ht="30.0" customHeight="1">
      <c r="A267" s="90"/>
      <c r="B267" s="91"/>
      <c r="C267" s="84"/>
      <c r="D267" s="90"/>
      <c r="E267" s="91"/>
      <c r="F267" s="84"/>
      <c r="G267" s="84"/>
      <c r="H267" s="90"/>
      <c r="I267" s="84"/>
      <c r="J267" s="91"/>
      <c r="K267" s="84"/>
      <c r="L267" s="84"/>
      <c r="M267" s="90"/>
      <c r="N267" s="84"/>
      <c r="O267" s="91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ht="30.0" customHeight="1">
      <c r="A268" s="90"/>
      <c r="B268" s="91"/>
      <c r="C268" s="84"/>
      <c r="D268" s="90"/>
      <c r="E268" s="91"/>
      <c r="F268" s="84"/>
      <c r="G268" s="84"/>
      <c r="H268" s="90"/>
      <c r="I268" s="84"/>
      <c r="J268" s="91"/>
      <c r="K268" s="84"/>
      <c r="L268" s="84"/>
      <c r="M268" s="90"/>
      <c r="N268" s="84"/>
      <c r="O268" s="91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ht="30.0" customHeight="1">
      <c r="A269" s="90"/>
      <c r="B269" s="91"/>
      <c r="C269" s="84"/>
      <c r="D269" s="90"/>
      <c r="E269" s="91"/>
      <c r="F269" s="84"/>
      <c r="G269" s="84"/>
      <c r="H269" s="90"/>
      <c r="I269" s="84"/>
      <c r="J269" s="91"/>
      <c r="K269" s="84"/>
      <c r="L269" s="84"/>
      <c r="M269" s="90"/>
      <c r="N269" s="84"/>
      <c r="O269" s="91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ht="30.0" customHeight="1">
      <c r="A270" s="90"/>
      <c r="B270" s="91"/>
      <c r="C270" s="84"/>
      <c r="D270" s="90"/>
      <c r="E270" s="91"/>
      <c r="F270" s="84"/>
      <c r="G270" s="84"/>
      <c r="H270" s="90"/>
      <c r="I270" s="84"/>
      <c r="J270" s="91"/>
      <c r="K270" s="84"/>
      <c r="L270" s="84"/>
      <c r="M270" s="90"/>
      <c r="N270" s="84"/>
      <c r="O270" s="91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ht="30.0" customHeight="1">
      <c r="A271" s="90"/>
      <c r="B271" s="91"/>
      <c r="C271" s="84"/>
      <c r="D271" s="90"/>
      <c r="E271" s="91"/>
      <c r="F271" s="84"/>
      <c r="G271" s="84"/>
      <c r="H271" s="90"/>
      <c r="I271" s="84"/>
      <c r="J271" s="91"/>
      <c r="K271" s="84"/>
      <c r="L271" s="84"/>
      <c r="M271" s="90"/>
      <c r="N271" s="84"/>
      <c r="O271" s="91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ht="30.0" customHeight="1">
      <c r="A272" s="90"/>
      <c r="B272" s="91"/>
      <c r="C272" s="84"/>
      <c r="D272" s="90"/>
      <c r="E272" s="91"/>
      <c r="F272" s="84"/>
      <c r="G272" s="84"/>
      <c r="H272" s="90"/>
      <c r="I272" s="84"/>
      <c r="J272" s="91"/>
      <c r="K272" s="84"/>
      <c r="L272" s="84"/>
      <c r="M272" s="90"/>
      <c r="N272" s="84"/>
      <c r="O272" s="91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ht="30.0" customHeight="1">
      <c r="A273" s="90"/>
      <c r="B273" s="91"/>
      <c r="C273" s="84"/>
      <c r="D273" s="90"/>
      <c r="E273" s="91"/>
      <c r="F273" s="84"/>
      <c r="G273" s="84"/>
      <c r="H273" s="90"/>
      <c r="I273" s="84"/>
      <c r="J273" s="91"/>
      <c r="K273" s="84"/>
      <c r="L273" s="84"/>
      <c r="M273" s="90"/>
      <c r="N273" s="84"/>
      <c r="O273" s="91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ht="30.0" customHeight="1">
      <c r="A274" s="90"/>
      <c r="B274" s="91"/>
      <c r="C274" s="84"/>
      <c r="D274" s="90"/>
      <c r="E274" s="91"/>
      <c r="F274" s="84"/>
      <c r="G274" s="84"/>
      <c r="H274" s="90"/>
      <c r="I274" s="84"/>
      <c r="J274" s="91"/>
      <c r="K274" s="84"/>
      <c r="L274" s="84"/>
      <c r="M274" s="90"/>
      <c r="N274" s="84"/>
      <c r="O274" s="91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ht="30.0" customHeight="1">
      <c r="A275" s="90"/>
      <c r="B275" s="91"/>
      <c r="C275" s="84"/>
      <c r="D275" s="90"/>
      <c r="E275" s="91"/>
      <c r="F275" s="84"/>
      <c r="G275" s="84"/>
      <c r="H275" s="90"/>
      <c r="I275" s="84"/>
      <c r="J275" s="91"/>
      <c r="K275" s="84"/>
      <c r="L275" s="84"/>
      <c r="M275" s="90"/>
      <c r="N275" s="84"/>
      <c r="O275" s="91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ht="30.0" customHeight="1">
      <c r="A276" s="90"/>
      <c r="B276" s="91"/>
      <c r="C276" s="84"/>
      <c r="D276" s="90"/>
      <c r="E276" s="91"/>
      <c r="F276" s="84"/>
      <c r="G276" s="84"/>
      <c r="H276" s="90"/>
      <c r="I276" s="84"/>
      <c r="J276" s="91"/>
      <c r="K276" s="84"/>
      <c r="L276" s="84"/>
      <c r="M276" s="90"/>
      <c r="N276" s="84"/>
      <c r="O276" s="91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ht="30.0" customHeight="1">
      <c r="A277" s="90"/>
      <c r="B277" s="91"/>
      <c r="C277" s="84"/>
      <c r="D277" s="90"/>
      <c r="E277" s="91"/>
      <c r="F277" s="84"/>
      <c r="G277" s="84"/>
      <c r="H277" s="90"/>
      <c r="I277" s="84"/>
      <c r="J277" s="91"/>
      <c r="K277" s="84"/>
      <c r="L277" s="84"/>
      <c r="M277" s="90"/>
      <c r="N277" s="84"/>
      <c r="O277" s="91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ht="30.0" customHeight="1">
      <c r="A278" s="90"/>
      <c r="B278" s="91"/>
      <c r="C278" s="84"/>
      <c r="D278" s="90"/>
      <c r="E278" s="91"/>
      <c r="F278" s="84"/>
      <c r="G278" s="84"/>
      <c r="H278" s="90"/>
      <c r="I278" s="84"/>
      <c r="J278" s="91"/>
      <c r="K278" s="84"/>
      <c r="L278" s="84"/>
      <c r="M278" s="90"/>
      <c r="N278" s="84"/>
      <c r="O278" s="91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ht="30.0" customHeight="1">
      <c r="A279" s="90"/>
      <c r="B279" s="91"/>
      <c r="C279" s="84"/>
      <c r="D279" s="90"/>
      <c r="E279" s="91"/>
      <c r="F279" s="84"/>
      <c r="G279" s="84"/>
      <c r="H279" s="90"/>
      <c r="I279" s="84"/>
      <c r="J279" s="91"/>
      <c r="K279" s="84"/>
      <c r="L279" s="84"/>
      <c r="M279" s="90"/>
      <c r="N279" s="84"/>
      <c r="O279" s="91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ht="30.0" customHeight="1">
      <c r="A280" s="90"/>
      <c r="B280" s="91"/>
      <c r="C280" s="84"/>
      <c r="D280" s="90"/>
      <c r="E280" s="91"/>
      <c r="F280" s="84"/>
      <c r="G280" s="84"/>
      <c r="H280" s="90"/>
      <c r="I280" s="84"/>
      <c r="J280" s="91"/>
      <c r="K280" s="84"/>
      <c r="L280" s="84"/>
      <c r="M280" s="90"/>
      <c r="N280" s="84"/>
      <c r="O280" s="91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ht="30.0" customHeight="1">
      <c r="A281" s="90"/>
      <c r="B281" s="91"/>
      <c r="C281" s="84"/>
      <c r="D281" s="90"/>
      <c r="E281" s="91"/>
      <c r="F281" s="84"/>
      <c r="G281" s="84"/>
      <c r="H281" s="90"/>
      <c r="I281" s="84"/>
      <c r="J281" s="91"/>
      <c r="K281" s="84"/>
      <c r="L281" s="84"/>
      <c r="M281" s="90"/>
      <c r="N281" s="84"/>
      <c r="O281" s="91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ht="30.0" customHeight="1">
      <c r="A282" s="90"/>
      <c r="B282" s="91"/>
      <c r="C282" s="84"/>
      <c r="D282" s="90"/>
      <c r="E282" s="91"/>
      <c r="F282" s="84"/>
      <c r="G282" s="84"/>
      <c r="H282" s="90"/>
      <c r="I282" s="84"/>
      <c r="J282" s="91"/>
      <c r="K282" s="84"/>
      <c r="L282" s="84"/>
      <c r="M282" s="90"/>
      <c r="N282" s="84"/>
      <c r="O282" s="91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ht="30.0" customHeight="1">
      <c r="A283" s="90"/>
      <c r="B283" s="91"/>
      <c r="C283" s="84"/>
      <c r="D283" s="90"/>
      <c r="E283" s="91"/>
      <c r="F283" s="84"/>
      <c r="G283" s="84"/>
      <c r="H283" s="90"/>
      <c r="I283" s="84"/>
      <c r="J283" s="91"/>
      <c r="K283" s="84"/>
      <c r="L283" s="84"/>
      <c r="M283" s="90"/>
      <c r="N283" s="84"/>
      <c r="O283" s="91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ht="30.0" customHeight="1">
      <c r="A284" s="90"/>
      <c r="B284" s="91"/>
      <c r="C284" s="84"/>
      <c r="D284" s="90"/>
      <c r="E284" s="91"/>
      <c r="F284" s="84"/>
      <c r="G284" s="84"/>
      <c r="H284" s="90"/>
      <c r="I284" s="84"/>
      <c r="J284" s="91"/>
      <c r="K284" s="84"/>
      <c r="L284" s="84"/>
      <c r="M284" s="90"/>
      <c r="N284" s="84"/>
      <c r="O284" s="91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ht="30.0" customHeight="1">
      <c r="A285" s="90"/>
      <c r="B285" s="91"/>
      <c r="C285" s="84"/>
      <c r="D285" s="90"/>
      <c r="E285" s="91"/>
      <c r="F285" s="84"/>
      <c r="G285" s="84"/>
      <c r="H285" s="90"/>
      <c r="I285" s="84"/>
      <c r="J285" s="91"/>
      <c r="K285" s="84"/>
      <c r="L285" s="84"/>
      <c r="M285" s="90"/>
      <c r="N285" s="84"/>
      <c r="O285" s="91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ht="30.0" customHeight="1">
      <c r="A286" s="90"/>
      <c r="B286" s="91"/>
      <c r="C286" s="84"/>
      <c r="D286" s="90"/>
      <c r="E286" s="91"/>
      <c r="F286" s="84"/>
      <c r="G286" s="84"/>
      <c r="H286" s="90"/>
      <c r="I286" s="84"/>
      <c r="J286" s="91"/>
      <c r="K286" s="84"/>
      <c r="L286" s="84"/>
      <c r="M286" s="90"/>
      <c r="N286" s="84"/>
      <c r="O286" s="91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ht="30.0" customHeight="1">
      <c r="A287" s="90"/>
      <c r="B287" s="91"/>
      <c r="C287" s="84"/>
      <c r="D287" s="90"/>
      <c r="E287" s="91"/>
      <c r="F287" s="84"/>
      <c r="G287" s="84"/>
      <c r="H287" s="90"/>
      <c r="I287" s="84"/>
      <c r="J287" s="91"/>
      <c r="K287" s="84"/>
      <c r="L287" s="84"/>
      <c r="M287" s="90"/>
      <c r="N287" s="84"/>
      <c r="O287" s="91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ht="30.0" customHeight="1">
      <c r="A288" s="90"/>
      <c r="B288" s="91"/>
      <c r="C288" s="84"/>
      <c r="D288" s="90"/>
      <c r="E288" s="91"/>
      <c r="F288" s="84"/>
      <c r="G288" s="84"/>
      <c r="H288" s="90"/>
      <c r="I288" s="84"/>
      <c r="J288" s="91"/>
      <c r="K288" s="84"/>
      <c r="L288" s="84"/>
      <c r="M288" s="90"/>
      <c r="N288" s="84"/>
      <c r="O288" s="91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ht="30.0" customHeight="1">
      <c r="A289" s="90"/>
      <c r="B289" s="91"/>
      <c r="C289" s="84"/>
      <c r="D289" s="90"/>
      <c r="E289" s="91"/>
      <c r="F289" s="84"/>
      <c r="G289" s="84"/>
      <c r="H289" s="90"/>
      <c r="I289" s="84"/>
      <c r="J289" s="91"/>
      <c r="K289" s="84"/>
      <c r="L289" s="84"/>
      <c r="M289" s="90"/>
      <c r="N289" s="84"/>
      <c r="O289" s="91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ht="30.0" customHeight="1">
      <c r="A290" s="90"/>
      <c r="B290" s="91"/>
      <c r="C290" s="84"/>
      <c r="D290" s="90"/>
      <c r="E290" s="91"/>
      <c r="F290" s="84"/>
      <c r="G290" s="84"/>
      <c r="H290" s="90"/>
      <c r="I290" s="84"/>
      <c r="J290" s="91"/>
      <c r="K290" s="84"/>
      <c r="L290" s="84"/>
      <c r="M290" s="90"/>
      <c r="N290" s="84"/>
      <c r="O290" s="91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ht="30.0" customHeight="1">
      <c r="A291" s="90"/>
      <c r="B291" s="91"/>
      <c r="C291" s="84"/>
      <c r="D291" s="90"/>
      <c r="E291" s="91"/>
      <c r="F291" s="84"/>
      <c r="G291" s="84"/>
      <c r="H291" s="90"/>
      <c r="I291" s="84"/>
      <c r="J291" s="91"/>
      <c r="K291" s="84"/>
      <c r="L291" s="84"/>
      <c r="M291" s="90"/>
      <c r="N291" s="84"/>
      <c r="O291" s="91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ht="30.0" customHeight="1">
      <c r="A292" s="90"/>
      <c r="B292" s="91"/>
      <c r="C292" s="84"/>
      <c r="D292" s="90"/>
      <c r="E292" s="91"/>
      <c r="F292" s="84"/>
      <c r="G292" s="84"/>
      <c r="H292" s="90"/>
      <c r="I292" s="84"/>
      <c r="J292" s="91"/>
      <c r="K292" s="84"/>
      <c r="L292" s="84"/>
      <c r="M292" s="90"/>
      <c r="N292" s="84"/>
      <c r="O292" s="91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ht="30.0" customHeight="1">
      <c r="A293" s="90"/>
      <c r="B293" s="91"/>
      <c r="C293" s="84"/>
      <c r="D293" s="90"/>
      <c r="E293" s="91"/>
      <c r="F293" s="84"/>
      <c r="G293" s="84"/>
      <c r="H293" s="90"/>
      <c r="I293" s="84"/>
      <c r="J293" s="91"/>
      <c r="K293" s="84"/>
      <c r="L293" s="84"/>
      <c r="M293" s="90"/>
      <c r="N293" s="84"/>
      <c r="O293" s="91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ht="30.0" customHeight="1">
      <c r="A294" s="90"/>
      <c r="B294" s="91"/>
      <c r="C294" s="84"/>
      <c r="D294" s="90"/>
      <c r="E294" s="91"/>
      <c r="F294" s="84"/>
      <c r="G294" s="84"/>
      <c r="H294" s="90"/>
      <c r="I294" s="84"/>
      <c r="J294" s="91"/>
      <c r="K294" s="84"/>
      <c r="L294" s="84"/>
      <c r="M294" s="90"/>
      <c r="N294" s="84"/>
      <c r="O294" s="91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ht="30.0" customHeight="1">
      <c r="A295" s="90"/>
      <c r="B295" s="91"/>
      <c r="C295" s="84"/>
      <c r="D295" s="90"/>
      <c r="E295" s="91"/>
      <c r="F295" s="84"/>
      <c r="G295" s="84"/>
      <c r="H295" s="90"/>
      <c r="I295" s="84"/>
      <c r="J295" s="91"/>
      <c r="K295" s="84"/>
      <c r="L295" s="84"/>
      <c r="M295" s="90"/>
      <c r="N295" s="84"/>
      <c r="O295" s="91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ht="30.0" customHeight="1">
      <c r="A296" s="90"/>
      <c r="B296" s="91"/>
      <c r="C296" s="84"/>
      <c r="D296" s="90"/>
      <c r="E296" s="91"/>
      <c r="F296" s="84"/>
      <c r="G296" s="84"/>
      <c r="H296" s="90"/>
      <c r="I296" s="84"/>
      <c r="J296" s="91"/>
      <c r="K296" s="84"/>
      <c r="L296" s="84"/>
      <c r="M296" s="90"/>
      <c r="N296" s="84"/>
      <c r="O296" s="91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ht="30.0" customHeight="1">
      <c r="A297" s="90"/>
      <c r="B297" s="91"/>
      <c r="C297" s="84"/>
      <c r="D297" s="90"/>
      <c r="E297" s="91"/>
      <c r="F297" s="84"/>
      <c r="G297" s="84"/>
      <c r="H297" s="90"/>
      <c r="I297" s="84"/>
      <c r="J297" s="91"/>
      <c r="K297" s="84"/>
      <c r="L297" s="84"/>
      <c r="M297" s="90"/>
      <c r="N297" s="84"/>
      <c r="O297" s="91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ht="30.0" customHeight="1">
      <c r="A298" s="90"/>
      <c r="B298" s="91"/>
      <c r="C298" s="84"/>
      <c r="D298" s="90"/>
      <c r="E298" s="91"/>
      <c r="F298" s="84"/>
      <c r="G298" s="84"/>
      <c r="H298" s="90"/>
      <c r="I298" s="84"/>
      <c r="J298" s="91"/>
      <c r="K298" s="84"/>
      <c r="L298" s="84"/>
      <c r="M298" s="90"/>
      <c r="N298" s="84"/>
      <c r="O298" s="91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ht="30.0" customHeight="1">
      <c r="A299" s="90"/>
      <c r="B299" s="91"/>
      <c r="C299" s="84"/>
      <c r="D299" s="90"/>
      <c r="E299" s="91"/>
      <c r="F299" s="84"/>
      <c r="G299" s="84"/>
      <c r="H299" s="90"/>
      <c r="I299" s="84"/>
      <c r="J299" s="91"/>
      <c r="K299" s="84"/>
      <c r="L299" s="84"/>
      <c r="M299" s="90"/>
      <c r="N299" s="84"/>
      <c r="O299" s="91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ht="30.0" customHeight="1">
      <c r="A300" s="90"/>
      <c r="B300" s="91"/>
      <c r="C300" s="84"/>
      <c r="D300" s="90"/>
      <c r="E300" s="91"/>
      <c r="F300" s="84"/>
      <c r="G300" s="84"/>
      <c r="H300" s="90"/>
      <c r="I300" s="84"/>
      <c r="J300" s="91"/>
      <c r="K300" s="84"/>
      <c r="L300" s="84"/>
      <c r="M300" s="90"/>
      <c r="N300" s="84"/>
      <c r="O300" s="91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ht="30.0" customHeight="1">
      <c r="A301" s="90"/>
      <c r="B301" s="91"/>
      <c r="C301" s="84"/>
      <c r="D301" s="90"/>
      <c r="E301" s="91"/>
      <c r="F301" s="84"/>
      <c r="G301" s="84"/>
      <c r="H301" s="90"/>
      <c r="I301" s="84"/>
      <c r="J301" s="91"/>
      <c r="K301" s="84"/>
      <c r="L301" s="84"/>
      <c r="M301" s="90"/>
      <c r="N301" s="84"/>
      <c r="O301" s="91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ht="30.0" customHeight="1">
      <c r="A302" s="90"/>
      <c r="B302" s="91"/>
      <c r="C302" s="84"/>
      <c r="D302" s="90"/>
      <c r="E302" s="91"/>
      <c r="F302" s="84"/>
      <c r="G302" s="84"/>
      <c r="H302" s="90"/>
      <c r="I302" s="84"/>
      <c r="J302" s="91"/>
      <c r="K302" s="84"/>
      <c r="L302" s="84"/>
      <c r="M302" s="90"/>
      <c r="N302" s="84"/>
      <c r="O302" s="91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ht="30.0" customHeight="1">
      <c r="A303" s="90"/>
      <c r="B303" s="91"/>
      <c r="C303" s="84"/>
      <c r="D303" s="90"/>
      <c r="E303" s="91"/>
      <c r="F303" s="84"/>
      <c r="G303" s="84"/>
      <c r="H303" s="90"/>
      <c r="I303" s="84"/>
      <c r="J303" s="91"/>
      <c r="K303" s="84"/>
      <c r="L303" s="84"/>
      <c r="M303" s="90"/>
      <c r="N303" s="84"/>
      <c r="O303" s="91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ht="30.0" customHeight="1">
      <c r="A304" s="90"/>
      <c r="B304" s="91"/>
      <c r="C304" s="84"/>
      <c r="D304" s="90"/>
      <c r="E304" s="91"/>
      <c r="F304" s="84"/>
      <c r="G304" s="84"/>
      <c r="H304" s="90"/>
      <c r="I304" s="84"/>
      <c r="J304" s="91"/>
      <c r="K304" s="84"/>
      <c r="L304" s="84"/>
      <c r="M304" s="90"/>
      <c r="N304" s="84"/>
      <c r="O304" s="91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ht="30.0" customHeight="1">
      <c r="A305" s="90"/>
      <c r="B305" s="91"/>
      <c r="C305" s="84"/>
      <c r="D305" s="90"/>
      <c r="E305" s="91"/>
      <c r="F305" s="84"/>
      <c r="G305" s="84"/>
      <c r="H305" s="90"/>
      <c r="I305" s="84"/>
      <c r="J305" s="91"/>
      <c r="K305" s="84"/>
      <c r="L305" s="84"/>
      <c r="M305" s="90"/>
      <c r="N305" s="84"/>
      <c r="O305" s="91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ht="30.0" customHeight="1">
      <c r="A306" s="90"/>
      <c r="B306" s="91"/>
      <c r="C306" s="84"/>
      <c r="D306" s="90"/>
      <c r="E306" s="91"/>
      <c r="F306" s="84"/>
      <c r="G306" s="84"/>
      <c r="H306" s="90"/>
      <c r="I306" s="84"/>
      <c r="J306" s="91"/>
      <c r="K306" s="84"/>
      <c r="L306" s="84"/>
      <c r="M306" s="90"/>
      <c r="N306" s="84"/>
      <c r="O306" s="91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ht="30.0" customHeight="1">
      <c r="A307" s="90"/>
      <c r="B307" s="91"/>
      <c r="C307" s="84"/>
      <c r="D307" s="90"/>
      <c r="E307" s="91"/>
      <c r="F307" s="84"/>
      <c r="G307" s="84"/>
      <c r="H307" s="90"/>
      <c r="I307" s="84"/>
      <c r="J307" s="91"/>
      <c r="K307" s="84"/>
      <c r="L307" s="84"/>
      <c r="M307" s="90"/>
      <c r="N307" s="84"/>
      <c r="O307" s="91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ht="30.0" customHeight="1">
      <c r="A308" s="90"/>
      <c r="B308" s="91"/>
      <c r="C308" s="84"/>
      <c r="D308" s="90"/>
      <c r="E308" s="91"/>
      <c r="F308" s="84"/>
      <c r="G308" s="84"/>
      <c r="H308" s="90"/>
      <c r="I308" s="84"/>
      <c r="J308" s="91"/>
      <c r="K308" s="84"/>
      <c r="L308" s="84"/>
      <c r="M308" s="90"/>
      <c r="N308" s="84"/>
      <c r="O308" s="91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ht="30.0" customHeight="1">
      <c r="A309" s="90"/>
      <c r="B309" s="91"/>
      <c r="C309" s="84"/>
      <c r="D309" s="90"/>
      <c r="E309" s="91"/>
      <c r="F309" s="84"/>
      <c r="G309" s="84"/>
      <c r="H309" s="90"/>
      <c r="I309" s="84"/>
      <c r="J309" s="91"/>
      <c r="K309" s="84"/>
      <c r="L309" s="84"/>
      <c r="M309" s="90"/>
      <c r="N309" s="84"/>
      <c r="O309" s="91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ht="30.0" customHeight="1">
      <c r="A310" s="90"/>
      <c r="B310" s="91"/>
      <c r="C310" s="84"/>
      <c r="D310" s="90"/>
      <c r="E310" s="91"/>
      <c r="F310" s="84"/>
      <c r="G310" s="84"/>
      <c r="H310" s="90"/>
      <c r="I310" s="84"/>
      <c r="J310" s="91"/>
      <c r="K310" s="84"/>
      <c r="L310" s="84"/>
      <c r="M310" s="90"/>
      <c r="N310" s="84"/>
      <c r="O310" s="91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ht="30.0" customHeight="1">
      <c r="A311" s="90"/>
      <c r="B311" s="91"/>
      <c r="C311" s="84"/>
      <c r="D311" s="90"/>
      <c r="E311" s="91"/>
      <c r="F311" s="84"/>
      <c r="G311" s="84"/>
      <c r="H311" s="90"/>
      <c r="I311" s="84"/>
      <c r="J311" s="91"/>
      <c r="K311" s="84"/>
      <c r="L311" s="84"/>
      <c r="M311" s="90"/>
      <c r="N311" s="84"/>
      <c r="O311" s="91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ht="30.0" customHeight="1">
      <c r="A312" s="90"/>
      <c r="B312" s="91"/>
      <c r="C312" s="84"/>
      <c r="D312" s="90"/>
      <c r="E312" s="91"/>
      <c r="F312" s="84"/>
      <c r="G312" s="84"/>
      <c r="H312" s="90"/>
      <c r="I312" s="84"/>
      <c r="J312" s="91"/>
      <c r="K312" s="84"/>
      <c r="L312" s="84"/>
      <c r="M312" s="90"/>
      <c r="N312" s="84"/>
      <c r="O312" s="91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ht="30.0" customHeight="1">
      <c r="A313" s="90"/>
      <c r="B313" s="91"/>
      <c r="C313" s="84"/>
      <c r="D313" s="90"/>
      <c r="E313" s="91"/>
      <c r="F313" s="84"/>
      <c r="G313" s="84"/>
      <c r="H313" s="90"/>
      <c r="I313" s="84"/>
      <c r="J313" s="91"/>
      <c r="K313" s="84"/>
      <c r="L313" s="84"/>
      <c r="M313" s="90"/>
      <c r="N313" s="84"/>
      <c r="O313" s="91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ht="30.0" customHeight="1">
      <c r="A314" s="90"/>
      <c r="B314" s="91"/>
      <c r="C314" s="84"/>
      <c r="D314" s="90"/>
      <c r="E314" s="91"/>
      <c r="F314" s="84"/>
      <c r="G314" s="84"/>
      <c r="H314" s="90"/>
      <c r="I314" s="84"/>
      <c r="J314" s="91"/>
      <c r="K314" s="84"/>
      <c r="L314" s="84"/>
      <c r="M314" s="90"/>
      <c r="N314" s="84"/>
      <c r="O314" s="91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ht="30.0" customHeight="1">
      <c r="A315" s="90"/>
      <c r="B315" s="91"/>
      <c r="C315" s="84"/>
      <c r="D315" s="90"/>
      <c r="E315" s="91"/>
      <c r="F315" s="84"/>
      <c r="G315" s="84"/>
      <c r="H315" s="90"/>
      <c r="I315" s="84"/>
      <c r="J315" s="91"/>
      <c r="K315" s="84"/>
      <c r="L315" s="84"/>
      <c r="M315" s="90"/>
      <c r="N315" s="84"/>
      <c r="O315" s="91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ht="30.0" customHeight="1">
      <c r="A316" s="90"/>
      <c r="B316" s="91"/>
      <c r="C316" s="84"/>
      <c r="D316" s="90"/>
      <c r="E316" s="91"/>
      <c r="F316" s="84"/>
      <c r="G316" s="84"/>
      <c r="H316" s="90"/>
      <c r="I316" s="84"/>
      <c r="J316" s="91"/>
      <c r="K316" s="84"/>
      <c r="L316" s="84"/>
      <c r="M316" s="90"/>
      <c r="N316" s="84"/>
      <c r="O316" s="91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ht="30.0" customHeight="1">
      <c r="A317" s="90"/>
      <c r="B317" s="91"/>
      <c r="C317" s="84"/>
      <c r="D317" s="90"/>
      <c r="E317" s="91"/>
      <c r="F317" s="84"/>
      <c r="G317" s="84"/>
      <c r="H317" s="90"/>
      <c r="I317" s="84"/>
      <c r="J317" s="91"/>
      <c r="K317" s="84"/>
      <c r="L317" s="84"/>
      <c r="M317" s="90"/>
      <c r="N317" s="84"/>
      <c r="O317" s="91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ht="30.0" customHeight="1">
      <c r="A318" s="90"/>
      <c r="B318" s="91"/>
      <c r="C318" s="84"/>
      <c r="D318" s="90"/>
      <c r="E318" s="91"/>
      <c r="F318" s="84"/>
      <c r="G318" s="84"/>
      <c r="H318" s="90"/>
      <c r="I318" s="84"/>
      <c r="J318" s="91"/>
      <c r="K318" s="84"/>
      <c r="L318" s="84"/>
      <c r="M318" s="90"/>
      <c r="N318" s="84"/>
      <c r="O318" s="91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ht="30.0" customHeight="1">
      <c r="A319" s="90"/>
      <c r="B319" s="91"/>
      <c r="C319" s="84"/>
      <c r="D319" s="90"/>
      <c r="E319" s="91"/>
      <c r="F319" s="84"/>
      <c r="G319" s="84"/>
      <c r="H319" s="90"/>
      <c r="I319" s="84"/>
      <c r="J319" s="91"/>
      <c r="K319" s="84"/>
      <c r="L319" s="84"/>
      <c r="M319" s="90"/>
      <c r="N319" s="84"/>
      <c r="O319" s="91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ht="30.0" customHeight="1">
      <c r="A320" s="90"/>
      <c r="B320" s="91"/>
      <c r="C320" s="84"/>
      <c r="D320" s="90"/>
      <c r="E320" s="91"/>
      <c r="F320" s="84"/>
      <c r="G320" s="84"/>
      <c r="H320" s="90"/>
      <c r="I320" s="84"/>
      <c r="J320" s="91"/>
      <c r="K320" s="84"/>
      <c r="L320" s="84"/>
      <c r="M320" s="90"/>
      <c r="N320" s="84"/>
      <c r="O320" s="91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ht="30.0" customHeight="1">
      <c r="A321" s="90"/>
      <c r="B321" s="91"/>
      <c r="C321" s="84"/>
      <c r="D321" s="90"/>
      <c r="E321" s="91"/>
      <c r="F321" s="84"/>
      <c r="G321" s="84"/>
      <c r="H321" s="90"/>
      <c r="I321" s="84"/>
      <c r="J321" s="91"/>
      <c r="K321" s="84"/>
      <c r="L321" s="84"/>
      <c r="M321" s="90"/>
      <c r="N321" s="84"/>
      <c r="O321" s="91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ht="30.0" customHeight="1">
      <c r="A322" s="90"/>
      <c r="B322" s="91"/>
      <c r="C322" s="84"/>
      <c r="D322" s="90"/>
      <c r="E322" s="91"/>
      <c r="F322" s="84"/>
      <c r="G322" s="84"/>
      <c r="H322" s="90"/>
      <c r="I322" s="84"/>
      <c r="J322" s="91"/>
      <c r="K322" s="84"/>
      <c r="L322" s="84"/>
      <c r="M322" s="90"/>
      <c r="N322" s="84"/>
      <c r="O322" s="91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ht="30.0" customHeight="1">
      <c r="A323" s="90"/>
      <c r="B323" s="91"/>
      <c r="C323" s="84"/>
      <c r="D323" s="90"/>
      <c r="E323" s="91"/>
      <c r="F323" s="84"/>
      <c r="G323" s="84"/>
      <c r="H323" s="90"/>
      <c r="I323" s="84"/>
      <c r="J323" s="91"/>
      <c r="K323" s="84"/>
      <c r="L323" s="84"/>
      <c r="M323" s="90"/>
      <c r="N323" s="84"/>
      <c r="O323" s="91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ht="30.0" customHeight="1">
      <c r="A324" s="90"/>
      <c r="B324" s="91"/>
      <c r="C324" s="84"/>
      <c r="D324" s="90"/>
      <c r="E324" s="91"/>
      <c r="F324" s="84"/>
      <c r="G324" s="84"/>
      <c r="H324" s="90"/>
      <c r="I324" s="84"/>
      <c r="J324" s="91"/>
      <c r="K324" s="84"/>
      <c r="L324" s="84"/>
      <c r="M324" s="90"/>
      <c r="N324" s="84"/>
      <c r="O324" s="91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ht="30.0" customHeight="1">
      <c r="A325" s="90"/>
      <c r="B325" s="91"/>
      <c r="C325" s="84"/>
      <c r="D325" s="90"/>
      <c r="E325" s="91"/>
      <c r="F325" s="84"/>
      <c r="G325" s="84"/>
      <c r="H325" s="90"/>
      <c r="I325" s="84"/>
      <c r="J325" s="91"/>
      <c r="K325" s="84"/>
      <c r="L325" s="84"/>
      <c r="M325" s="90"/>
      <c r="N325" s="84"/>
      <c r="O325" s="91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ht="30.0" customHeight="1">
      <c r="A326" s="90"/>
      <c r="B326" s="91"/>
      <c r="C326" s="84"/>
      <c r="D326" s="90"/>
      <c r="E326" s="91"/>
      <c r="F326" s="84"/>
      <c r="G326" s="84"/>
      <c r="H326" s="90"/>
      <c r="I326" s="84"/>
      <c r="J326" s="91"/>
      <c r="K326" s="84"/>
      <c r="L326" s="84"/>
      <c r="M326" s="90"/>
      <c r="N326" s="84"/>
      <c r="O326" s="91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ht="30.0" customHeight="1">
      <c r="A327" s="90"/>
      <c r="B327" s="91"/>
      <c r="C327" s="84"/>
      <c r="D327" s="90"/>
      <c r="E327" s="91"/>
      <c r="F327" s="84"/>
      <c r="G327" s="84"/>
      <c r="H327" s="90"/>
      <c r="I327" s="84"/>
      <c r="J327" s="91"/>
      <c r="K327" s="84"/>
      <c r="L327" s="84"/>
      <c r="M327" s="90"/>
      <c r="N327" s="84"/>
      <c r="O327" s="91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ht="30.0" customHeight="1">
      <c r="A328" s="90"/>
      <c r="B328" s="91"/>
      <c r="C328" s="84"/>
      <c r="D328" s="90"/>
      <c r="E328" s="91"/>
      <c r="F328" s="84"/>
      <c r="G328" s="84"/>
      <c r="H328" s="90"/>
      <c r="I328" s="84"/>
      <c r="J328" s="91"/>
      <c r="K328" s="84"/>
      <c r="L328" s="84"/>
      <c r="M328" s="90"/>
      <c r="N328" s="84"/>
      <c r="O328" s="91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ht="30.0" customHeight="1">
      <c r="A329" s="90"/>
      <c r="B329" s="91"/>
      <c r="C329" s="84"/>
      <c r="D329" s="90"/>
      <c r="E329" s="91"/>
      <c r="F329" s="84"/>
      <c r="G329" s="84"/>
      <c r="H329" s="90"/>
      <c r="I329" s="84"/>
      <c r="J329" s="91"/>
      <c r="K329" s="84"/>
      <c r="L329" s="84"/>
      <c r="M329" s="90"/>
      <c r="N329" s="84"/>
      <c r="O329" s="91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ht="30.0" customHeight="1">
      <c r="A330" s="90"/>
      <c r="B330" s="91"/>
      <c r="C330" s="84"/>
      <c r="D330" s="90"/>
      <c r="E330" s="91"/>
      <c r="F330" s="84"/>
      <c r="G330" s="84"/>
      <c r="H330" s="90"/>
      <c r="I330" s="84"/>
      <c r="J330" s="91"/>
      <c r="K330" s="84"/>
      <c r="L330" s="84"/>
      <c r="M330" s="90"/>
      <c r="N330" s="84"/>
      <c r="O330" s="91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ht="30.0" customHeight="1">
      <c r="A331" s="90"/>
      <c r="B331" s="91"/>
      <c r="C331" s="84"/>
      <c r="D331" s="90"/>
      <c r="E331" s="91"/>
      <c r="F331" s="84"/>
      <c r="G331" s="84"/>
      <c r="H331" s="90"/>
      <c r="I331" s="84"/>
      <c r="J331" s="91"/>
      <c r="K331" s="84"/>
      <c r="L331" s="84"/>
      <c r="M331" s="90"/>
      <c r="N331" s="84"/>
      <c r="O331" s="91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ht="30.0" customHeight="1">
      <c r="A332" s="90"/>
      <c r="B332" s="91"/>
      <c r="C332" s="84"/>
      <c r="D332" s="90"/>
      <c r="E332" s="91"/>
      <c r="F332" s="84"/>
      <c r="G332" s="84"/>
      <c r="H332" s="90"/>
      <c r="I332" s="84"/>
      <c r="J332" s="91"/>
      <c r="K332" s="84"/>
      <c r="L332" s="84"/>
      <c r="M332" s="90"/>
      <c r="N332" s="84"/>
      <c r="O332" s="91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ht="30.0" customHeight="1">
      <c r="A333" s="90"/>
      <c r="B333" s="91"/>
      <c r="C333" s="84"/>
      <c r="D333" s="90"/>
      <c r="E333" s="91"/>
      <c r="F333" s="84"/>
      <c r="G333" s="84"/>
      <c r="H333" s="90"/>
      <c r="I333" s="84"/>
      <c r="J333" s="91"/>
      <c r="K333" s="84"/>
      <c r="L333" s="84"/>
      <c r="M333" s="90"/>
      <c r="N333" s="84"/>
      <c r="O333" s="91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ht="30.0" customHeight="1">
      <c r="A334" s="90"/>
      <c r="B334" s="91"/>
      <c r="C334" s="84"/>
      <c r="D334" s="90"/>
      <c r="E334" s="91"/>
      <c r="F334" s="84"/>
      <c r="G334" s="84"/>
      <c r="H334" s="90"/>
      <c r="I334" s="84"/>
      <c r="J334" s="91"/>
      <c r="K334" s="84"/>
      <c r="L334" s="84"/>
      <c r="M334" s="90"/>
      <c r="N334" s="84"/>
      <c r="O334" s="91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ht="30.0" customHeight="1">
      <c r="A335" s="90"/>
      <c r="B335" s="91"/>
      <c r="C335" s="84"/>
      <c r="D335" s="90"/>
      <c r="E335" s="91"/>
      <c r="F335" s="84"/>
      <c r="G335" s="84"/>
      <c r="H335" s="90"/>
      <c r="I335" s="84"/>
      <c r="J335" s="91"/>
      <c r="K335" s="84"/>
      <c r="L335" s="84"/>
      <c r="M335" s="90"/>
      <c r="N335" s="84"/>
      <c r="O335" s="91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ht="30.0" customHeight="1">
      <c r="A336" s="90"/>
      <c r="B336" s="91"/>
      <c r="C336" s="84"/>
      <c r="D336" s="90"/>
      <c r="E336" s="91"/>
      <c r="F336" s="84"/>
      <c r="G336" s="84"/>
      <c r="H336" s="90"/>
      <c r="I336" s="84"/>
      <c r="J336" s="91"/>
      <c r="K336" s="84"/>
      <c r="L336" s="84"/>
      <c r="M336" s="90"/>
      <c r="N336" s="84"/>
      <c r="O336" s="91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ht="30.0" customHeight="1">
      <c r="A337" s="90"/>
      <c r="B337" s="91"/>
      <c r="C337" s="84"/>
      <c r="D337" s="90"/>
      <c r="E337" s="91"/>
      <c r="F337" s="84"/>
      <c r="G337" s="84"/>
      <c r="H337" s="90"/>
      <c r="I337" s="84"/>
      <c r="J337" s="91"/>
      <c r="K337" s="84"/>
      <c r="L337" s="84"/>
      <c r="M337" s="90"/>
      <c r="N337" s="84"/>
      <c r="O337" s="91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ht="30.0" customHeight="1">
      <c r="A338" s="90"/>
      <c r="B338" s="91"/>
      <c r="C338" s="84"/>
      <c r="D338" s="90"/>
      <c r="E338" s="91"/>
      <c r="F338" s="84"/>
      <c r="G338" s="84"/>
      <c r="H338" s="90"/>
      <c r="I338" s="84"/>
      <c r="J338" s="91"/>
      <c r="K338" s="84"/>
      <c r="L338" s="84"/>
      <c r="M338" s="90"/>
      <c r="N338" s="84"/>
      <c r="O338" s="91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ht="30.0" customHeight="1">
      <c r="A339" s="90"/>
      <c r="B339" s="91"/>
      <c r="C339" s="84"/>
      <c r="D339" s="90"/>
      <c r="E339" s="91"/>
      <c r="F339" s="84"/>
      <c r="G339" s="84"/>
      <c r="H339" s="90"/>
      <c r="I339" s="84"/>
      <c r="J339" s="91"/>
      <c r="K339" s="84"/>
      <c r="L339" s="84"/>
      <c r="M339" s="90"/>
      <c r="N339" s="84"/>
      <c r="O339" s="91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ht="30.0" customHeight="1">
      <c r="A340" s="90"/>
      <c r="B340" s="91"/>
      <c r="C340" s="84"/>
      <c r="D340" s="90"/>
      <c r="E340" s="91"/>
      <c r="F340" s="84"/>
      <c r="G340" s="84"/>
      <c r="H340" s="90"/>
      <c r="I340" s="84"/>
      <c r="J340" s="91"/>
      <c r="K340" s="84"/>
      <c r="L340" s="84"/>
      <c r="M340" s="90"/>
      <c r="N340" s="84"/>
      <c r="O340" s="91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ht="30.0" customHeight="1">
      <c r="A341" s="90"/>
      <c r="B341" s="91"/>
      <c r="C341" s="84"/>
      <c r="D341" s="90"/>
      <c r="E341" s="91"/>
      <c r="F341" s="84"/>
      <c r="G341" s="84"/>
      <c r="H341" s="90"/>
      <c r="I341" s="84"/>
      <c r="J341" s="91"/>
      <c r="K341" s="84"/>
      <c r="L341" s="84"/>
      <c r="M341" s="90"/>
      <c r="N341" s="84"/>
      <c r="O341" s="91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ht="30.0" customHeight="1">
      <c r="A342" s="90"/>
      <c r="B342" s="91"/>
      <c r="C342" s="84"/>
      <c r="D342" s="90"/>
      <c r="E342" s="91"/>
      <c r="F342" s="84"/>
      <c r="G342" s="84"/>
      <c r="H342" s="90"/>
      <c r="I342" s="84"/>
      <c r="J342" s="91"/>
      <c r="K342" s="84"/>
      <c r="L342" s="84"/>
      <c r="M342" s="90"/>
      <c r="N342" s="84"/>
      <c r="O342" s="91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ht="30.0" customHeight="1">
      <c r="A343" s="90"/>
      <c r="B343" s="91"/>
      <c r="C343" s="84"/>
      <c r="D343" s="90"/>
      <c r="E343" s="91"/>
      <c r="F343" s="84"/>
      <c r="G343" s="84"/>
      <c r="H343" s="90"/>
      <c r="I343" s="84"/>
      <c r="J343" s="91"/>
      <c r="K343" s="84"/>
      <c r="L343" s="84"/>
      <c r="M343" s="90"/>
      <c r="N343" s="84"/>
      <c r="O343" s="91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ht="30.0" customHeight="1">
      <c r="A344" s="90"/>
      <c r="B344" s="91"/>
      <c r="C344" s="84"/>
      <c r="D344" s="90"/>
      <c r="E344" s="91"/>
      <c r="F344" s="84"/>
      <c r="G344" s="84"/>
      <c r="H344" s="90"/>
      <c r="I344" s="84"/>
      <c r="J344" s="91"/>
      <c r="K344" s="84"/>
      <c r="L344" s="84"/>
      <c r="M344" s="90"/>
      <c r="N344" s="84"/>
      <c r="O344" s="91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ht="30.0" customHeight="1">
      <c r="A345" s="90"/>
      <c r="B345" s="91"/>
      <c r="C345" s="84"/>
      <c r="D345" s="90"/>
      <c r="E345" s="91"/>
      <c r="F345" s="84"/>
      <c r="G345" s="84"/>
      <c r="H345" s="90"/>
      <c r="I345" s="84"/>
      <c r="J345" s="91"/>
      <c r="K345" s="84"/>
      <c r="L345" s="84"/>
      <c r="M345" s="90"/>
      <c r="N345" s="84"/>
      <c r="O345" s="91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ht="30.0" customHeight="1">
      <c r="A346" s="90"/>
      <c r="B346" s="91"/>
      <c r="C346" s="84"/>
      <c r="D346" s="90"/>
      <c r="E346" s="91"/>
      <c r="F346" s="84"/>
      <c r="G346" s="84"/>
      <c r="H346" s="90"/>
      <c r="I346" s="84"/>
      <c r="J346" s="91"/>
      <c r="K346" s="84"/>
      <c r="L346" s="84"/>
      <c r="M346" s="90"/>
      <c r="N346" s="84"/>
      <c r="O346" s="91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ht="30.0" customHeight="1">
      <c r="A347" s="90"/>
      <c r="B347" s="91"/>
      <c r="C347" s="84"/>
      <c r="D347" s="90"/>
      <c r="E347" s="91"/>
      <c r="F347" s="84"/>
      <c r="G347" s="84"/>
      <c r="H347" s="90"/>
      <c r="I347" s="84"/>
      <c r="J347" s="91"/>
      <c r="K347" s="84"/>
      <c r="L347" s="84"/>
      <c r="M347" s="90"/>
      <c r="N347" s="84"/>
      <c r="O347" s="91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ht="30.0" customHeight="1">
      <c r="A348" s="90"/>
      <c r="B348" s="91"/>
      <c r="C348" s="84"/>
      <c r="D348" s="90"/>
      <c r="E348" s="91"/>
      <c r="F348" s="84"/>
      <c r="G348" s="84"/>
      <c r="H348" s="90"/>
      <c r="I348" s="84"/>
      <c r="J348" s="91"/>
      <c r="K348" s="84"/>
      <c r="L348" s="84"/>
      <c r="M348" s="90"/>
      <c r="N348" s="84"/>
      <c r="O348" s="91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ht="30.0" customHeight="1">
      <c r="A349" s="90"/>
      <c r="B349" s="91"/>
      <c r="C349" s="84"/>
      <c r="D349" s="90"/>
      <c r="E349" s="91"/>
      <c r="F349" s="84"/>
      <c r="G349" s="84"/>
      <c r="H349" s="90"/>
      <c r="I349" s="84"/>
      <c r="J349" s="91"/>
      <c r="K349" s="84"/>
      <c r="L349" s="84"/>
      <c r="M349" s="90"/>
      <c r="N349" s="84"/>
      <c r="O349" s="91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ht="30.0" customHeight="1">
      <c r="A350" s="90"/>
      <c r="B350" s="91"/>
      <c r="C350" s="84"/>
      <c r="D350" s="90"/>
      <c r="E350" s="91"/>
      <c r="F350" s="84"/>
      <c r="G350" s="84"/>
      <c r="H350" s="90"/>
      <c r="I350" s="84"/>
      <c r="J350" s="91"/>
      <c r="K350" s="84"/>
      <c r="L350" s="84"/>
      <c r="M350" s="90"/>
      <c r="N350" s="84"/>
      <c r="O350" s="91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ht="30.0" customHeight="1">
      <c r="A351" s="90"/>
      <c r="B351" s="91"/>
      <c r="C351" s="84"/>
      <c r="D351" s="90"/>
      <c r="E351" s="91"/>
      <c r="F351" s="84"/>
      <c r="G351" s="84"/>
      <c r="H351" s="90"/>
      <c r="I351" s="84"/>
      <c r="J351" s="91"/>
      <c r="K351" s="84"/>
      <c r="L351" s="84"/>
      <c r="M351" s="90"/>
      <c r="N351" s="84"/>
      <c r="O351" s="91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ht="30.0" customHeight="1">
      <c r="A352" s="90"/>
      <c r="B352" s="91"/>
      <c r="C352" s="84"/>
      <c r="D352" s="90"/>
      <c r="E352" s="91"/>
      <c r="F352" s="84"/>
      <c r="G352" s="84"/>
      <c r="H352" s="90"/>
      <c r="I352" s="84"/>
      <c r="J352" s="91"/>
      <c r="K352" s="84"/>
      <c r="L352" s="84"/>
      <c r="M352" s="90"/>
      <c r="N352" s="84"/>
      <c r="O352" s="91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ht="30.0" customHeight="1">
      <c r="A353" s="90"/>
      <c r="B353" s="91"/>
      <c r="C353" s="84"/>
      <c r="D353" s="90"/>
      <c r="E353" s="91"/>
      <c r="F353" s="84"/>
      <c r="G353" s="84"/>
      <c r="H353" s="90"/>
      <c r="I353" s="84"/>
      <c r="J353" s="91"/>
      <c r="K353" s="84"/>
      <c r="L353" s="84"/>
      <c r="M353" s="90"/>
      <c r="N353" s="84"/>
      <c r="O353" s="91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ht="30.0" customHeight="1">
      <c r="A354" s="90"/>
      <c r="B354" s="91"/>
      <c r="C354" s="84"/>
      <c r="D354" s="90"/>
      <c r="E354" s="91"/>
      <c r="F354" s="84"/>
      <c r="G354" s="84"/>
      <c r="H354" s="90"/>
      <c r="I354" s="84"/>
      <c r="J354" s="91"/>
      <c r="K354" s="84"/>
      <c r="L354" s="84"/>
      <c r="M354" s="90"/>
      <c r="N354" s="84"/>
      <c r="O354" s="91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ht="30.0" customHeight="1">
      <c r="A355" s="90"/>
      <c r="B355" s="91"/>
      <c r="C355" s="84"/>
      <c r="D355" s="90"/>
      <c r="E355" s="91"/>
      <c r="F355" s="84"/>
      <c r="G355" s="84"/>
      <c r="H355" s="90"/>
      <c r="I355" s="84"/>
      <c r="J355" s="91"/>
      <c r="K355" s="84"/>
      <c r="L355" s="84"/>
      <c r="M355" s="90"/>
      <c r="N355" s="84"/>
      <c r="O355" s="91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ht="30.0" customHeight="1">
      <c r="A356" s="90"/>
      <c r="B356" s="91"/>
      <c r="C356" s="84"/>
      <c r="D356" s="90"/>
      <c r="E356" s="91"/>
      <c r="F356" s="84"/>
      <c r="G356" s="84"/>
      <c r="H356" s="90"/>
      <c r="I356" s="84"/>
      <c r="J356" s="91"/>
      <c r="K356" s="84"/>
      <c r="L356" s="84"/>
      <c r="M356" s="90"/>
      <c r="N356" s="84"/>
      <c r="O356" s="91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ht="30.0" customHeight="1">
      <c r="A357" s="90"/>
      <c r="B357" s="91"/>
      <c r="C357" s="84"/>
      <c r="D357" s="90"/>
      <c r="E357" s="91"/>
      <c r="F357" s="84"/>
      <c r="G357" s="84"/>
      <c r="H357" s="90"/>
      <c r="I357" s="84"/>
      <c r="J357" s="91"/>
      <c r="K357" s="84"/>
      <c r="L357" s="84"/>
      <c r="M357" s="90"/>
      <c r="N357" s="84"/>
      <c r="O357" s="91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ht="30.0" customHeight="1">
      <c r="A358" s="90"/>
      <c r="B358" s="91"/>
      <c r="C358" s="84"/>
      <c r="D358" s="90"/>
      <c r="E358" s="91"/>
      <c r="F358" s="84"/>
      <c r="G358" s="84"/>
      <c r="H358" s="90"/>
      <c r="I358" s="84"/>
      <c r="J358" s="91"/>
      <c r="K358" s="84"/>
      <c r="L358" s="84"/>
      <c r="M358" s="90"/>
      <c r="N358" s="84"/>
      <c r="O358" s="91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ht="30.0" customHeight="1">
      <c r="A359" s="90"/>
      <c r="B359" s="91"/>
      <c r="C359" s="84"/>
      <c r="D359" s="90"/>
      <c r="E359" s="91"/>
      <c r="F359" s="84"/>
      <c r="G359" s="84"/>
      <c r="H359" s="90"/>
      <c r="I359" s="84"/>
      <c r="J359" s="91"/>
      <c r="K359" s="84"/>
      <c r="L359" s="84"/>
      <c r="M359" s="90"/>
      <c r="N359" s="84"/>
      <c r="O359" s="91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ht="30.0" customHeight="1">
      <c r="A360" s="90"/>
      <c r="B360" s="91"/>
      <c r="C360" s="84"/>
      <c r="D360" s="90"/>
      <c r="E360" s="91"/>
      <c r="F360" s="84"/>
      <c r="G360" s="84"/>
      <c r="H360" s="90"/>
      <c r="I360" s="84"/>
      <c r="J360" s="91"/>
      <c r="K360" s="84"/>
      <c r="L360" s="84"/>
      <c r="M360" s="90"/>
      <c r="N360" s="84"/>
      <c r="O360" s="91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ht="30.0" customHeight="1">
      <c r="A361" s="90"/>
      <c r="B361" s="91"/>
      <c r="C361" s="84"/>
      <c r="D361" s="90"/>
      <c r="E361" s="91"/>
      <c r="F361" s="84"/>
      <c r="G361" s="84"/>
      <c r="H361" s="90"/>
      <c r="I361" s="84"/>
      <c r="J361" s="91"/>
      <c r="K361" s="84"/>
      <c r="L361" s="84"/>
      <c r="M361" s="90"/>
      <c r="N361" s="84"/>
      <c r="O361" s="91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ht="30.0" customHeight="1">
      <c r="A362" s="90"/>
      <c r="B362" s="91"/>
      <c r="C362" s="84"/>
      <c r="D362" s="90"/>
      <c r="E362" s="91"/>
      <c r="F362" s="84"/>
      <c r="G362" s="84"/>
      <c r="H362" s="90"/>
      <c r="I362" s="84"/>
      <c r="J362" s="91"/>
      <c r="K362" s="84"/>
      <c r="L362" s="84"/>
      <c r="M362" s="90"/>
      <c r="N362" s="84"/>
      <c r="O362" s="91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ht="30.0" customHeight="1">
      <c r="A363" s="90"/>
      <c r="B363" s="91"/>
      <c r="C363" s="84"/>
      <c r="D363" s="90"/>
      <c r="E363" s="91"/>
      <c r="F363" s="84"/>
      <c r="G363" s="84"/>
      <c r="H363" s="90"/>
      <c r="I363" s="84"/>
      <c r="J363" s="91"/>
      <c r="K363" s="84"/>
      <c r="L363" s="84"/>
      <c r="M363" s="90"/>
      <c r="N363" s="84"/>
      <c r="O363" s="91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ht="30.0" customHeight="1">
      <c r="A364" s="90"/>
      <c r="B364" s="91"/>
      <c r="C364" s="84"/>
      <c r="D364" s="90"/>
      <c r="E364" s="91"/>
      <c r="F364" s="84"/>
      <c r="G364" s="84"/>
      <c r="H364" s="90"/>
      <c r="I364" s="84"/>
      <c r="J364" s="91"/>
      <c r="K364" s="84"/>
      <c r="L364" s="84"/>
      <c r="M364" s="90"/>
      <c r="N364" s="84"/>
      <c r="O364" s="91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ht="30.0" customHeight="1">
      <c r="A365" s="90"/>
      <c r="B365" s="91"/>
      <c r="C365" s="84"/>
      <c r="D365" s="90"/>
      <c r="E365" s="91"/>
      <c r="F365" s="84"/>
      <c r="G365" s="84"/>
      <c r="H365" s="90"/>
      <c r="I365" s="84"/>
      <c r="J365" s="91"/>
      <c r="K365" s="84"/>
      <c r="L365" s="84"/>
      <c r="M365" s="90"/>
      <c r="N365" s="84"/>
      <c r="O365" s="91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ht="30.0" customHeight="1">
      <c r="A366" s="90"/>
      <c r="B366" s="91"/>
      <c r="C366" s="84"/>
      <c r="D366" s="90"/>
      <c r="E366" s="91"/>
      <c r="F366" s="84"/>
      <c r="G366" s="84"/>
      <c r="H366" s="90"/>
      <c r="I366" s="84"/>
      <c r="J366" s="91"/>
      <c r="K366" s="84"/>
      <c r="L366" s="84"/>
      <c r="M366" s="90"/>
      <c r="N366" s="84"/>
      <c r="O366" s="91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ht="30.0" customHeight="1">
      <c r="A367" s="90"/>
      <c r="B367" s="91"/>
      <c r="C367" s="84"/>
      <c r="D367" s="90"/>
      <c r="E367" s="91"/>
      <c r="F367" s="84"/>
      <c r="G367" s="84"/>
      <c r="H367" s="90"/>
      <c r="I367" s="84"/>
      <c r="J367" s="91"/>
      <c r="K367" s="84"/>
      <c r="L367" s="84"/>
      <c r="M367" s="90"/>
      <c r="N367" s="84"/>
      <c r="O367" s="91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ht="30.0" customHeight="1">
      <c r="A368" s="90"/>
      <c r="B368" s="91"/>
      <c r="C368" s="84"/>
      <c r="D368" s="90"/>
      <c r="E368" s="91"/>
      <c r="F368" s="84"/>
      <c r="G368" s="84"/>
      <c r="H368" s="90"/>
      <c r="I368" s="84"/>
      <c r="J368" s="91"/>
      <c r="K368" s="84"/>
      <c r="L368" s="84"/>
      <c r="M368" s="90"/>
      <c r="N368" s="84"/>
      <c r="O368" s="91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ht="30.0" customHeight="1">
      <c r="A369" s="90"/>
      <c r="B369" s="91"/>
      <c r="C369" s="84"/>
      <c r="D369" s="90"/>
      <c r="E369" s="91"/>
      <c r="F369" s="84"/>
      <c r="G369" s="84"/>
      <c r="H369" s="90"/>
      <c r="I369" s="84"/>
      <c r="J369" s="91"/>
      <c r="K369" s="84"/>
      <c r="L369" s="84"/>
      <c r="M369" s="90"/>
      <c r="N369" s="84"/>
      <c r="O369" s="91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ht="30.0" customHeight="1">
      <c r="A370" s="90"/>
      <c r="B370" s="91"/>
      <c r="C370" s="84"/>
      <c r="D370" s="90"/>
      <c r="E370" s="91"/>
      <c r="F370" s="84"/>
      <c r="G370" s="84"/>
      <c r="H370" s="90"/>
      <c r="I370" s="84"/>
      <c r="J370" s="91"/>
      <c r="K370" s="84"/>
      <c r="L370" s="84"/>
      <c r="M370" s="90"/>
      <c r="N370" s="84"/>
      <c r="O370" s="91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ht="30.0" customHeight="1">
      <c r="A371" s="90"/>
      <c r="B371" s="91"/>
      <c r="C371" s="84"/>
      <c r="D371" s="90"/>
      <c r="E371" s="91"/>
      <c r="F371" s="84"/>
      <c r="G371" s="84"/>
      <c r="H371" s="90"/>
      <c r="I371" s="84"/>
      <c r="J371" s="91"/>
      <c r="K371" s="84"/>
      <c r="L371" s="84"/>
      <c r="M371" s="90"/>
      <c r="N371" s="84"/>
      <c r="O371" s="91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ht="30.0" customHeight="1">
      <c r="A372" s="90"/>
      <c r="B372" s="91"/>
      <c r="C372" s="84"/>
      <c r="D372" s="90"/>
      <c r="E372" s="91"/>
      <c r="F372" s="84"/>
      <c r="G372" s="84"/>
      <c r="H372" s="90"/>
      <c r="I372" s="84"/>
      <c r="J372" s="91"/>
      <c r="K372" s="84"/>
      <c r="L372" s="84"/>
      <c r="M372" s="90"/>
      <c r="N372" s="84"/>
      <c r="O372" s="91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ht="30.0" customHeight="1">
      <c r="A373" s="90"/>
      <c r="B373" s="91"/>
      <c r="C373" s="84"/>
      <c r="D373" s="90"/>
      <c r="E373" s="91"/>
      <c r="F373" s="84"/>
      <c r="G373" s="84"/>
      <c r="H373" s="90"/>
      <c r="I373" s="84"/>
      <c r="J373" s="91"/>
      <c r="K373" s="84"/>
      <c r="L373" s="84"/>
      <c r="M373" s="90"/>
      <c r="N373" s="84"/>
      <c r="O373" s="91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ht="30.0" customHeight="1">
      <c r="A374" s="90"/>
      <c r="B374" s="91"/>
      <c r="C374" s="84"/>
      <c r="D374" s="90"/>
      <c r="E374" s="91"/>
      <c r="F374" s="84"/>
      <c r="G374" s="84"/>
      <c r="H374" s="90"/>
      <c r="I374" s="84"/>
      <c r="J374" s="91"/>
      <c r="K374" s="84"/>
      <c r="L374" s="84"/>
      <c r="M374" s="90"/>
      <c r="N374" s="84"/>
      <c r="O374" s="91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ht="30.0" customHeight="1">
      <c r="A375" s="90"/>
      <c r="B375" s="91"/>
      <c r="C375" s="84"/>
      <c r="D375" s="90"/>
      <c r="E375" s="91"/>
      <c r="F375" s="84"/>
      <c r="G375" s="84"/>
      <c r="H375" s="90"/>
      <c r="I375" s="84"/>
      <c r="J375" s="91"/>
      <c r="K375" s="84"/>
      <c r="L375" s="84"/>
      <c r="M375" s="90"/>
      <c r="N375" s="84"/>
      <c r="O375" s="91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ht="30.0" customHeight="1">
      <c r="A376" s="90"/>
      <c r="B376" s="91"/>
      <c r="C376" s="84"/>
      <c r="D376" s="90"/>
      <c r="E376" s="91"/>
      <c r="F376" s="84"/>
      <c r="G376" s="84"/>
      <c r="H376" s="90"/>
      <c r="I376" s="84"/>
      <c r="J376" s="91"/>
      <c r="K376" s="84"/>
      <c r="L376" s="84"/>
      <c r="M376" s="90"/>
      <c r="N376" s="84"/>
      <c r="O376" s="91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ht="30.0" customHeight="1">
      <c r="A377" s="90"/>
      <c r="B377" s="91"/>
      <c r="C377" s="84"/>
      <c r="D377" s="90"/>
      <c r="E377" s="91"/>
      <c r="F377" s="84"/>
      <c r="G377" s="84"/>
      <c r="H377" s="90"/>
      <c r="I377" s="84"/>
      <c r="J377" s="91"/>
      <c r="K377" s="84"/>
      <c r="L377" s="84"/>
      <c r="M377" s="90"/>
      <c r="N377" s="84"/>
      <c r="O377" s="91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ht="30.0" customHeight="1">
      <c r="A378" s="90"/>
      <c r="B378" s="91"/>
      <c r="C378" s="84"/>
      <c r="D378" s="90"/>
      <c r="E378" s="91"/>
      <c r="F378" s="84"/>
      <c r="G378" s="84"/>
      <c r="H378" s="90"/>
      <c r="I378" s="84"/>
      <c r="J378" s="91"/>
      <c r="K378" s="84"/>
      <c r="L378" s="84"/>
      <c r="M378" s="90"/>
      <c r="N378" s="84"/>
      <c r="O378" s="91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ht="30.0" customHeight="1">
      <c r="A379" s="90"/>
      <c r="B379" s="91"/>
      <c r="C379" s="84"/>
      <c r="D379" s="90"/>
      <c r="E379" s="91"/>
      <c r="F379" s="84"/>
      <c r="G379" s="84"/>
      <c r="H379" s="90"/>
      <c r="I379" s="84"/>
      <c r="J379" s="91"/>
      <c r="K379" s="84"/>
      <c r="L379" s="84"/>
      <c r="M379" s="90"/>
      <c r="N379" s="84"/>
      <c r="O379" s="91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ht="30.0" customHeight="1">
      <c r="A380" s="90"/>
      <c r="B380" s="91"/>
      <c r="C380" s="84"/>
      <c r="D380" s="90"/>
      <c r="E380" s="91"/>
      <c r="F380" s="84"/>
      <c r="G380" s="84"/>
      <c r="H380" s="90"/>
      <c r="I380" s="84"/>
      <c r="J380" s="91"/>
      <c r="K380" s="84"/>
      <c r="L380" s="84"/>
      <c r="M380" s="90"/>
      <c r="N380" s="84"/>
      <c r="O380" s="91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ht="30.0" customHeight="1">
      <c r="A381" s="90"/>
      <c r="B381" s="91"/>
      <c r="C381" s="84"/>
      <c r="D381" s="90"/>
      <c r="E381" s="91"/>
      <c r="F381" s="84"/>
      <c r="G381" s="84"/>
      <c r="H381" s="90"/>
      <c r="I381" s="84"/>
      <c r="J381" s="91"/>
      <c r="K381" s="84"/>
      <c r="L381" s="84"/>
      <c r="M381" s="90"/>
      <c r="N381" s="84"/>
      <c r="O381" s="91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ht="30.0" customHeight="1">
      <c r="A382" s="90"/>
      <c r="B382" s="91"/>
      <c r="C382" s="84"/>
      <c r="D382" s="90"/>
      <c r="E382" s="91"/>
      <c r="F382" s="84"/>
      <c r="G382" s="84"/>
      <c r="H382" s="90"/>
      <c r="I382" s="84"/>
      <c r="J382" s="91"/>
      <c r="K382" s="84"/>
      <c r="L382" s="84"/>
      <c r="M382" s="90"/>
      <c r="N382" s="84"/>
      <c r="O382" s="91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ht="30.0" customHeight="1">
      <c r="A383" s="90"/>
      <c r="B383" s="91"/>
      <c r="C383" s="84"/>
      <c r="D383" s="90"/>
      <c r="E383" s="91"/>
      <c r="F383" s="84"/>
      <c r="G383" s="84"/>
      <c r="H383" s="90"/>
      <c r="I383" s="84"/>
      <c r="J383" s="91"/>
      <c r="K383" s="84"/>
      <c r="L383" s="84"/>
      <c r="M383" s="90"/>
      <c r="N383" s="84"/>
      <c r="O383" s="91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ht="30.0" customHeight="1">
      <c r="A384" s="90"/>
      <c r="B384" s="91"/>
      <c r="C384" s="84"/>
      <c r="D384" s="90"/>
      <c r="E384" s="91"/>
      <c r="F384" s="84"/>
      <c r="G384" s="84"/>
      <c r="H384" s="90"/>
      <c r="I384" s="84"/>
      <c r="J384" s="91"/>
      <c r="K384" s="84"/>
      <c r="L384" s="84"/>
      <c r="M384" s="90"/>
      <c r="N384" s="84"/>
      <c r="O384" s="91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ht="30.0" customHeight="1">
      <c r="A385" s="90"/>
      <c r="B385" s="91"/>
      <c r="C385" s="84"/>
      <c r="D385" s="90"/>
      <c r="E385" s="91"/>
      <c r="F385" s="84"/>
      <c r="G385" s="84"/>
      <c r="H385" s="90"/>
      <c r="I385" s="84"/>
      <c r="J385" s="91"/>
      <c r="K385" s="84"/>
      <c r="L385" s="84"/>
      <c r="M385" s="90"/>
      <c r="N385" s="84"/>
      <c r="O385" s="91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ht="30.0" customHeight="1">
      <c r="A386" s="90"/>
      <c r="B386" s="91"/>
      <c r="C386" s="84"/>
      <c r="D386" s="90"/>
      <c r="E386" s="91"/>
      <c r="F386" s="84"/>
      <c r="G386" s="84"/>
      <c r="H386" s="90"/>
      <c r="I386" s="84"/>
      <c r="J386" s="91"/>
      <c r="K386" s="84"/>
      <c r="L386" s="84"/>
      <c r="M386" s="90"/>
      <c r="N386" s="84"/>
      <c r="O386" s="91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ht="30.0" customHeight="1">
      <c r="A387" s="90"/>
      <c r="B387" s="91"/>
      <c r="C387" s="84"/>
      <c r="D387" s="90"/>
      <c r="E387" s="91"/>
      <c r="F387" s="84"/>
      <c r="G387" s="84"/>
      <c r="H387" s="90"/>
      <c r="I387" s="84"/>
      <c r="J387" s="91"/>
      <c r="K387" s="84"/>
      <c r="L387" s="84"/>
      <c r="M387" s="90"/>
      <c r="N387" s="84"/>
      <c r="O387" s="91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ht="30.0" customHeight="1">
      <c r="A388" s="90"/>
      <c r="B388" s="91"/>
      <c r="C388" s="84"/>
      <c r="D388" s="90"/>
      <c r="E388" s="91"/>
      <c r="F388" s="84"/>
      <c r="G388" s="84"/>
      <c r="H388" s="90"/>
      <c r="I388" s="84"/>
      <c r="J388" s="91"/>
      <c r="K388" s="84"/>
      <c r="L388" s="84"/>
      <c r="M388" s="90"/>
      <c r="N388" s="84"/>
      <c r="O388" s="91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ht="30.0" customHeight="1">
      <c r="A389" s="90"/>
      <c r="B389" s="91"/>
      <c r="C389" s="84"/>
      <c r="D389" s="90"/>
      <c r="E389" s="91"/>
      <c r="F389" s="84"/>
      <c r="G389" s="84"/>
      <c r="H389" s="90"/>
      <c r="I389" s="84"/>
      <c r="J389" s="91"/>
      <c r="K389" s="84"/>
      <c r="L389" s="84"/>
      <c r="M389" s="90"/>
      <c r="N389" s="84"/>
      <c r="O389" s="91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ht="30.0" customHeight="1">
      <c r="A390" s="90"/>
      <c r="B390" s="91"/>
      <c r="C390" s="84"/>
      <c r="D390" s="90"/>
      <c r="E390" s="91"/>
      <c r="F390" s="84"/>
      <c r="G390" s="84"/>
      <c r="H390" s="90"/>
      <c r="I390" s="84"/>
      <c r="J390" s="91"/>
      <c r="K390" s="84"/>
      <c r="L390" s="84"/>
      <c r="M390" s="90"/>
      <c r="N390" s="84"/>
      <c r="O390" s="91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ht="30.0" customHeight="1">
      <c r="A391" s="90"/>
      <c r="B391" s="91"/>
      <c r="C391" s="84"/>
      <c r="D391" s="90"/>
      <c r="E391" s="91"/>
      <c r="F391" s="84"/>
      <c r="G391" s="84"/>
      <c r="H391" s="90"/>
      <c r="I391" s="84"/>
      <c r="J391" s="91"/>
      <c r="K391" s="84"/>
      <c r="L391" s="84"/>
      <c r="M391" s="90"/>
      <c r="N391" s="84"/>
      <c r="O391" s="91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ht="30.0" customHeight="1">
      <c r="A392" s="90"/>
      <c r="B392" s="91"/>
      <c r="C392" s="84"/>
      <c r="D392" s="90"/>
      <c r="E392" s="91"/>
      <c r="F392" s="84"/>
      <c r="G392" s="84"/>
      <c r="H392" s="90"/>
      <c r="I392" s="84"/>
      <c r="J392" s="91"/>
      <c r="K392" s="84"/>
      <c r="L392" s="84"/>
      <c r="M392" s="90"/>
      <c r="N392" s="84"/>
      <c r="O392" s="91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ht="30.0" customHeight="1">
      <c r="A393" s="90"/>
      <c r="B393" s="91"/>
      <c r="C393" s="84"/>
      <c r="D393" s="90"/>
      <c r="E393" s="91"/>
      <c r="F393" s="84"/>
      <c r="G393" s="84"/>
      <c r="H393" s="90"/>
      <c r="I393" s="84"/>
      <c r="J393" s="91"/>
      <c r="K393" s="84"/>
      <c r="L393" s="84"/>
      <c r="M393" s="90"/>
      <c r="N393" s="84"/>
      <c r="O393" s="91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ht="30.0" customHeight="1">
      <c r="A394" s="90"/>
      <c r="B394" s="91"/>
      <c r="C394" s="84"/>
      <c r="D394" s="90"/>
      <c r="E394" s="91"/>
      <c r="F394" s="84"/>
      <c r="G394" s="84"/>
      <c r="H394" s="90"/>
      <c r="I394" s="84"/>
      <c r="J394" s="91"/>
      <c r="K394" s="84"/>
      <c r="L394" s="84"/>
      <c r="M394" s="90"/>
      <c r="N394" s="84"/>
      <c r="O394" s="91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ht="30.0" customHeight="1">
      <c r="A395" s="90"/>
      <c r="B395" s="91"/>
      <c r="C395" s="84"/>
      <c r="D395" s="90"/>
      <c r="E395" s="91"/>
      <c r="F395" s="84"/>
      <c r="G395" s="84"/>
      <c r="H395" s="90"/>
      <c r="I395" s="84"/>
      <c r="J395" s="91"/>
      <c r="K395" s="84"/>
      <c r="L395" s="84"/>
      <c r="M395" s="90"/>
      <c r="N395" s="84"/>
      <c r="O395" s="91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ht="30.0" customHeight="1">
      <c r="A396" s="90"/>
      <c r="B396" s="91"/>
      <c r="C396" s="84"/>
      <c r="D396" s="90"/>
      <c r="E396" s="91"/>
      <c r="F396" s="84"/>
      <c r="G396" s="84"/>
      <c r="H396" s="90"/>
      <c r="I396" s="84"/>
      <c r="J396" s="91"/>
      <c r="K396" s="84"/>
      <c r="L396" s="84"/>
      <c r="M396" s="90"/>
      <c r="N396" s="84"/>
      <c r="O396" s="91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ht="30.0" customHeight="1">
      <c r="A397" s="90"/>
      <c r="B397" s="91"/>
      <c r="C397" s="84"/>
      <c r="D397" s="90"/>
      <c r="E397" s="91"/>
      <c r="F397" s="84"/>
      <c r="G397" s="84"/>
      <c r="H397" s="90"/>
      <c r="I397" s="84"/>
      <c r="J397" s="91"/>
      <c r="K397" s="84"/>
      <c r="L397" s="84"/>
      <c r="M397" s="90"/>
      <c r="N397" s="84"/>
      <c r="O397" s="91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ht="30.0" customHeight="1">
      <c r="A398" s="90"/>
      <c r="B398" s="91"/>
      <c r="C398" s="84"/>
      <c r="D398" s="90"/>
      <c r="E398" s="91"/>
      <c r="F398" s="84"/>
      <c r="G398" s="84"/>
      <c r="H398" s="90"/>
      <c r="I398" s="84"/>
      <c r="J398" s="91"/>
      <c r="K398" s="84"/>
      <c r="L398" s="84"/>
      <c r="M398" s="90"/>
      <c r="N398" s="84"/>
      <c r="O398" s="91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ht="30.0" customHeight="1">
      <c r="A399" s="90"/>
      <c r="B399" s="91"/>
      <c r="C399" s="84"/>
      <c r="D399" s="90"/>
      <c r="E399" s="91"/>
      <c r="F399" s="84"/>
      <c r="G399" s="84"/>
      <c r="H399" s="90"/>
      <c r="I399" s="84"/>
      <c r="J399" s="91"/>
      <c r="K399" s="84"/>
      <c r="L399" s="84"/>
      <c r="M399" s="90"/>
      <c r="N399" s="84"/>
      <c r="O399" s="91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ht="30.0" customHeight="1">
      <c r="A400" s="90"/>
      <c r="B400" s="91"/>
      <c r="C400" s="84"/>
      <c r="D400" s="90"/>
      <c r="E400" s="91"/>
      <c r="F400" s="84"/>
      <c r="G400" s="84"/>
      <c r="H400" s="90"/>
      <c r="I400" s="84"/>
      <c r="J400" s="91"/>
      <c r="K400" s="84"/>
      <c r="L400" s="84"/>
      <c r="M400" s="90"/>
      <c r="N400" s="84"/>
      <c r="O400" s="91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ht="30.0" customHeight="1">
      <c r="A401" s="90"/>
      <c r="B401" s="91"/>
      <c r="C401" s="84"/>
      <c r="D401" s="90"/>
      <c r="E401" s="91"/>
      <c r="F401" s="84"/>
      <c r="G401" s="84"/>
      <c r="H401" s="90"/>
      <c r="I401" s="84"/>
      <c r="J401" s="91"/>
      <c r="K401" s="84"/>
      <c r="L401" s="84"/>
      <c r="M401" s="90"/>
      <c r="N401" s="84"/>
      <c r="O401" s="91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ht="30.0" customHeight="1">
      <c r="A402" s="90"/>
      <c r="B402" s="91"/>
      <c r="C402" s="84"/>
      <c r="D402" s="90"/>
      <c r="E402" s="91"/>
      <c r="F402" s="84"/>
      <c r="G402" s="84"/>
      <c r="H402" s="90"/>
      <c r="I402" s="84"/>
      <c r="J402" s="91"/>
      <c r="K402" s="84"/>
      <c r="L402" s="84"/>
      <c r="M402" s="90"/>
      <c r="N402" s="84"/>
      <c r="O402" s="91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ht="30.0" customHeight="1">
      <c r="A403" s="90"/>
      <c r="B403" s="91"/>
      <c r="C403" s="84"/>
      <c r="D403" s="90"/>
      <c r="E403" s="91"/>
      <c r="F403" s="84"/>
      <c r="G403" s="84"/>
      <c r="H403" s="90"/>
      <c r="I403" s="84"/>
      <c r="J403" s="91"/>
      <c r="K403" s="84"/>
      <c r="L403" s="84"/>
      <c r="M403" s="90"/>
      <c r="N403" s="84"/>
      <c r="O403" s="91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ht="30.0" customHeight="1">
      <c r="A404" s="90"/>
      <c r="B404" s="91"/>
      <c r="C404" s="84"/>
      <c r="D404" s="90"/>
      <c r="E404" s="91"/>
      <c r="F404" s="84"/>
      <c r="G404" s="84"/>
      <c r="H404" s="90"/>
      <c r="I404" s="84"/>
      <c r="J404" s="91"/>
      <c r="K404" s="84"/>
      <c r="L404" s="84"/>
      <c r="M404" s="90"/>
      <c r="N404" s="84"/>
      <c r="O404" s="91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ht="30.0" customHeight="1">
      <c r="A405" s="90"/>
      <c r="B405" s="91"/>
      <c r="C405" s="84"/>
      <c r="D405" s="90"/>
      <c r="E405" s="91"/>
      <c r="F405" s="84"/>
      <c r="G405" s="84"/>
      <c r="H405" s="90"/>
      <c r="I405" s="84"/>
      <c r="J405" s="91"/>
      <c r="K405" s="84"/>
      <c r="L405" s="84"/>
      <c r="M405" s="90"/>
      <c r="N405" s="84"/>
      <c r="O405" s="91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ht="30.0" customHeight="1">
      <c r="A406" s="90"/>
      <c r="B406" s="91"/>
      <c r="C406" s="84"/>
      <c r="D406" s="90"/>
      <c r="E406" s="91"/>
      <c r="F406" s="84"/>
      <c r="G406" s="84"/>
      <c r="H406" s="90"/>
      <c r="I406" s="84"/>
      <c r="J406" s="91"/>
      <c r="K406" s="84"/>
      <c r="L406" s="84"/>
      <c r="M406" s="90"/>
      <c r="N406" s="84"/>
      <c r="O406" s="91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ht="30.0" customHeight="1">
      <c r="A407" s="90"/>
      <c r="B407" s="91"/>
      <c r="C407" s="84"/>
      <c r="D407" s="90"/>
      <c r="E407" s="91"/>
      <c r="F407" s="84"/>
      <c r="G407" s="84"/>
      <c r="H407" s="90"/>
      <c r="I407" s="84"/>
      <c r="J407" s="91"/>
      <c r="K407" s="84"/>
      <c r="L407" s="84"/>
      <c r="M407" s="90"/>
      <c r="N407" s="84"/>
      <c r="O407" s="91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ht="30.0" customHeight="1">
      <c r="A408" s="90"/>
      <c r="B408" s="91"/>
      <c r="C408" s="84"/>
      <c r="D408" s="90"/>
      <c r="E408" s="91"/>
      <c r="F408" s="84"/>
      <c r="G408" s="84"/>
      <c r="H408" s="90"/>
      <c r="I408" s="84"/>
      <c r="J408" s="91"/>
      <c r="K408" s="84"/>
      <c r="L408" s="84"/>
      <c r="M408" s="90"/>
      <c r="N408" s="84"/>
      <c r="O408" s="91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ht="30.0" customHeight="1">
      <c r="A409" s="90"/>
      <c r="B409" s="91"/>
      <c r="C409" s="84"/>
      <c r="D409" s="90"/>
      <c r="E409" s="91"/>
      <c r="F409" s="84"/>
      <c r="G409" s="84"/>
      <c r="H409" s="90"/>
      <c r="I409" s="84"/>
      <c r="J409" s="91"/>
      <c r="K409" s="84"/>
      <c r="L409" s="84"/>
      <c r="M409" s="90"/>
      <c r="N409" s="84"/>
      <c r="O409" s="91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ht="30.0" customHeight="1">
      <c r="A410" s="90"/>
      <c r="B410" s="91"/>
      <c r="C410" s="84"/>
      <c r="D410" s="90"/>
      <c r="E410" s="91"/>
      <c r="F410" s="84"/>
      <c r="G410" s="84"/>
      <c r="H410" s="90"/>
      <c r="I410" s="84"/>
      <c r="J410" s="91"/>
      <c r="K410" s="84"/>
      <c r="L410" s="84"/>
      <c r="M410" s="90"/>
      <c r="N410" s="84"/>
      <c r="O410" s="91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ht="30.0" customHeight="1">
      <c r="A411" s="90"/>
      <c r="B411" s="91"/>
      <c r="C411" s="84"/>
      <c r="D411" s="90"/>
      <c r="E411" s="91"/>
      <c r="F411" s="84"/>
      <c r="G411" s="84"/>
      <c r="H411" s="90"/>
      <c r="I411" s="84"/>
      <c r="J411" s="91"/>
      <c r="K411" s="84"/>
      <c r="L411" s="84"/>
      <c r="M411" s="90"/>
      <c r="N411" s="84"/>
      <c r="O411" s="91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ht="30.0" customHeight="1">
      <c r="A412" s="90"/>
      <c r="B412" s="91"/>
      <c r="C412" s="84"/>
      <c r="D412" s="90"/>
      <c r="E412" s="91"/>
      <c r="F412" s="84"/>
      <c r="G412" s="84"/>
      <c r="H412" s="90"/>
      <c r="I412" s="84"/>
      <c r="J412" s="91"/>
      <c r="K412" s="84"/>
      <c r="L412" s="84"/>
      <c r="M412" s="90"/>
      <c r="N412" s="84"/>
      <c r="O412" s="91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ht="30.0" customHeight="1">
      <c r="A413" s="90"/>
      <c r="B413" s="91"/>
      <c r="C413" s="84"/>
      <c r="D413" s="90"/>
      <c r="E413" s="91"/>
      <c r="F413" s="84"/>
      <c r="G413" s="84"/>
      <c r="H413" s="90"/>
      <c r="I413" s="84"/>
      <c r="J413" s="91"/>
      <c r="K413" s="84"/>
      <c r="L413" s="84"/>
      <c r="M413" s="90"/>
      <c r="N413" s="84"/>
      <c r="O413" s="91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ht="30.0" customHeight="1">
      <c r="A414" s="90"/>
      <c r="B414" s="91"/>
      <c r="C414" s="84"/>
      <c r="D414" s="90"/>
      <c r="E414" s="91"/>
      <c r="F414" s="84"/>
      <c r="G414" s="84"/>
      <c r="H414" s="90"/>
      <c r="I414" s="84"/>
      <c r="J414" s="91"/>
      <c r="K414" s="84"/>
      <c r="L414" s="84"/>
      <c r="M414" s="90"/>
      <c r="N414" s="84"/>
      <c r="O414" s="91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ht="30.0" customHeight="1">
      <c r="A415" s="90"/>
      <c r="B415" s="91"/>
      <c r="C415" s="84"/>
      <c r="D415" s="90"/>
      <c r="E415" s="91"/>
      <c r="F415" s="84"/>
      <c r="G415" s="84"/>
      <c r="H415" s="90"/>
      <c r="I415" s="84"/>
      <c r="J415" s="91"/>
      <c r="K415" s="84"/>
      <c r="L415" s="84"/>
      <c r="M415" s="90"/>
      <c r="N415" s="84"/>
      <c r="O415" s="91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ht="30.0" customHeight="1">
      <c r="A416" s="90"/>
      <c r="B416" s="91"/>
      <c r="C416" s="84"/>
      <c r="D416" s="90"/>
      <c r="E416" s="91"/>
      <c r="F416" s="84"/>
      <c r="G416" s="84"/>
      <c r="H416" s="90"/>
      <c r="I416" s="84"/>
      <c r="J416" s="91"/>
      <c r="K416" s="84"/>
      <c r="L416" s="84"/>
      <c r="M416" s="90"/>
      <c r="N416" s="84"/>
      <c r="O416" s="91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ht="30.0" customHeight="1">
      <c r="A417" s="90"/>
      <c r="B417" s="91"/>
      <c r="C417" s="84"/>
      <c r="D417" s="90"/>
      <c r="E417" s="91"/>
      <c r="F417" s="84"/>
      <c r="G417" s="84"/>
      <c r="H417" s="90"/>
      <c r="I417" s="84"/>
      <c r="J417" s="91"/>
      <c r="K417" s="84"/>
      <c r="L417" s="84"/>
      <c r="M417" s="90"/>
      <c r="N417" s="84"/>
      <c r="O417" s="91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ht="30.0" customHeight="1">
      <c r="A418" s="90"/>
      <c r="B418" s="91"/>
      <c r="C418" s="84"/>
      <c r="D418" s="90"/>
      <c r="E418" s="91"/>
      <c r="F418" s="84"/>
      <c r="G418" s="84"/>
      <c r="H418" s="90"/>
      <c r="I418" s="84"/>
      <c r="J418" s="91"/>
      <c r="K418" s="84"/>
      <c r="L418" s="84"/>
      <c r="M418" s="90"/>
      <c r="N418" s="84"/>
      <c r="O418" s="91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ht="30.0" customHeight="1">
      <c r="A419" s="90"/>
      <c r="B419" s="91"/>
      <c r="C419" s="84"/>
      <c r="D419" s="90"/>
      <c r="E419" s="91"/>
      <c r="F419" s="84"/>
      <c r="G419" s="84"/>
      <c r="H419" s="90"/>
      <c r="I419" s="84"/>
      <c r="J419" s="91"/>
      <c r="K419" s="84"/>
      <c r="L419" s="84"/>
      <c r="M419" s="90"/>
      <c r="N419" s="84"/>
      <c r="O419" s="91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ht="30.0" customHeight="1">
      <c r="A420" s="90"/>
      <c r="B420" s="91"/>
      <c r="C420" s="84"/>
      <c r="D420" s="90"/>
      <c r="E420" s="91"/>
      <c r="F420" s="84"/>
      <c r="G420" s="84"/>
      <c r="H420" s="90"/>
      <c r="I420" s="84"/>
      <c r="J420" s="91"/>
      <c r="K420" s="84"/>
      <c r="L420" s="84"/>
      <c r="M420" s="90"/>
      <c r="N420" s="84"/>
      <c r="O420" s="91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ht="30.0" customHeight="1">
      <c r="A421" s="90"/>
      <c r="B421" s="91"/>
      <c r="C421" s="84"/>
      <c r="D421" s="90"/>
      <c r="E421" s="91"/>
      <c r="F421" s="84"/>
      <c r="G421" s="84"/>
      <c r="H421" s="90"/>
      <c r="I421" s="84"/>
      <c r="J421" s="91"/>
      <c r="K421" s="84"/>
      <c r="L421" s="84"/>
      <c r="M421" s="90"/>
      <c r="N421" s="84"/>
      <c r="O421" s="91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ht="30.0" customHeight="1">
      <c r="A422" s="90"/>
      <c r="B422" s="91"/>
      <c r="C422" s="84"/>
      <c r="D422" s="90"/>
      <c r="E422" s="91"/>
      <c r="F422" s="84"/>
      <c r="G422" s="84"/>
      <c r="H422" s="90"/>
      <c r="I422" s="84"/>
      <c r="J422" s="91"/>
      <c r="K422" s="84"/>
      <c r="L422" s="84"/>
      <c r="M422" s="90"/>
      <c r="N422" s="84"/>
      <c r="O422" s="91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ht="30.0" customHeight="1">
      <c r="A423" s="90"/>
      <c r="B423" s="91"/>
      <c r="C423" s="84"/>
      <c r="D423" s="90"/>
      <c r="E423" s="91"/>
      <c r="F423" s="84"/>
      <c r="G423" s="84"/>
      <c r="H423" s="90"/>
      <c r="I423" s="84"/>
      <c r="J423" s="91"/>
      <c r="K423" s="84"/>
      <c r="L423" s="84"/>
      <c r="M423" s="90"/>
      <c r="N423" s="84"/>
      <c r="O423" s="91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ht="30.0" customHeight="1">
      <c r="A424" s="90"/>
      <c r="B424" s="91"/>
      <c r="C424" s="84"/>
      <c r="D424" s="90"/>
      <c r="E424" s="91"/>
      <c r="F424" s="84"/>
      <c r="G424" s="84"/>
      <c r="H424" s="90"/>
      <c r="I424" s="84"/>
      <c r="J424" s="91"/>
      <c r="K424" s="84"/>
      <c r="L424" s="84"/>
      <c r="M424" s="90"/>
      <c r="N424" s="84"/>
      <c r="O424" s="91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ht="30.0" customHeight="1">
      <c r="A425" s="90"/>
      <c r="B425" s="91"/>
      <c r="C425" s="84"/>
      <c r="D425" s="90"/>
      <c r="E425" s="91"/>
      <c r="F425" s="84"/>
      <c r="G425" s="84"/>
      <c r="H425" s="90"/>
      <c r="I425" s="84"/>
      <c r="J425" s="91"/>
      <c r="K425" s="84"/>
      <c r="L425" s="84"/>
      <c r="M425" s="90"/>
      <c r="N425" s="84"/>
      <c r="O425" s="91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ht="30.0" customHeight="1">
      <c r="A426" s="90"/>
      <c r="B426" s="91"/>
      <c r="C426" s="84"/>
      <c r="D426" s="90"/>
      <c r="E426" s="91"/>
      <c r="F426" s="84"/>
      <c r="G426" s="84"/>
      <c r="H426" s="90"/>
      <c r="I426" s="84"/>
      <c r="J426" s="91"/>
      <c r="K426" s="84"/>
      <c r="L426" s="84"/>
      <c r="M426" s="90"/>
      <c r="N426" s="84"/>
      <c r="O426" s="91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ht="30.0" customHeight="1">
      <c r="A427" s="90"/>
      <c r="B427" s="91"/>
      <c r="C427" s="84"/>
      <c r="D427" s="90"/>
      <c r="E427" s="91"/>
      <c r="F427" s="84"/>
      <c r="G427" s="84"/>
      <c r="H427" s="90"/>
      <c r="I427" s="84"/>
      <c r="J427" s="91"/>
      <c r="K427" s="84"/>
      <c r="L427" s="84"/>
      <c r="M427" s="90"/>
      <c r="N427" s="84"/>
      <c r="O427" s="91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ht="30.0" customHeight="1">
      <c r="A428" s="90"/>
      <c r="B428" s="91"/>
      <c r="C428" s="84"/>
      <c r="D428" s="90"/>
      <c r="E428" s="91"/>
      <c r="F428" s="84"/>
      <c r="G428" s="84"/>
      <c r="H428" s="90"/>
      <c r="I428" s="84"/>
      <c r="J428" s="91"/>
      <c r="K428" s="84"/>
      <c r="L428" s="84"/>
      <c r="M428" s="90"/>
      <c r="N428" s="84"/>
      <c r="O428" s="91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ht="30.0" customHeight="1">
      <c r="A429" s="90"/>
      <c r="B429" s="91"/>
      <c r="C429" s="84"/>
      <c r="D429" s="90"/>
      <c r="E429" s="91"/>
      <c r="F429" s="84"/>
      <c r="G429" s="84"/>
      <c r="H429" s="90"/>
      <c r="I429" s="84"/>
      <c r="J429" s="91"/>
      <c r="K429" s="84"/>
      <c r="L429" s="84"/>
      <c r="M429" s="90"/>
      <c r="N429" s="84"/>
      <c r="O429" s="91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ht="30.0" customHeight="1">
      <c r="A430" s="90"/>
      <c r="B430" s="91"/>
      <c r="C430" s="84"/>
      <c r="D430" s="90"/>
      <c r="E430" s="91"/>
      <c r="F430" s="84"/>
      <c r="G430" s="84"/>
      <c r="H430" s="90"/>
      <c r="I430" s="84"/>
      <c r="J430" s="91"/>
      <c r="K430" s="84"/>
      <c r="L430" s="84"/>
      <c r="M430" s="90"/>
      <c r="N430" s="84"/>
      <c r="O430" s="91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ht="30.0" customHeight="1">
      <c r="A431" s="90"/>
      <c r="B431" s="91"/>
      <c r="C431" s="84"/>
      <c r="D431" s="90"/>
      <c r="E431" s="91"/>
      <c r="F431" s="84"/>
      <c r="G431" s="84"/>
      <c r="H431" s="90"/>
      <c r="I431" s="84"/>
      <c r="J431" s="91"/>
      <c r="K431" s="84"/>
      <c r="L431" s="84"/>
      <c r="M431" s="90"/>
      <c r="N431" s="84"/>
      <c r="O431" s="91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ht="30.0" customHeight="1">
      <c r="A432" s="90"/>
      <c r="B432" s="91"/>
      <c r="C432" s="84"/>
      <c r="D432" s="90"/>
      <c r="E432" s="91"/>
      <c r="F432" s="84"/>
      <c r="G432" s="84"/>
      <c r="H432" s="90"/>
      <c r="I432" s="84"/>
      <c r="J432" s="91"/>
      <c r="K432" s="84"/>
      <c r="L432" s="84"/>
      <c r="M432" s="90"/>
      <c r="N432" s="84"/>
      <c r="O432" s="91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ht="30.0" customHeight="1">
      <c r="A433" s="90"/>
      <c r="B433" s="91"/>
      <c r="C433" s="84"/>
      <c r="D433" s="90"/>
      <c r="E433" s="91"/>
      <c r="F433" s="84"/>
      <c r="G433" s="84"/>
      <c r="H433" s="90"/>
      <c r="I433" s="84"/>
      <c r="J433" s="91"/>
      <c r="K433" s="84"/>
      <c r="L433" s="84"/>
      <c r="M433" s="90"/>
      <c r="N433" s="84"/>
      <c r="O433" s="91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ht="30.0" customHeight="1">
      <c r="A434" s="90"/>
      <c r="B434" s="91"/>
      <c r="C434" s="84"/>
      <c r="D434" s="90"/>
      <c r="E434" s="91"/>
      <c r="F434" s="84"/>
      <c r="G434" s="84"/>
      <c r="H434" s="90"/>
      <c r="I434" s="84"/>
      <c r="J434" s="91"/>
      <c r="K434" s="84"/>
      <c r="L434" s="84"/>
      <c r="M434" s="90"/>
      <c r="N434" s="84"/>
      <c r="O434" s="91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ht="30.0" customHeight="1">
      <c r="A435" s="90"/>
      <c r="B435" s="91"/>
      <c r="C435" s="84"/>
      <c r="D435" s="90"/>
      <c r="E435" s="91"/>
      <c r="F435" s="84"/>
      <c r="G435" s="84"/>
      <c r="H435" s="90"/>
      <c r="I435" s="84"/>
      <c r="J435" s="91"/>
      <c r="K435" s="84"/>
      <c r="L435" s="84"/>
      <c r="M435" s="90"/>
      <c r="N435" s="84"/>
      <c r="O435" s="91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ht="30.0" customHeight="1">
      <c r="A436" s="90"/>
      <c r="B436" s="91"/>
      <c r="C436" s="84"/>
      <c r="D436" s="90"/>
      <c r="E436" s="91"/>
      <c r="F436" s="84"/>
      <c r="G436" s="84"/>
      <c r="H436" s="90"/>
      <c r="I436" s="84"/>
      <c r="J436" s="91"/>
      <c r="K436" s="84"/>
      <c r="L436" s="84"/>
      <c r="M436" s="90"/>
      <c r="N436" s="84"/>
      <c r="O436" s="91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ht="30.0" customHeight="1">
      <c r="A437" s="90"/>
      <c r="B437" s="91"/>
      <c r="C437" s="84"/>
      <c r="D437" s="90"/>
      <c r="E437" s="91"/>
      <c r="F437" s="84"/>
      <c r="G437" s="84"/>
      <c r="H437" s="90"/>
      <c r="I437" s="84"/>
      <c r="J437" s="91"/>
      <c r="K437" s="84"/>
      <c r="L437" s="84"/>
      <c r="M437" s="90"/>
      <c r="N437" s="84"/>
      <c r="O437" s="91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ht="30.0" customHeight="1">
      <c r="A438" s="90"/>
      <c r="B438" s="91"/>
      <c r="C438" s="84"/>
      <c r="D438" s="90"/>
      <c r="E438" s="91"/>
      <c r="F438" s="84"/>
      <c r="G438" s="84"/>
      <c r="H438" s="90"/>
      <c r="I438" s="84"/>
      <c r="J438" s="91"/>
      <c r="K438" s="84"/>
      <c r="L438" s="84"/>
      <c r="M438" s="90"/>
      <c r="N438" s="84"/>
      <c r="O438" s="91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ht="30.0" customHeight="1">
      <c r="A439" s="90"/>
      <c r="B439" s="91"/>
      <c r="C439" s="84"/>
      <c r="D439" s="90"/>
      <c r="E439" s="91"/>
      <c r="F439" s="84"/>
      <c r="G439" s="84"/>
      <c r="H439" s="90"/>
      <c r="I439" s="84"/>
      <c r="J439" s="91"/>
      <c r="K439" s="84"/>
      <c r="L439" s="84"/>
      <c r="M439" s="90"/>
      <c r="N439" s="84"/>
      <c r="O439" s="91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ht="30.0" customHeight="1">
      <c r="A440" s="90"/>
      <c r="B440" s="91"/>
      <c r="C440" s="84"/>
      <c r="D440" s="90"/>
      <c r="E440" s="91"/>
      <c r="F440" s="84"/>
      <c r="G440" s="84"/>
      <c r="H440" s="90"/>
      <c r="I440" s="84"/>
      <c r="J440" s="91"/>
      <c r="K440" s="84"/>
      <c r="L440" s="84"/>
      <c r="M440" s="90"/>
      <c r="N440" s="84"/>
      <c r="O440" s="91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ht="30.0" customHeight="1">
      <c r="A441" s="90"/>
      <c r="B441" s="91"/>
      <c r="C441" s="84"/>
      <c r="D441" s="90"/>
      <c r="E441" s="91"/>
      <c r="F441" s="84"/>
      <c r="G441" s="84"/>
      <c r="H441" s="90"/>
      <c r="I441" s="84"/>
      <c r="J441" s="91"/>
      <c r="K441" s="84"/>
      <c r="L441" s="84"/>
      <c r="M441" s="90"/>
      <c r="N441" s="84"/>
      <c r="O441" s="91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ht="30.0" customHeight="1">
      <c r="A442" s="90"/>
      <c r="B442" s="91"/>
      <c r="C442" s="84"/>
      <c r="D442" s="90"/>
      <c r="E442" s="91"/>
      <c r="F442" s="84"/>
      <c r="G442" s="84"/>
      <c r="H442" s="90"/>
      <c r="I442" s="84"/>
      <c r="J442" s="91"/>
      <c r="K442" s="84"/>
      <c r="L442" s="84"/>
      <c r="M442" s="90"/>
      <c r="N442" s="84"/>
      <c r="O442" s="91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ht="30.0" customHeight="1">
      <c r="A443" s="90"/>
      <c r="B443" s="91"/>
      <c r="C443" s="84"/>
      <c r="D443" s="90"/>
      <c r="E443" s="91"/>
      <c r="F443" s="84"/>
      <c r="G443" s="84"/>
      <c r="H443" s="90"/>
      <c r="I443" s="84"/>
      <c r="J443" s="91"/>
      <c r="K443" s="84"/>
      <c r="L443" s="84"/>
      <c r="M443" s="90"/>
      <c r="N443" s="84"/>
      <c r="O443" s="91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ht="30.0" customHeight="1">
      <c r="A444" s="90"/>
      <c r="B444" s="91"/>
      <c r="C444" s="84"/>
      <c r="D444" s="90"/>
      <c r="E444" s="91"/>
      <c r="F444" s="84"/>
      <c r="G444" s="84"/>
      <c r="H444" s="90"/>
      <c r="I444" s="84"/>
      <c r="J444" s="91"/>
      <c r="K444" s="84"/>
      <c r="L444" s="84"/>
      <c r="M444" s="90"/>
      <c r="N444" s="84"/>
      <c r="O444" s="91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ht="30.0" customHeight="1">
      <c r="A445" s="90"/>
      <c r="B445" s="91"/>
      <c r="C445" s="84"/>
      <c r="D445" s="90"/>
      <c r="E445" s="91"/>
      <c r="F445" s="84"/>
      <c r="G445" s="84"/>
      <c r="H445" s="90"/>
      <c r="I445" s="84"/>
      <c r="J445" s="91"/>
      <c r="K445" s="84"/>
      <c r="L445" s="84"/>
      <c r="M445" s="90"/>
      <c r="N445" s="84"/>
      <c r="O445" s="91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ht="30.0" customHeight="1">
      <c r="A446" s="90"/>
      <c r="B446" s="91"/>
      <c r="C446" s="84"/>
      <c r="D446" s="90"/>
      <c r="E446" s="91"/>
      <c r="F446" s="84"/>
      <c r="G446" s="84"/>
      <c r="H446" s="90"/>
      <c r="I446" s="84"/>
      <c r="J446" s="91"/>
      <c r="K446" s="84"/>
      <c r="L446" s="84"/>
      <c r="M446" s="90"/>
      <c r="N446" s="84"/>
      <c r="O446" s="91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ht="30.0" customHeight="1">
      <c r="A447" s="90"/>
      <c r="B447" s="91"/>
      <c r="C447" s="84"/>
      <c r="D447" s="90"/>
      <c r="E447" s="91"/>
      <c r="F447" s="84"/>
      <c r="G447" s="84"/>
      <c r="H447" s="90"/>
      <c r="I447" s="84"/>
      <c r="J447" s="91"/>
      <c r="K447" s="84"/>
      <c r="L447" s="84"/>
      <c r="M447" s="90"/>
      <c r="N447" s="84"/>
      <c r="O447" s="91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ht="30.0" customHeight="1">
      <c r="A448" s="90"/>
      <c r="B448" s="91"/>
      <c r="C448" s="84"/>
      <c r="D448" s="90"/>
      <c r="E448" s="91"/>
      <c r="F448" s="84"/>
      <c r="G448" s="84"/>
      <c r="H448" s="90"/>
      <c r="I448" s="84"/>
      <c r="J448" s="91"/>
      <c r="K448" s="84"/>
      <c r="L448" s="84"/>
      <c r="M448" s="90"/>
      <c r="N448" s="84"/>
      <c r="O448" s="91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ht="30.0" customHeight="1">
      <c r="A449" s="90"/>
      <c r="B449" s="91"/>
      <c r="C449" s="84"/>
      <c r="D449" s="90"/>
      <c r="E449" s="91"/>
      <c r="F449" s="84"/>
      <c r="G449" s="84"/>
      <c r="H449" s="90"/>
      <c r="I449" s="84"/>
      <c r="J449" s="91"/>
      <c r="K449" s="84"/>
      <c r="L449" s="84"/>
      <c r="M449" s="90"/>
      <c r="N449" s="84"/>
      <c r="O449" s="91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ht="30.0" customHeight="1">
      <c r="A450" s="90"/>
      <c r="B450" s="91"/>
      <c r="C450" s="84"/>
      <c r="D450" s="90"/>
      <c r="E450" s="91"/>
      <c r="F450" s="84"/>
      <c r="G450" s="84"/>
      <c r="H450" s="90"/>
      <c r="I450" s="84"/>
      <c r="J450" s="91"/>
      <c r="K450" s="84"/>
      <c r="L450" s="84"/>
      <c r="M450" s="90"/>
      <c r="N450" s="84"/>
      <c r="O450" s="91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ht="30.0" customHeight="1">
      <c r="A451" s="90"/>
      <c r="B451" s="91"/>
      <c r="C451" s="84"/>
      <c r="D451" s="90"/>
      <c r="E451" s="91"/>
      <c r="F451" s="84"/>
      <c r="G451" s="84"/>
      <c r="H451" s="90"/>
      <c r="I451" s="84"/>
      <c r="J451" s="91"/>
      <c r="K451" s="84"/>
      <c r="L451" s="84"/>
      <c r="M451" s="90"/>
      <c r="N451" s="84"/>
      <c r="O451" s="91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30.0" customHeight="1">
      <c r="A452" s="90"/>
      <c r="B452" s="91"/>
      <c r="C452" s="84"/>
      <c r="D452" s="90"/>
      <c r="E452" s="91"/>
      <c r="F452" s="84"/>
      <c r="G452" s="84"/>
      <c r="H452" s="90"/>
      <c r="I452" s="84"/>
      <c r="J452" s="91"/>
      <c r="K452" s="84"/>
      <c r="L452" s="84"/>
      <c r="M452" s="90"/>
      <c r="N452" s="84"/>
      <c r="O452" s="91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30.0" customHeight="1">
      <c r="A453" s="90"/>
      <c r="B453" s="91"/>
      <c r="C453" s="84"/>
      <c r="D453" s="90"/>
      <c r="E453" s="91"/>
      <c r="F453" s="84"/>
      <c r="G453" s="84"/>
      <c r="H453" s="90"/>
      <c r="I453" s="84"/>
      <c r="J453" s="91"/>
      <c r="K453" s="84"/>
      <c r="L453" s="84"/>
      <c r="M453" s="90"/>
      <c r="N453" s="84"/>
      <c r="O453" s="91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30.0" customHeight="1">
      <c r="A454" s="90"/>
      <c r="B454" s="91"/>
      <c r="C454" s="84"/>
      <c r="D454" s="90"/>
      <c r="E454" s="91"/>
      <c r="F454" s="84"/>
      <c r="G454" s="84"/>
      <c r="H454" s="90"/>
      <c r="I454" s="84"/>
      <c r="J454" s="91"/>
      <c r="K454" s="84"/>
      <c r="L454" s="84"/>
      <c r="M454" s="90"/>
      <c r="N454" s="84"/>
      <c r="O454" s="91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30.0" customHeight="1">
      <c r="A455" s="90"/>
      <c r="B455" s="91"/>
      <c r="C455" s="84"/>
      <c r="D455" s="90"/>
      <c r="E455" s="91"/>
      <c r="F455" s="84"/>
      <c r="G455" s="84"/>
      <c r="H455" s="90"/>
      <c r="I455" s="84"/>
      <c r="J455" s="91"/>
      <c r="K455" s="84"/>
      <c r="L455" s="84"/>
      <c r="M455" s="90"/>
      <c r="N455" s="84"/>
      <c r="O455" s="91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30.0" customHeight="1">
      <c r="A456" s="90"/>
      <c r="B456" s="91"/>
      <c r="C456" s="84"/>
      <c r="D456" s="90"/>
      <c r="E456" s="91"/>
      <c r="F456" s="84"/>
      <c r="G456" s="84"/>
      <c r="H456" s="90"/>
      <c r="I456" s="84"/>
      <c r="J456" s="91"/>
      <c r="K456" s="84"/>
      <c r="L456" s="84"/>
      <c r="M456" s="90"/>
      <c r="N456" s="84"/>
      <c r="O456" s="91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30.0" customHeight="1">
      <c r="A457" s="90"/>
      <c r="B457" s="91"/>
      <c r="C457" s="84"/>
      <c r="D457" s="90"/>
      <c r="E457" s="91"/>
      <c r="F457" s="84"/>
      <c r="G457" s="84"/>
      <c r="H457" s="90"/>
      <c r="I457" s="84"/>
      <c r="J457" s="91"/>
      <c r="K457" s="84"/>
      <c r="L457" s="84"/>
      <c r="M457" s="90"/>
      <c r="N457" s="84"/>
      <c r="O457" s="91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30.0" customHeight="1">
      <c r="A458" s="90"/>
      <c r="B458" s="91"/>
      <c r="C458" s="84"/>
      <c r="D458" s="90"/>
      <c r="E458" s="91"/>
      <c r="F458" s="84"/>
      <c r="G458" s="84"/>
      <c r="H458" s="90"/>
      <c r="I458" s="84"/>
      <c r="J458" s="91"/>
      <c r="K458" s="84"/>
      <c r="L458" s="84"/>
      <c r="M458" s="90"/>
      <c r="N458" s="84"/>
      <c r="O458" s="91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30.0" customHeight="1">
      <c r="A459" s="90"/>
      <c r="B459" s="91"/>
      <c r="C459" s="84"/>
      <c r="D459" s="90"/>
      <c r="E459" s="91"/>
      <c r="F459" s="84"/>
      <c r="G459" s="84"/>
      <c r="H459" s="90"/>
      <c r="I459" s="84"/>
      <c r="J459" s="91"/>
      <c r="K459" s="84"/>
      <c r="L459" s="84"/>
      <c r="M459" s="90"/>
      <c r="N459" s="84"/>
      <c r="O459" s="91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30.0" customHeight="1">
      <c r="A460" s="90"/>
      <c r="B460" s="91"/>
      <c r="C460" s="84"/>
      <c r="D460" s="90"/>
      <c r="E460" s="91"/>
      <c r="F460" s="84"/>
      <c r="G460" s="84"/>
      <c r="H460" s="90"/>
      <c r="I460" s="84"/>
      <c r="J460" s="91"/>
      <c r="K460" s="84"/>
      <c r="L460" s="84"/>
      <c r="M460" s="90"/>
      <c r="N460" s="84"/>
      <c r="O460" s="91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30.0" customHeight="1">
      <c r="A461" s="90"/>
      <c r="B461" s="91"/>
      <c r="C461" s="84"/>
      <c r="D461" s="90"/>
      <c r="E461" s="91"/>
      <c r="F461" s="84"/>
      <c r="G461" s="84"/>
      <c r="H461" s="90"/>
      <c r="I461" s="84"/>
      <c r="J461" s="91"/>
      <c r="K461" s="84"/>
      <c r="L461" s="84"/>
      <c r="M461" s="90"/>
      <c r="N461" s="84"/>
      <c r="O461" s="91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30.0" customHeight="1">
      <c r="A462" s="90"/>
      <c r="B462" s="91"/>
      <c r="C462" s="84"/>
      <c r="D462" s="90"/>
      <c r="E462" s="91"/>
      <c r="F462" s="84"/>
      <c r="G462" s="84"/>
      <c r="H462" s="90"/>
      <c r="I462" s="84"/>
      <c r="J462" s="91"/>
      <c r="K462" s="84"/>
      <c r="L462" s="84"/>
      <c r="M462" s="90"/>
      <c r="N462" s="84"/>
      <c r="O462" s="91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30.0" customHeight="1">
      <c r="A463" s="90"/>
      <c r="B463" s="91"/>
      <c r="C463" s="84"/>
      <c r="D463" s="90"/>
      <c r="E463" s="91"/>
      <c r="F463" s="84"/>
      <c r="G463" s="84"/>
      <c r="H463" s="90"/>
      <c r="I463" s="84"/>
      <c r="J463" s="91"/>
      <c r="K463" s="84"/>
      <c r="L463" s="84"/>
      <c r="M463" s="90"/>
      <c r="N463" s="84"/>
      <c r="O463" s="91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30.0" customHeight="1">
      <c r="A464" s="90"/>
      <c r="B464" s="91"/>
      <c r="C464" s="84"/>
      <c r="D464" s="90"/>
      <c r="E464" s="91"/>
      <c r="F464" s="84"/>
      <c r="G464" s="84"/>
      <c r="H464" s="90"/>
      <c r="I464" s="84"/>
      <c r="J464" s="91"/>
      <c r="K464" s="84"/>
      <c r="L464" s="84"/>
      <c r="M464" s="90"/>
      <c r="N464" s="84"/>
      <c r="O464" s="91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30.0" customHeight="1">
      <c r="A465" s="90"/>
      <c r="B465" s="91"/>
      <c r="C465" s="84"/>
      <c r="D465" s="90"/>
      <c r="E465" s="91"/>
      <c r="F465" s="84"/>
      <c r="G465" s="84"/>
      <c r="H465" s="90"/>
      <c r="I465" s="84"/>
      <c r="J465" s="91"/>
      <c r="K465" s="84"/>
      <c r="L465" s="84"/>
      <c r="M465" s="90"/>
      <c r="N465" s="84"/>
      <c r="O465" s="91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30.0" customHeight="1">
      <c r="A466" s="90"/>
      <c r="B466" s="91"/>
      <c r="C466" s="84"/>
      <c r="D466" s="90"/>
      <c r="E466" s="91"/>
      <c r="F466" s="84"/>
      <c r="G466" s="84"/>
      <c r="H466" s="90"/>
      <c r="I466" s="84"/>
      <c r="J466" s="91"/>
      <c r="K466" s="84"/>
      <c r="L466" s="84"/>
      <c r="M466" s="90"/>
      <c r="N466" s="84"/>
      <c r="O466" s="91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30.0" customHeight="1">
      <c r="A467" s="90"/>
      <c r="B467" s="91"/>
      <c r="C467" s="84"/>
      <c r="D467" s="90"/>
      <c r="E467" s="91"/>
      <c r="F467" s="84"/>
      <c r="G467" s="84"/>
      <c r="H467" s="90"/>
      <c r="I467" s="84"/>
      <c r="J467" s="91"/>
      <c r="K467" s="84"/>
      <c r="L467" s="84"/>
      <c r="M467" s="90"/>
      <c r="N467" s="84"/>
      <c r="O467" s="91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30.0" customHeight="1">
      <c r="A468" s="90"/>
      <c r="B468" s="91"/>
      <c r="C468" s="84"/>
      <c r="D468" s="90"/>
      <c r="E468" s="91"/>
      <c r="F468" s="84"/>
      <c r="G468" s="84"/>
      <c r="H468" s="90"/>
      <c r="I468" s="84"/>
      <c r="J468" s="91"/>
      <c r="K468" s="84"/>
      <c r="L468" s="84"/>
      <c r="M468" s="90"/>
      <c r="N468" s="84"/>
      <c r="O468" s="91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30.0" customHeight="1">
      <c r="A469" s="90"/>
      <c r="B469" s="91"/>
      <c r="C469" s="84"/>
      <c r="D469" s="90"/>
      <c r="E469" s="91"/>
      <c r="F469" s="84"/>
      <c r="G469" s="84"/>
      <c r="H469" s="90"/>
      <c r="I469" s="84"/>
      <c r="J469" s="91"/>
      <c r="K469" s="84"/>
      <c r="L469" s="84"/>
      <c r="M469" s="90"/>
      <c r="N469" s="84"/>
      <c r="O469" s="91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30.0" customHeight="1">
      <c r="A470" s="90"/>
      <c r="B470" s="91"/>
      <c r="C470" s="84"/>
      <c r="D470" s="90"/>
      <c r="E470" s="91"/>
      <c r="F470" s="84"/>
      <c r="G470" s="84"/>
      <c r="H470" s="90"/>
      <c r="I470" s="84"/>
      <c r="J470" s="91"/>
      <c r="K470" s="84"/>
      <c r="L470" s="84"/>
      <c r="M470" s="90"/>
      <c r="N470" s="84"/>
      <c r="O470" s="91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30.0" customHeight="1">
      <c r="A471" s="90"/>
      <c r="B471" s="91"/>
      <c r="C471" s="84"/>
      <c r="D471" s="90"/>
      <c r="E471" s="91"/>
      <c r="F471" s="84"/>
      <c r="G471" s="84"/>
      <c r="H471" s="90"/>
      <c r="I471" s="84"/>
      <c r="J471" s="91"/>
      <c r="K471" s="84"/>
      <c r="L471" s="84"/>
      <c r="M471" s="90"/>
      <c r="N471" s="84"/>
      <c r="O471" s="91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30.0" customHeight="1">
      <c r="A472" s="90"/>
      <c r="B472" s="91"/>
      <c r="C472" s="84"/>
      <c r="D472" s="90"/>
      <c r="E472" s="91"/>
      <c r="F472" s="84"/>
      <c r="G472" s="84"/>
      <c r="H472" s="90"/>
      <c r="I472" s="84"/>
      <c r="J472" s="91"/>
      <c r="K472" s="84"/>
      <c r="L472" s="84"/>
      <c r="M472" s="90"/>
      <c r="N472" s="84"/>
      <c r="O472" s="91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30.0" customHeight="1">
      <c r="A473" s="90"/>
      <c r="B473" s="91"/>
      <c r="C473" s="84"/>
      <c r="D473" s="90"/>
      <c r="E473" s="91"/>
      <c r="F473" s="84"/>
      <c r="G473" s="84"/>
      <c r="H473" s="90"/>
      <c r="I473" s="84"/>
      <c r="J473" s="91"/>
      <c r="K473" s="84"/>
      <c r="L473" s="84"/>
      <c r="M473" s="90"/>
      <c r="N473" s="84"/>
      <c r="O473" s="91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30.0" customHeight="1">
      <c r="A474" s="90"/>
      <c r="B474" s="91"/>
      <c r="C474" s="84"/>
      <c r="D474" s="90"/>
      <c r="E474" s="91"/>
      <c r="F474" s="84"/>
      <c r="G474" s="84"/>
      <c r="H474" s="90"/>
      <c r="I474" s="84"/>
      <c r="J474" s="91"/>
      <c r="K474" s="84"/>
      <c r="L474" s="84"/>
      <c r="M474" s="90"/>
      <c r="N474" s="84"/>
      <c r="O474" s="91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30.0" customHeight="1">
      <c r="A475" s="90"/>
      <c r="B475" s="91"/>
      <c r="C475" s="84"/>
      <c r="D475" s="90"/>
      <c r="E475" s="91"/>
      <c r="F475" s="84"/>
      <c r="G475" s="84"/>
      <c r="H475" s="90"/>
      <c r="I475" s="84"/>
      <c r="J475" s="91"/>
      <c r="K475" s="84"/>
      <c r="L475" s="84"/>
      <c r="M475" s="90"/>
      <c r="N475" s="84"/>
      <c r="O475" s="91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30.0" customHeight="1">
      <c r="A476" s="90"/>
      <c r="B476" s="91"/>
      <c r="C476" s="84"/>
      <c r="D476" s="90"/>
      <c r="E476" s="91"/>
      <c r="F476" s="84"/>
      <c r="G476" s="84"/>
      <c r="H476" s="90"/>
      <c r="I476" s="84"/>
      <c r="J476" s="91"/>
      <c r="K476" s="84"/>
      <c r="L476" s="84"/>
      <c r="M476" s="90"/>
      <c r="N476" s="84"/>
      <c r="O476" s="91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30.0" customHeight="1">
      <c r="A477" s="90"/>
      <c r="B477" s="91"/>
      <c r="C477" s="84"/>
      <c r="D477" s="90"/>
      <c r="E477" s="91"/>
      <c r="F477" s="84"/>
      <c r="G477" s="84"/>
      <c r="H477" s="90"/>
      <c r="I477" s="84"/>
      <c r="J477" s="91"/>
      <c r="K477" s="84"/>
      <c r="L477" s="84"/>
      <c r="M477" s="90"/>
      <c r="N477" s="84"/>
      <c r="O477" s="91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30.0" customHeight="1">
      <c r="A478" s="90"/>
      <c r="B478" s="91"/>
      <c r="C478" s="84"/>
      <c r="D478" s="90"/>
      <c r="E478" s="91"/>
      <c r="F478" s="84"/>
      <c r="G478" s="84"/>
      <c r="H478" s="90"/>
      <c r="I478" s="84"/>
      <c r="J478" s="91"/>
      <c r="K478" s="84"/>
      <c r="L478" s="84"/>
      <c r="M478" s="90"/>
      <c r="N478" s="84"/>
      <c r="O478" s="91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30.0" customHeight="1">
      <c r="A479" s="90"/>
      <c r="B479" s="91"/>
      <c r="C479" s="84"/>
      <c r="D479" s="90"/>
      <c r="E479" s="91"/>
      <c r="F479" s="84"/>
      <c r="G479" s="84"/>
      <c r="H479" s="90"/>
      <c r="I479" s="84"/>
      <c r="J479" s="91"/>
      <c r="K479" s="84"/>
      <c r="L479" s="84"/>
      <c r="M479" s="90"/>
      <c r="N479" s="84"/>
      <c r="O479" s="91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30.0" customHeight="1">
      <c r="A480" s="90"/>
      <c r="B480" s="91"/>
      <c r="C480" s="84"/>
      <c r="D480" s="90"/>
      <c r="E480" s="91"/>
      <c r="F480" s="84"/>
      <c r="G480" s="84"/>
      <c r="H480" s="90"/>
      <c r="I480" s="84"/>
      <c r="J480" s="91"/>
      <c r="K480" s="84"/>
      <c r="L480" s="84"/>
      <c r="M480" s="90"/>
      <c r="N480" s="84"/>
      <c r="O480" s="91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30.0" customHeight="1">
      <c r="A481" s="90"/>
      <c r="B481" s="91"/>
      <c r="C481" s="84"/>
      <c r="D481" s="90"/>
      <c r="E481" s="91"/>
      <c r="F481" s="84"/>
      <c r="G481" s="84"/>
      <c r="H481" s="90"/>
      <c r="I481" s="84"/>
      <c r="J481" s="91"/>
      <c r="K481" s="84"/>
      <c r="L481" s="84"/>
      <c r="M481" s="90"/>
      <c r="N481" s="84"/>
      <c r="O481" s="91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30.0" customHeight="1">
      <c r="A482" s="90"/>
      <c r="B482" s="91"/>
      <c r="C482" s="84"/>
      <c r="D482" s="90"/>
      <c r="E482" s="91"/>
      <c r="F482" s="84"/>
      <c r="G482" s="84"/>
      <c r="H482" s="90"/>
      <c r="I482" s="84"/>
      <c r="J482" s="91"/>
      <c r="K482" s="84"/>
      <c r="L482" s="84"/>
      <c r="M482" s="90"/>
      <c r="N482" s="84"/>
      <c r="O482" s="91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30.0" customHeight="1">
      <c r="A483" s="90"/>
      <c r="B483" s="91"/>
      <c r="C483" s="84"/>
      <c r="D483" s="90"/>
      <c r="E483" s="91"/>
      <c r="F483" s="84"/>
      <c r="G483" s="84"/>
      <c r="H483" s="90"/>
      <c r="I483" s="84"/>
      <c r="J483" s="91"/>
      <c r="K483" s="84"/>
      <c r="L483" s="84"/>
      <c r="M483" s="90"/>
      <c r="N483" s="84"/>
      <c r="O483" s="91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30.0" customHeight="1">
      <c r="A484" s="90"/>
      <c r="B484" s="91"/>
      <c r="C484" s="84"/>
      <c r="D484" s="90"/>
      <c r="E484" s="91"/>
      <c r="F484" s="84"/>
      <c r="G484" s="84"/>
      <c r="H484" s="90"/>
      <c r="I484" s="84"/>
      <c r="J484" s="91"/>
      <c r="K484" s="84"/>
      <c r="L484" s="84"/>
      <c r="M484" s="90"/>
      <c r="N484" s="84"/>
      <c r="O484" s="91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30.0" customHeight="1">
      <c r="A485" s="90"/>
      <c r="B485" s="91"/>
      <c r="C485" s="84"/>
      <c r="D485" s="90"/>
      <c r="E485" s="91"/>
      <c r="F485" s="84"/>
      <c r="G485" s="84"/>
      <c r="H485" s="90"/>
      <c r="I485" s="84"/>
      <c r="J485" s="91"/>
      <c r="K485" s="84"/>
      <c r="L485" s="84"/>
      <c r="M485" s="90"/>
      <c r="N485" s="84"/>
      <c r="O485" s="91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30.0" customHeight="1">
      <c r="A486" s="90"/>
      <c r="B486" s="91"/>
      <c r="C486" s="84"/>
      <c r="D486" s="90"/>
      <c r="E486" s="91"/>
      <c r="F486" s="84"/>
      <c r="G486" s="84"/>
      <c r="H486" s="90"/>
      <c r="I486" s="84"/>
      <c r="J486" s="91"/>
      <c r="K486" s="84"/>
      <c r="L486" s="84"/>
      <c r="M486" s="90"/>
      <c r="N486" s="84"/>
      <c r="O486" s="91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30.0" customHeight="1">
      <c r="A487" s="90"/>
      <c r="B487" s="91"/>
      <c r="C487" s="84"/>
      <c r="D487" s="90"/>
      <c r="E487" s="91"/>
      <c r="F487" s="84"/>
      <c r="G487" s="84"/>
      <c r="H487" s="90"/>
      <c r="I487" s="84"/>
      <c r="J487" s="91"/>
      <c r="K487" s="84"/>
      <c r="L487" s="84"/>
      <c r="M487" s="90"/>
      <c r="N487" s="84"/>
      <c r="O487" s="91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30.0" customHeight="1">
      <c r="A488" s="90"/>
      <c r="B488" s="91"/>
      <c r="C488" s="84"/>
      <c r="D488" s="90"/>
      <c r="E488" s="91"/>
      <c r="F488" s="84"/>
      <c r="G488" s="84"/>
      <c r="H488" s="90"/>
      <c r="I488" s="84"/>
      <c r="J488" s="91"/>
      <c r="K488" s="84"/>
      <c r="L488" s="84"/>
      <c r="M488" s="90"/>
      <c r="N488" s="84"/>
      <c r="O488" s="91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30.0" customHeight="1">
      <c r="A489" s="90"/>
      <c r="B489" s="91"/>
      <c r="C489" s="84"/>
      <c r="D489" s="90"/>
      <c r="E489" s="91"/>
      <c r="F489" s="84"/>
      <c r="G489" s="84"/>
      <c r="H489" s="90"/>
      <c r="I489" s="84"/>
      <c r="J489" s="91"/>
      <c r="K489" s="84"/>
      <c r="L489" s="84"/>
      <c r="M489" s="90"/>
      <c r="N489" s="84"/>
      <c r="O489" s="91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30.0" customHeight="1">
      <c r="A490" s="90"/>
      <c r="B490" s="91"/>
      <c r="C490" s="84"/>
      <c r="D490" s="90"/>
      <c r="E490" s="91"/>
      <c r="F490" s="84"/>
      <c r="G490" s="84"/>
      <c r="H490" s="90"/>
      <c r="I490" s="84"/>
      <c r="J490" s="91"/>
      <c r="K490" s="84"/>
      <c r="L490" s="84"/>
      <c r="M490" s="90"/>
      <c r="N490" s="84"/>
      <c r="O490" s="91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30.0" customHeight="1">
      <c r="A491" s="90"/>
      <c r="B491" s="91"/>
      <c r="C491" s="84"/>
      <c r="D491" s="90"/>
      <c r="E491" s="91"/>
      <c r="F491" s="84"/>
      <c r="G491" s="84"/>
      <c r="H491" s="90"/>
      <c r="I491" s="84"/>
      <c r="J491" s="91"/>
      <c r="K491" s="84"/>
      <c r="L491" s="84"/>
      <c r="M491" s="90"/>
      <c r="N491" s="84"/>
      <c r="O491" s="91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30.0" customHeight="1">
      <c r="A492" s="90"/>
      <c r="B492" s="91"/>
      <c r="C492" s="84"/>
      <c r="D492" s="90"/>
      <c r="E492" s="91"/>
      <c r="F492" s="84"/>
      <c r="G492" s="84"/>
      <c r="H492" s="90"/>
      <c r="I492" s="84"/>
      <c r="J492" s="91"/>
      <c r="K492" s="84"/>
      <c r="L492" s="84"/>
      <c r="M492" s="90"/>
      <c r="N492" s="84"/>
      <c r="O492" s="91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30.0" customHeight="1">
      <c r="A493" s="90"/>
      <c r="B493" s="91"/>
      <c r="C493" s="84"/>
      <c r="D493" s="90"/>
      <c r="E493" s="91"/>
      <c r="F493" s="84"/>
      <c r="G493" s="84"/>
      <c r="H493" s="90"/>
      <c r="I493" s="84"/>
      <c r="J493" s="91"/>
      <c r="K493" s="84"/>
      <c r="L493" s="84"/>
      <c r="M493" s="90"/>
      <c r="N493" s="84"/>
      <c r="O493" s="91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30.0" customHeight="1">
      <c r="A494" s="90"/>
      <c r="B494" s="91"/>
      <c r="C494" s="84"/>
      <c r="D494" s="90"/>
      <c r="E494" s="91"/>
      <c r="F494" s="84"/>
      <c r="G494" s="84"/>
      <c r="H494" s="90"/>
      <c r="I494" s="84"/>
      <c r="J494" s="91"/>
      <c r="K494" s="84"/>
      <c r="L494" s="84"/>
      <c r="M494" s="90"/>
      <c r="N494" s="84"/>
      <c r="O494" s="91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30.0" customHeight="1">
      <c r="A495" s="90"/>
      <c r="B495" s="91"/>
      <c r="C495" s="84"/>
      <c r="D495" s="90"/>
      <c r="E495" s="91"/>
      <c r="F495" s="84"/>
      <c r="G495" s="84"/>
      <c r="H495" s="90"/>
      <c r="I495" s="84"/>
      <c r="J495" s="91"/>
      <c r="K495" s="84"/>
      <c r="L495" s="84"/>
      <c r="M495" s="90"/>
      <c r="N495" s="84"/>
      <c r="O495" s="91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30.0" customHeight="1">
      <c r="A496" s="90"/>
      <c r="B496" s="91"/>
      <c r="C496" s="84"/>
      <c r="D496" s="90"/>
      <c r="E496" s="91"/>
      <c r="F496" s="84"/>
      <c r="G496" s="84"/>
      <c r="H496" s="90"/>
      <c r="I496" s="84"/>
      <c r="J496" s="91"/>
      <c r="K496" s="84"/>
      <c r="L496" s="84"/>
      <c r="M496" s="90"/>
      <c r="N496" s="84"/>
      <c r="O496" s="91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30.0" customHeight="1">
      <c r="A497" s="90"/>
      <c r="B497" s="91"/>
      <c r="C497" s="84"/>
      <c r="D497" s="90"/>
      <c r="E497" s="91"/>
      <c r="F497" s="84"/>
      <c r="G497" s="84"/>
      <c r="H497" s="90"/>
      <c r="I497" s="84"/>
      <c r="J497" s="91"/>
      <c r="K497" s="84"/>
      <c r="L497" s="84"/>
      <c r="M497" s="90"/>
      <c r="N497" s="84"/>
      <c r="O497" s="91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30.0" customHeight="1">
      <c r="A498" s="90"/>
      <c r="B498" s="91"/>
      <c r="C498" s="84"/>
      <c r="D498" s="90"/>
      <c r="E498" s="91"/>
      <c r="F498" s="84"/>
      <c r="G498" s="84"/>
      <c r="H498" s="90"/>
      <c r="I498" s="84"/>
      <c r="J498" s="91"/>
      <c r="K498" s="84"/>
      <c r="L498" s="84"/>
      <c r="M498" s="90"/>
      <c r="N498" s="84"/>
      <c r="O498" s="91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30.0" customHeight="1">
      <c r="A499" s="90"/>
      <c r="B499" s="91"/>
      <c r="C499" s="84"/>
      <c r="D499" s="90"/>
      <c r="E499" s="91"/>
      <c r="F499" s="84"/>
      <c r="G499" s="84"/>
      <c r="H499" s="90"/>
      <c r="I499" s="84"/>
      <c r="J499" s="91"/>
      <c r="K499" s="84"/>
      <c r="L499" s="84"/>
      <c r="M499" s="90"/>
      <c r="N499" s="84"/>
      <c r="O499" s="91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30.0" customHeight="1">
      <c r="A500" s="90"/>
      <c r="B500" s="91"/>
      <c r="C500" s="84"/>
      <c r="D500" s="90"/>
      <c r="E500" s="91"/>
      <c r="F500" s="84"/>
      <c r="G500" s="84"/>
      <c r="H500" s="90"/>
      <c r="I500" s="84"/>
      <c r="J500" s="91"/>
      <c r="K500" s="84"/>
      <c r="L500" s="84"/>
      <c r="M500" s="90"/>
      <c r="N500" s="84"/>
      <c r="O500" s="91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30.0" customHeight="1">
      <c r="A501" s="90"/>
      <c r="B501" s="91"/>
      <c r="C501" s="84"/>
      <c r="D501" s="90"/>
      <c r="E501" s="91"/>
      <c r="F501" s="84"/>
      <c r="G501" s="84"/>
      <c r="H501" s="90"/>
      <c r="I501" s="84"/>
      <c r="J501" s="91"/>
      <c r="K501" s="84"/>
      <c r="L501" s="84"/>
      <c r="M501" s="90"/>
      <c r="N501" s="84"/>
      <c r="O501" s="91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30.0" customHeight="1">
      <c r="A502" s="90"/>
      <c r="B502" s="91"/>
      <c r="C502" s="84"/>
      <c r="D502" s="90"/>
      <c r="E502" s="91"/>
      <c r="F502" s="84"/>
      <c r="G502" s="84"/>
      <c r="H502" s="90"/>
      <c r="I502" s="84"/>
      <c r="J502" s="91"/>
      <c r="K502" s="84"/>
      <c r="L502" s="84"/>
      <c r="M502" s="90"/>
      <c r="N502" s="84"/>
      <c r="O502" s="91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30.0" customHeight="1">
      <c r="A503" s="90"/>
      <c r="B503" s="91"/>
      <c r="C503" s="84"/>
      <c r="D503" s="90"/>
      <c r="E503" s="91"/>
      <c r="F503" s="84"/>
      <c r="G503" s="84"/>
      <c r="H503" s="90"/>
      <c r="I503" s="84"/>
      <c r="J503" s="91"/>
      <c r="K503" s="84"/>
      <c r="L503" s="84"/>
      <c r="M503" s="90"/>
      <c r="N503" s="84"/>
      <c r="O503" s="91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30.0" customHeight="1">
      <c r="A504" s="90"/>
      <c r="B504" s="91"/>
      <c r="C504" s="84"/>
      <c r="D504" s="90"/>
      <c r="E504" s="91"/>
      <c r="F504" s="84"/>
      <c r="G504" s="84"/>
      <c r="H504" s="90"/>
      <c r="I504" s="84"/>
      <c r="J504" s="91"/>
      <c r="K504" s="84"/>
      <c r="L504" s="84"/>
      <c r="M504" s="90"/>
      <c r="N504" s="84"/>
      <c r="O504" s="91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30.0" customHeight="1">
      <c r="A505" s="90"/>
      <c r="B505" s="91"/>
      <c r="C505" s="84"/>
      <c r="D505" s="90"/>
      <c r="E505" s="91"/>
      <c r="F505" s="84"/>
      <c r="G505" s="84"/>
      <c r="H505" s="90"/>
      <c r="I505" s="84"/>
      <c r="J505" s="91"/>
      <c r="K505" s="84"/>
      <c r="L505" s="84"/>
      <c r="M505" s="90"/>
      <c r="N505" s="84"/>
      <c r="O505" s="91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30.0" customHeight="1">
      <c r="A506" s="90"/>
      <c r="B506" s="91"/>
      <c r="C506" s="84"/>
      <c r="D506" s="90"/>
      <c r="E506" s="91"/>
      <c r="F506" s="84"/>
      <c r="G506" s="84"/>
      <c r="H506" s="90"/>
      <c r="I506" s="84"/>
      <c r="J506" s="91"/>
      <c r="K506" s="84"/>
      <c r="L506" s="84"/>
      <c r="M506" s="90"/>
      <c r="N506" s="84"/>
      <c r="O506" s="91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30.0" customHeight="1">
      <c r="A507" s="90"/>
      <c r="B507" s="91"/>
      <c r="C507" s="84"/>
      <c r="D507" s="90"/>
      <c r="E507" s="91"/>
      <c r="F507" s="84"/>
      <c r="G507" s="84"/>
      <c r="H507" s="90"/>
      <c r="I507" s="84"/>
      <c r="J507" s="91"/>
      <c r="K507" s="84"/>
      <c r="L507" s="84"/>
      <c r="M507" s="90"/>
      <c r="N507" s="84"/>
      <c r="O507" s="91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30.0" customHeight="1">
      <c r="A508" s="90"/>
      <c r="B508" s="91"/>
      <c r="C508" s="84"/>
      <c r="D508" s="90"/>
      <c r="E508" s="91"/>
      <c r="F508" s="84"/>
      <c r="G508" s="84"/>
      <c r="H508" s="90"/>
      <c r="I508" s="84"/>
      <c r="J508" s="91"/>
      <c r="K508" s="84"/>
      <c r="L508" s="84"/>
      <c r="M508" s="90"/>
      <c r="N508" s="84"/>
      <c r="O508" s="91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30.0" customHeight="1">
      <c r="A509" s="90"/>
      <c r="B509" s="91"/>
      <c r="C509" s="84"/>
      <c r="D509" s="90"/>
      <c r="E509" s="91"/>
      <c r="F509" s="84"/>
      <c r="G509" s="84"/>
      <c r="H509" s="90"/>
      <c r="I509" s="84"/>
      <c r="J509" s="91"/>
      <c r="K509" s="84"/>
      <c r="L509" s="84"/>
      <c r="M509" s="90"/>
      <c r="N509" s="84"/>
      <c r="O509" s="91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30.0" customHeight="1">
      <c r="A510" s="90"/>
      <c r="B510" s="91"/>
      <c r="C510" s="84"/>
      <c r="D510" s="90"/>
      <c r="E510" s="91"/>
      <c r="F510" s="84"/>
      <c r="G510" s="84"/>
      <c r="H510" s="90"/>
      <c r="I510" s="84"/>
      <c r="J510" s="91"/>
      <c r="K510" s="84"/>
      <c r="L510" s="84"/>
      <c r="M510" s="90"/>
      <c r="N510" s="84"/>
      <c r="O510" s="91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30.0" customHeight="1">
      <c r="A511" s="90"/>
      <c r="B511" s="91"/>
      <c r="C511" s="84"/>
      <c r="D511" s="90"/>
      <c r="E511" s="91"/>
      <c r="F511" s="84"/>
      <c r="G511" s="84"/>
      <c r="H511" s="90"/>
      <c r="I511" s="84"/>
      <c r="J511" s="91"/>
      <c r="K511" s="84"/>
      <c r="L511" s="84"/>
      <c r="M511" s="90"/>
      <c r="N511" s="84"/>
      <c r="O511" s="91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30.0" customHeight="1">
      <c r="A512" s="90"/>
      <c r="B512" s="91"/>
      <c r="C512" s="84"/>
      <c r="D512" s="90"/>
      <c r="E512" s="91"/>
      <c r="F512" s="84"/>
      <c r="G512" s="84"/>
      <c r="H512" s="90"/>
      <c r="I512" s="84"/>
      <c r="J512" s="91"/>
      <c r="K512" s="84"/>
      <c r="L512" s="84"/>
      <c r="M512" s="90"/>
      <c r="N512" s="84"/>
      <c r="O512" s="91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30.0" customHeight="1">
      <c r="A513" s="90"/>
      <c r="B513" s="91"/>
      <c r="C513" s="84"/>
      <c r="D513" s="90"/>
      <c r="E513" s="91"/>
      <c r="F513" s="84"/>
      <c r="G513" s="84"/>
      <c r="H513" s="90"/>
      <c r="I513" s="84"/>
      <c r="J513" s="91"/>
      <c r="K513" s="84"/>
      <c r="L513" s="84"/>
      <c r="M513" s="90"/>
      <c r="N513" s="84"/>
      <c r="O513" s="91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30.0" customHeight="1">
      <c r="A514" s="90"/>
      <c r="B514" s="91"/>
      <c r="C514" s="84"/>
      <c r="D514" s="90"/>
      <c r="E514" s="91"/>
      <c r="F514" s="84"/>
      <c r="G514" s="84"/>
      <c r="H514" s="90"/>
      <c r="I514" s="84"/>
      <c r="J514" s="91"/>
      <c r="K514" s="84"/>
      <c r="L514" s="84"/>
      <c r="M514" s="90"/>
      <c r="N514" s="84"/>
      <c r="O514" s="91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30.0" customHeight="1">
      <c r="A515" s="90"/>
      <c r="B515" s="91"/>
      <c r="C515" s="84"/>
      <c r="D515" s="90"/>
      <c r="E515" s="91"/>
      <c r="F515" s="84"/>
      <c r="G515" s="84"/>
      <c r="H515" s="90"/>
      <c r="I515" s="84"/>
      <c r="J515" s="91"/>
      <c r="K515" s="84"/>
      <c r="L515" s="84"/>
      <c r="M515" s="90"/>
      <c r="N515" s="84"/>
      <c r="O515" s="91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30.0" customHeight="1">
      <c r="A516" s="90"/>
      <c r="B516" s="91"/>
      <c r="C516" s="84"/>
      <c r="D516" s="90"/>
      <c r="E516" s="91"/>
      <c r="F516" s="84"/>
      <c r="G516" s="84"/>
      <c r="H516" s="90"/>
      <c r="I516" s="84"/>
      <c r="J516" s="91"/>
      <c r="K516" s="84"/>
      <c r="L516" s="84"/>
      <c r="M516" s="90"/>
      <c r="N516" s="84"/>
      <c r="O516" s="91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30.0" customHeight="1">
      <c r="A517" s="90"/>
      <c r="B517" s="91"/>
      <c r="C517" s="84"/>
      <c r="D517" s="90"/>
      <c r="E517" s="91"/>
      <c r="F517" s="84"/>
      <c r="G517" s="84"/>
      <c r="H517" s="90"/>
      <c r="I517" s="84"/>
      <c r="J517" s="91"/>
      <c r="K517" s="84"/>
      <c r="L517" s="84"/>
      <c r="M517" s="90"/>
      <c r="N517" s="84"/>
      <c r="O517" s="91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30.0" customHeight="1">
      <c r="A518" s="90"/>
      <c r="B518" s="91"/>
      <c r="C518" s="84"/>
      <c r="D518" s="90"/>
      <c r="E518" s="91"/>
      <c r="F518" s="84"/>
      <c r="G518" s="84"/>
      <c r="H518" s="90"/>
      <c r="I518" s="84"/>
      <c r="J518" s="91"/>
      <c r="K518" s="84"/>
      <c r="L518" s="84"/>
      <c r="M518" s="90"/>
      <c r="N518" s="84"/>
      <c r="O518" s="91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30.0" customHeight="1">
      <c r="A519" s="90"/>
      <c r="B519" s="91"/>
      <c r="C519" s="84"/>
      <c r="D519" s="90"/>
      <c r="E519" s="91"/>
      <c r="F519" s="84"/>
      <c r="G519" s="84"/>
      <c r="H519" s="90"/>
      <c r="I519" s="84"/>
      <c r="J519" s="91"/>
      <c r="K519" s="84"/>
      <c r="L519" s="84"/>
      <c r="M519" s="90"/>
      <c r="N519" s="84"/>
      <c r="O519" s="91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30.0" customHeight="1">
      <c r="A520" s="90"/>
      <c r="B520" s="91"/>
      <c r="C520" s="84"/>
      <c r="D520" s="90"/>
      <c r="E520" s="91"/>
      <c r="F520" s="84"/>
      <c r="G520" s="84"/>
      <c r="H520" s="90"/>
      <c r="I520" s="84"/>
      <c r="J520" s="91"/>
      <c r="K520" s="84"/>
      <c r="L520" s="84"/>
      <c r="M520" s="90"/>
      <c r="N520" s="84"/>
      <c r="O520" s="91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30.0" customHeight="1">
      <c r="A521" s="90"/>
      <c r="B521" s="91"/>
      <c r="C521" s="84"/>
      <c r="D521" s="90"/>
      <c r="E521" s="91"/>
      <c r="F521" s="84"/>
      <c r="G521" s="84"/>
      <c r="H521" s="90"/>
      <c r="I521" s="84"/>
      <c r="J521" s="91"/>
      <c r="K521" s="84"/>
      <c r="L521" s="84"/>
      <c r="M521" s="90"/>
      <c r="N521" s="84"/>
      <c r="O521" s="91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30.0" customHeight="1">
      <c r="A522" s="90"/>
      <c r="B522" s="91"/>
      <c r="C522" s="84"/>
      <c r="D522" s="90"/>
      <c r="E522" s="91"/>
      <c r="F522" s="84"/>
      <c r="G522" s="84"/>
      <c r="H522" s="90"/>
      <c r="I522" s="84"/>
      <c r="J522" s="91"/>
      <c r="K522" s="84"/>
      <c r="L522" s="84"/>
      <c r="M522" s="90"/>
      <c r="N522" s="84"/>
      <c r="O522" s="91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30.0" customHeight="1">
      <c r="A523" s="90"/>
      <c r="B523" s="91"/>
      <c r="C523" s="84"/>
      <c r="D523" s="90"/>
      <c r="E523" s="91"/>
      <c r="F523" s="84"/>
      <c r="G523" s="84"/>
      <c r="H523" s="90"/>
      <c r="I523" s="84"/>
      <c r="J523" s="91"/>
      <c r="K523" s="84"/>
      <c r="L523" s="84"/>
      <c r="M523" s="90"/>
      <c r="N523" s="84"/>
      <c r="O523" s="91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30.0" customHeight="1">
      <c r="A524" s="90"/>
      <c r="B524" s="91"/>
      <c r="C524" s="84"/>
      <c r="D524" s="90"/>
      <c r="E524" s="91"/>
      <c r="F524" s="84"/>
      <c r="G524" s="84"/>
      <c r="H524" s="90"/>
      <c r="I524" s="84"/>
      <c r="J524" s="91"/>
      <c r="K524" s="84"/>
      <c r="L524" s="84"/>
      <c r="M524" s="90"/>
      <c r="N524" s="84"/>
      <c r="O524" s="91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30.0" customHeight="1">
      <c r="A525" s="90"/>
      <c r="B525" s="91"/>
      <c r="C525" s="84"/>
      <c r="D525" s="90"/>
      <c r="E525" s="91"/>
      <c r="F525" s="84"/>
      <c r="G525" s="84"/>
      <c r="H525" s="90"/>
      <c r="I525" s="84"/>
      <c r="J525" s="91"/>
      <c r="K525" s="84"/>
      <c r="L525" s="84"/>
      <c r="M525" s="90"/>
      <c r="N525" s="84"/>
      <c r="O525" s="91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30.0" customHeight="1">
      <c r="A526" s="90"/>
      <c r="B526" s="91"/>
      <c r="C526" s="84"/>
      <c r="D526" s="90"/>
      <c r="E526" s="91"/>
      <c r="F526" s="84"/>
      <c r="G526" s="84"/>
      <c r="H526" s="90"/>
      <c r="I526" s="84"/>
      <c r="J526" s="91"/>
      <c r="K526" s="84"/>
      <c r="L526" s="84"/>
      <c r="M526" s="90"/>
      <c r="N526" s="84"/>
      <c r="O526" s="91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30.0" customHeight="1">
      <c r="A527" s="90"/>
      <c r="B527" s="91"/>
      <c r="C527" s="84"/>
      <c r="D527" s="90"/>
      <c r="E527" s="91"/>
      <c r="F527" s="84"/>
      <c r="G527" s="84"/>
      <c r="H527" s="90"/>
      <c r="I527" s="84"/>
      <c r="J527" s="91"/>
      <c r="K527" s="84"/>
      <c r="L527" s="84"/>
      <c r="M527" s="90"/>
      <c r="N527" s="84"/>
      <c r="O527" s="91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30.0" customHeight="1">
      <c r="A528" s="90"/>
      <c r="B528" s="91"/>
      <c r="C528" s="84"/>
      <c r="D528" s="90"/>
      <c r="E528" s="91"/>
      <c r="F528" s="84"/>
      <c r="G528" s="84"/>
      <c r="H528" s="90"/>
      <c r="I528" s="84"/>
      <c r="J528" s="91"/>
      <c r="K528" s="84"/>
      <c r="L528" s="84"/>
      <c r="M528" s="90"/>
      <c r="N528" s="84"/>
      <c r="O528" s="91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30.0" customHeight="1">
      <c r="A529" s="90"/>
      <c r="B529" s="91"/>
      <c r="C529" s="84"/>
      <c r="D529" s="90"/>
      <c r="E529" s="91"/>
      <c r="F529" s="84"/>
      <c r="G529" s="84"/>
      <c r="H529" s="90"/>
      <c r="I529" s="84"/>
      <c r="J529" s="91"/>
      <c r="K529" s="84"/>
      <c r="L529" s="84"/>
      <c r="M529" s="90"/>
      <c r="N529" s="84"/>
      <c r="O529" s="91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30.0" customHeight="1">
      <c r="A530" s="90"/>
      <c r="B530" s="91"/>
      <c r="C530" s="84"/>
      <c r="D530" s="90"/>
      <c r="E530" s="91"/>
      <c r="F530" s="84"/>
      <c r="G530" s="84"/>
      <c r="H530" s="90"/>
      <c r="I530" s="84"/>
      <c r="J530" s="91"/>
      <c r="K530" s="84"/>
      <c r="L530" s="84"/>
      <c r="M530" s="90"/>
      <c r="N530" s="84"/>
      <c r="O530" s="91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30.0" customHeight="1">
      <c r="A531" s="90"/>
      <c r="B531" s="91"/>
      <c r="C531" s="84"/>
      <c r="D531" s="90"/>
      <c r="E531" s="91"/>
      <c r="F531" s="84"/>
      <c r="G531" s="84"/>
      <c r="H531" s="90"/>
      <c r="I531" s="84"/>
      <c r="J531" s="91"/>
      <c r="K531" s="84"/>
      <c r="L531" s="84"/>
      <c r="M531" s="90"/>
      <c r="N531" s="84"/>
      <c r="O531" s="91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30.0" customHeight="1">
      <c r="A532" s="90"/>
      <c r="B532" s="91"/>
      <c r="C532" s="84"/>
      <c r="D532" s="90"/>
      <c r="E532" s="91"/>
      <c r="F532" s="84"/>
      <c r="G532" s="84"/>
      <c r="H532" s="90"/>
      <c r="I532" s="84"/>
      <c r="J532" s="91"/>
      <c r="K532" s="84"/>
      <c r="L532" s="84"/>
      <c r="M532" s="90"/>
      <c r="N532" s="84"/>
      <c r="O532" s="91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30.0" customHeight="1">
      <c r="A533" s="90"/>
      <c r="B533" s="91"/>
      <c r="C533" s="84"/>
      <c r="D533" s="90"/>
      <c r="E533" s="91"/>
      <c r="F533" s="84"/>
      <c r="G533" s="84"/>
      <c r="H533" s="90"/>
      <c r="I533" s="84"/>
      <c r="J533" s="91"/>
      <c r="K533" s="84"/>
      <c r="L533" s="84"/>
      <c r="M533" s="90"/>
      <c r="N533" s="84"/>
      <c r="O533" s="91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30.0" customHeight="1">
      <c r="A534" s="90"/>
      <c r="B534" s="91"/>
      <c r="C534" s="84"/>
      <c r="D534" s="90"/>
      <c r="E534" s="91"/>
      <c r="F534" s="84"/>
      <c r="G534" s="84"/>
      <c r="H534" s="90"/>
      <c r="I534" s="84"/>
      <c r="J534" s="91"/>
      <c r="K534" s="84"/>
      <c r="L534" s="84"/>
      <c r="M534" s="90"/>
      <c r="N534" s="84"/>
      <c r="O534" s="91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30.0" customHeight="1">
      <c r="A535" s="90"/>
      <c r="B535" s="91"/>
      <c r="C535" s="84"/>
      <c r="D535" s="90"/>
      <c r="E535" s="91"/>
      <c r="F535" s="84"/>
      <c r="G535" s="84"/>
      <c r="H535" s="90"/>
      <c r="I535" s="84"/>
      <c r="J535" s="91"/>
      <c r="K535" s="84"/>
      <c r="L535" s="84"/>
      <c r="M535" s="90"/>
      <c r="N535" s="84"/>
      <c r="O535" s="91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30.0" customHeight="1">
      <c r="A536" s="90"/>
      <c r="B536" s="91"/>
      <c r="C536" s="84"/>
      <c r="D536" s="90"/>
      <c r="E536" s="91"/>
      <c r="F536" s="84"/>
      <c r="G536" s="84"/>
      <c r="H536" s="90"/>
      <c r="I536" s="84"/>
      <c r="J536" s="91"/>
      <c r="K536" s="84"/>
      <c r="L536" s="84"/>
      <c r="M536" s="90"/>
      <c r="N536" s="84"/>
      <c r="O536" s="91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30.0" customHeight="1">
      <c r="A537" s="90"/>
      <c r="B537" s="91"/>
      <c r="C537" s="84"/>
      <c r="D537" s="90"/>
      <c r="E537" s="91"/>
      <c r="F537" s="84"/>
      <c r="G537" s="84"/>
      <c r="H537" s="90"/>
      <c r="I537" s="84"/>
      <c r="J537" s="91"/>
      <c r="K537" s="84"/>
      <c r="L537" s="84"/>
      <c r="M537" s="90"/>
      <c r="N537" s="84"/>
      <c r="O537" s="91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30.0" customHeight="1">
      <c r="A538" s="90"/>
      <c r="B538" s="91"/>
      <c r="C538" s="84"/>
      <c r="D538" s="90"/>
      <c r="E538" s="91"/>
      <c r="F538" s="84"/>
      <c r="G538" s="84"/>
      <c r="H538" s="90"/>
      <c r="I538" s="84"/>
      <c r="J538" s="91"/>
      <c r="K538" s="84"/>
      <c r="L538" s="84"/>
      <c r="M538" s="90"/>
      <c r="N538" s="84"/>
      <c r="O538" s="91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30.0" customHeight="1">
      <c r="A539" s="90"/>
      <c r="B539" s="91"/>
      <c r="C539" s="84"/>
      <c r="D539" s="90"/>
      <c r="E539" s="91"/>
      <c r="F539" s="84"/>
      <c r="G539" s="84"/>
      <c r="H539" s="90"/>
      <c r="I539" s="84"/>
      <c r="J539" s="91"/>
      <c r="K539" s="84"/>
      <c r="L539" s="84"/>
      <c r="M539" s="90"/>
      <c r="N539" s="84"/>
      <c r="O539" s="91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30.0" customHeight="1">
      <c r="A540" s="90"/>
      <c r="B540" s="91"/>
      <c r="C540" s="84"/>
      <c r="D540" s="90"/>
      <c r="E540" s="91"/>
      <c r="F540" s="84"/>
      <c r="G540" s="84"/>
      <c r="H540" s="90"/>
      <c r="I540" s="84"/>
      <c r="J540" s="91"/>
      <c r="K540" s="84"/>
      <c r="L540" s="84"/>
      <c r="M540" s="90"/>
      <c r="N540" s="84"/>
      <c r="O540" s="91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30.0" customHeight="1">
      <c r="A541" s="90"/>
      <c r="B541" s="91"/>
      <c r="C541" s="84"/>
      <c r="D541" s="90"/>
      <c r="E541" s="91"/>
      <c r="F541" s="84"/>
      <c r="G541" s="84"/>
      <c r="H541" s="90"/>
      <c r="I541" s="84"/>
      <c r="J541" s="91"/>
      <c r="K541" s="84"/>
      <c r="L541" s="84"/>
      <c r="M541" s="90"/>
      <c r="N541" s="84"/>
      <c r="O541" s="91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30.0" customHeight="1">
      <c r="A542" s="90"/>
      <c r="B542" s="91"/>
      <c r="C542" s="84"/>
      <c r="D542" s="90"/>
      <c r="E542" s="91"/>
      <c r="F542" s="84"/>
      <c r="G542" s="84"/>
      <c r="H542" s="90"/>
      <c r="I542" s="84"/>
      <c r="J542" s="91"/>
      <c r="K542" s="84"/>
      <c r="L542" s="84"/>
      <c r="M542" s="90"/>
      <c r="N542" s="84"/>
      <c r="O542" s="91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30.0" customHeight="1">
      <c r="A543" s="90"/>
      <c r="B543" s="91"/>
      <c r="C543" s="84"/>
      <c r="D543" s="90"/>
      <c r="E543" s="91"/>
      <c r="F543" s="84"/>
      <c r="G543" s="84"/>
      <c r="H543" s="90"/>
      <c r="I543" s="84"/>
      <c r="J543" s="91"/>
      <c r="K543" s="84"/>
      <c r="L543" s="84"/>
      <c r="M543" s="90"/>
      <c r="N543" s="84"/>
      <c r="O543" s="91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30.0" customHeight="1">
      <c r="A544" s="90"/>
      <c r="B544" s="91"/>
      <c r="C544" s="84"/>
      <c r="D544" s="90"/>
      <c r="E544" s="91"/>
      <c r="F544" s="84"/>
      <c r="G544" s="84"/>
      <c r="H544" s="90"/>
      <c r="I544" s="84"/>
      <c r="J544" s="91"/>
      <c r="K544" s="84"/>
      <c r="L544" s="84"/>
      <c r="M544" s="90"/>
      <c r="N544" s="84"/>
      <c r="O544" s="91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30.0" customHeight="1">
      <c r="A545" s="90"/>
      <c r="B545" s="91"/>
      <c r="C545" s="84"/>
      <c r="D545" s="90"/>
      <c r="E545" s="91"/>
      <c r="F545" s="84"/>
      <c r="G545" s="84"/>
      <c r="H545" s="90"/>
      <c r="I545" s="84"/>
      <c r="J545" s="91"/>
      <c r="K545" s="84"/>
      <c r="L545" s="84"/>
      <c r="M545" s="90"/>
      <c r="N545" s="84"/>
      <c r="O545" s="91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30.0" customHeight="1">
      <c r="A546" s="90"/>
      <c r="B546" s="91"/>
      <c r="C546" s="84"/>
      <c r="D546" s="90"/>
      <c r="E546" s="91"/>
      <c r="F546" s="84"/>
      <c r="G546" s="84"/>
      <c r="H546" s="90"/>
      <c r="I546" s="84"/>
      <c r="J546" s="91"/>
      <c r="K546" s="84"/>
      <c r="L546" s="84"/>
      <c r="M546" s="90"/>
      <c r="N546" s="84"/>
      <c r="O546" s="91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30.0" customHeight="1">
      <c r="A547" s="90"/>
      <c r="B547" s="91"/>
      <c r="C547" s="84"/>
      <c r="D547" s="90"/>
      <c r="E547" s="91"/>
      <c r="F547" s="84"/>
      <c r="G547" s="84"/>
      <c r="H547" s="90"/>
      <c r="I547" s="84"/>
      <c r="J547" s="91"/>
      <c r="K547" s="84"/>
      <c r="L547" s="84"/>
      <c r="M547" s="90"/>
      <c r="N547" s="84"/>
      <c r="O547" s="91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30.0" customHeight="1">
      <c r="A548" s="90"/>
      <c r="B548" s="91"/>
      <c r="C548" s="84"/>
      <c r="D548" s="90"/>
      <c r="E548" s="91"/>
      <c r="F548" s="84"/>
      <c r="G548" s="84"/>
      <c r="H548" s="90"/>
      <c r="I548" s="84"/>
      <c r="J548" s="91"/>
      <c r="K548" s="84"/>
      <c r="L548" s="84"/>
      <c r="M548" s="90"/>
      <c r="N548" s="84"/>
      <c r="O548" s="91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30.0" customHeight="1">
      <c r="A549" s="90"/>
      <c r="B549" s="91"/>
      <c r="C549" s="84"/>
      <c r="D549" s="90"/>
      <c r="E549" s="91"/>
      <c r="F549" s="84"/>
      <c r="G549" s="84"/>
      <c r="H549" s="90"/>
      <c r="I549" s="84"/>
      <c r="J549" s="91"/>
      <c r="K549" s="84"/>
      <c r="L549" s="84"/>
      <c r="M549" s="90"/>
      <c r="N549" s="84"/>
      <c r="O549" s="91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30.0" customHeight="1">
      <c r="A550" s="90"/>
      <c r="B550" s="91"/>
      <c r="C550" s="84"/>
      <c r="D550" s="90"/>
      <c r="E550" s="91"/>
      <c r="F550" s="84"/>
      <c r="G550" s="84"/>
      <c r="H550" s="90"/>
      <c r="I550" s="84"/>
      <c r="J550" s="91"/>
      <c r="K550" s="84"/>
      <c r="L550" s="84"/>
      <c r="M550" s="90"/>
      <c r="N550" s="84"/>
      <c r="O550" s="91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30.0" customHeight="1">
      <c r="A551" s="90"/>
      <c r="B551" s="91"/>
      <c r="C551" s="84"/>
      <c r="D551" s="90"/>
      <c r="E551" s="91"/>
      <c r="F551" s="84"/>
      <c r="G551" s="84"/>
      <c r="H551" s="90"/>
      <c r="I551" s="84"/>
      <c r="J551" s="91"/>
      <c r="K551" s="84"/>
      <c r="L551" s="84"/>
      <c r="M551" s="90"/>
      <c r="N551" s="84"/>
      <c r="O551" s="91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30.0" customHeight="1">
      <c r="A552" s="90"/>
      <c r="B552" s="91"/>
      <c r="C552" s="84"/>
      <c r="D552" s="90"/>
      <c r="E552" s="91"/>
      <c r="F552" s="84"/>
      <c r="G552" s="84"/>
      <c r="H552" s="90"/>
      <c r="I552" s="84"/>
      <c r="J552" s="91"/>
      <c r="K552" s="84"/>
      <c r="L552" s="84"/>
      <c r="M552" s="90"/>
      <c r="N552" s="84"/>
      <c r="O552" s="91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30.0" customHeight="1">
      <c r="A553" s="90"/>
      <c r="B553" s="91"/>
      <c r="C553" s="84"/>
      <c r="D553" s="90"/>
      <c r="E553" s="91"/>
      <c r="F553" s="84"/>
      <c r="G553" s="84"/>
      <c r="H553" s="90"/>
      <c r="I553" s="84"/>
      <c r="J553" s="91"/>
      <c r="K553" s="84"/>
      <c r="L553" s="84"/>
      <c r="M553" s="90"/>
      <c r="N553" s="84"/>
      <c r="O553" s="91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30.0" customHeight="1">
      <c r="A554" s="90"/>
      <c r="B554" s="91"/>
      <c r="C554" s="84"/>
      <c r="D554" s="90"/>
      <c r="E554" s="91"/>
      <c r="F554" s="84"/>
      <c r="G554" s="84"/>
      <c r="H554" s="90"/>
      <c r="I554" s="84"/>
      <c r="J554" s="91"/>
      <c r="K554" s="84"/>
      <c r="L554" s="84"/>
      <c r="M554" s="90"/>
      <c r="N554" s="84"/>
      <c r="O554" s="91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30.0" customHeight="1">
      <c r="A555" s="90"/>
      <c r="B555" s="91"/>
      <c r="C555" s="84"/>
      <c r="D555" s="90"/>
      <c r="E555" s="91"/>
      <c r="F555" s="84"/>
      <c r="G555" s="84"/>
      <c r="H555" s="90"/>
      <c r="I555" s="84"/>
      <c r="J555" s="91"/>
      <c r="K555" s="84"/>
      <c r="L555" s="84"/>
      <c r="M555" s="90"/>
      <c r="N555" s="84"/>
      <c r="O555" s="91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30.0" customHeight="1">
      <c r="A556" s="90"/>
      <c r="B556" s="91"/>
      <c r="C556" s="84"/>
      <c r="D556" s="90"/>
      <c r="E556" s="91"/>
      <c r="F556" s="84"/>
      <c r="G556" s="84"/>
      <c r="H556" s="90"/>
      <c r="I556" s="84"/>
      <c r="J556" s="91"/>
      <c r="K556" s="84"/>
      <c r="L556" s="84"/>
      <c r="M556" s="90"/>
      <c r="N556" s="84"/>
      <c r="O556" s="91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30.0" customHeight="1">
      <c r="A557" s="90"/>
      <c r="B557" s="91"/>
      <c r="C557" s="84"/>
      <c r="D557" s="90"/>
      <c r="E557" s="91"/>
      <c r="F557" s="84"/>
      <c r="G557" s="84"/>
      <c r="H557" s="90"/>
      <c r="I557" s="84"/>
      <c r="J557" s="91"/>
      <c r="K557" s="84"/>
      <c r="L557" s="84"/>
      <c r="M557" s="90"/>
      <c r="N557" s="84"/>
      <c r="O557" s="91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30.0" customHeight="1">
      <c r="A558" s="90"/>
      <c r="B558" s="91"/>
      <c r="C558" s="84"/>
      <c r="D558" s="90"/>
      <c r="E558" s="91"/>
      <c r="F558" s="84"/>
      <c r="G558" s="84"/>
      <c r="H558" s="90"/>
      <c r="I558" s="84"/>
      <c r="J558" s="91"/>
      <c r="K558" s="84"/>
      <c r="L558" s="84"/>
      <c r="M558" s="90"/>
      <c r="N558" s="84"/>
      <c r="O558" s="91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30.0" customHeight="1">
      <c r="A559" s="90"/>
      <c r="B559" s="91"/>
      <c r="C559" s="84"/>
      <c r="D559" s="90"/>
      <c r="E559" s="91"/>
      <c r="F559" s="84"/>
      <c r="G559" s="84"/>
      <c r="H559" s="90"/>
      <c r="I559" s="84"/>
      <c r="J559" s="91"/>
      <c r="K559" s="84"/>
      <c r="L559" s="84"/>
      <c r="M559" s="90"/>
      <c r="N559" s="84"/>
      <c r="O559" s="91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30.0" customHeight="1">
      <c r="A560" s="90"/>
      <c r="B560" s="91"/>
      <c r="C560" s="84"/>
      <c r="D560" s="90"/>
      <c r="E560" s="91"/>
      <c r="F560" s="84"/>
      <c r="G560" s="84"/>
      <c r="H560" s="90"/>
      <c r="I560" s="84"/>
      <c r="J560" s="91"/>
      <c r="K560" s="84"/>
      <c r="L560" s="84"/>
      <c r="M560" s="90"/>
      <c r="N560" s="84"/>
      <c r="O560" s="91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30.0" customHeight="1">
      <c r="A561" s="90"/>
      <c r="B561" s="91"/>
      <c r="C561" s="84"/>
      <c r="D561" s="90"/>
      <c r="E561" s="91"/>
      <c r="F561" s="84"/>
      <c r="G561" s="84"/>
      <c r="H561" s="90"/>
      <c r="I561" s="84"/>
      <c r="J561" s="91"/>
      <c r="K561" s="84"/>
      <c r="L561" s="84"/>
      <c r="M561" s="90"/>
      <c r="N561" s="84"/>
      <c r="O561" s="91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30.0" customHeight="1">
      <c r="A562" s="90"/>
      <c r="B562" s="91"/>
      <c r="C562" s="84"/>
      <c r="D562" s="90"/>
      <c r="E562" s="91"/>
      <c r="F562" s="84"/>
      <c r="G562" s="84"/>
      <c r="H562" s="90"/>
      <c r="I562" s="84"/>
      <c r="J562" s="91"/>
      <c r="K562" s="84"/>
      <c r="L562" s="84"/>
      <c r="M562" s="90"/>
      <c r="N562" s="84"/>
      <c r="O562" s="91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30.0" customHeight="1">
      <c r="A563" s="90"/>
      <c r="B563" s="91"/>
      <c r="C563" s="84"/>
      <c r="D563" s="90"/>
      <c r="E563" s="91"/>
      <c r="F563" s="84"/>
      <c r="G563" s="84"/>
      <c r="H563" s="90"/>
      <c r="I563" s="84"/>
      <c r="J563" s="91"/>
      <c r="K563" s="84"/>
      <c r="L563" s="84"/>
      <c r="M563" s="90"/>
      <c r="N563" s="84"/>
      <c r="O563" s="91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30.0" customHeight="1">
      <c r="A564" s="90"/>
      <c r="B564" s="91"/>
      <c r="C564" s="84"/>
      <c r="D564" s="90"/>
      <c r="E564" s="91"/>
      <c r="F564" s="84"/>
      <c r="G564" s="84"/>
      <c r="H564" s="90"/>
      <c r="I564" s="84"/>
      <c r="J564" s="91"/>
      <c r="K564" s="84"/>
      <c r="L564" s="84"/>
      <c r="M564" s="90"/>
      <c r="N564" s="84"/>
      <c r="O564" s="91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30.0" customHeight="1">
      <c r="A565" s="90"/>
      <c r="B565" s="91"/>
      <c r="C565" s="84"/>
      <c r="D565" s="90"/>
      <c r="E565" s="91"/>
      <c r="F565" s="84"/>
      <c r="G565" s="84"/>
      <c r="H565" s="90"/>
      <c r="I565" s="84"/>
      <c r="J565" s="91"/>
      <c r="K565" s="84"/>
      <c r="L565" s="84"/>
      <c r="M565" s="90"/>
      <c r="N565" s="84"/>
      <c r="O565" s="91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30.0" customHeight="1">
      <c r="A566" s="90"/>
      <c r="B566" s="91"/>
      <c r="C566" s="84"/>
      <c r="D566" s="90"/>
      <c r="E566" s="91"/>
      <c r="F566" s="84"/>
      <c r="G566" s="84"/>
      <c r="H566" s="90"/>
      <c r="I566" s="84"/>
      <c r="J566" s="91"/>
      <c r="K566" s="84"/>
      <c r="L566" s="84"/>
      <c r="M566" s="90"/>
      <c r="N566" s="84"/>
      <c r="O566" s="91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30.0" customHeight="1">
      <c r="A567" s="90"/>
      <c r="B567" s="91"/>
      <c r="C567" s="84"/>
      <c r="D567" s="90"/>
      <c r="E567" s="91"/>
      <c r="F567" s="84"/>
      <c r="G567" s="84"/>
      <c r="H567" s="90"/>
      <c r="I567" s="84"/>
      <c r="J567" s="91"/>
      <c r="K567" s="84"/>
      <c r="L567" s="84"/>
      <c r="M567" s="90"/>
      <c r="N567" s="84"/>
      <c r="O567" s="91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30.0" customHeight="1">
      <c r="A568" s="90"/>
      <c r="B568" s="91"/>
      <c r="C568" s="84"/>
      <c r="D568" s="90"/>
      <c r="E568" s="91"/>
      <c r="F568" s="84"/>
      <c r="G568" s="84"/>
      <c r="H568" s="90"/>
      <c r="I568" s="84"/>
      <c r="J568" s="91"/>
      <c r="K568" s="84"/>
      <c r="L568" s="84"/>
      <c r="M568" s="90"/>
      <c r="N568" s="84"/>
      <c r="O568" s="91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30.0" customHeight="1">
      <c r="A569" s="90"/>
      <c r="B569" s="91"/>
      <c r="C569" s="84"/>
      <c r="D569" s="90"/>
      <c r="E569" s="91"/>
      <c r="F569" s="84"/>
      <c r="G569" s="84"/>
      <c r="H569" s="90"/>
      <c r="I569" s="84"/>
      <c r="J569" s="91"/>
      <c r="K569" s="84"/>
      <c r="L569" s="84"/>
      <c r="M569" s="90"/>
      <c r="N569" s="84"/>
      <c r="O569" s="91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30.0" customHeight="1">
      <c r="A570" s="90"/>
      <c r="B570" s="91"/>
      <c r="C570" s="84"/>
      <c r="D570" s="90"/>
      <c r="E570" s="91"/>
      <c r="F570" s="84"/>
      <c r="G570" s="84"/>
      <c r="H570" s="90"/>
      <c r="I570" s="84"/>
      <c r="J570" s="91"/>
      <c r="K570" s="84"/>
      <c r="L570" s="84"/>
      <c r="M570" s="90"/>
      <c r="N570" s="84"/>
      <c r="O570" s="91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30.0" customHeight="1">
      <c r="A571" s="90"/>
      <c r="B571" s="91"/>
      <c r="C571" s="84"/>
      <c r="D571" s="90"/>
      <c r="E571" s="91"/>
      <c r="F571" s="84"/>
      <c r="G571" s="84"/>
      <c r="H571" s="90"/>
      <c r="I571" s="84"/>
      <c r="J571" s="91"/>
      <c r="K571" s="84"/>
      <c r="L571" s="84"/>
      <c r="M571" s="90"/>
      <c r="N571" s="84"/>
      <c r="O571" s="91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30.0" customHeight="1">
      <c r="A572" s="90"/>
      <c r="B572" s="91"/>
      <c r="C572" s="84"/>
      <c r="D572" s="90"/>
      <c r="E572" s="91"/>
      <c r="F572" s="84"/>
      <c r="G572" s="84"/>
      <c r="H572" s="90"/>
      <c r="I572" s="84"/>
      <c r="J572" s="91"/>
      <c r="K572" s="84"/>
      <c r="L572" s="84"/>
      <c r="M572" s="90"/>
      <c r="N572" s="84"/>
      <c r="O572" s="91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30.0" customHeight="1">
      <c r="A573" s="90"/>
      <c r="B573" s="91"/>
      <c r="C573" s="84"/>
      <c r="D573" s="90"/>
      <c r="E573" s="91"/>
      <c r="F573" s="84"/>
      <c r="G573" s="84"/>
      <c r="H573" s="90"/>
      <c r="I573" s="84"/>
      <c r="J573" s="91"/>
      <c r="K573" s="84"/>
      <c r="L573" s="84"/>
      <c r="M573" s="90"/>
      <c r="N573" s="84"/>
      <c r="O573" s="91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30.0" customHeight="1">
      <c r="A574" s="90"/>
      <c r="B574" s="91"/>
      <c r="C574" s="84"/>
      <c r="D574" s="90"/>
      <c r="E574" s="91"/>
      <c r="F574" s="84"/>
      <c r="G574" s="84"/>
      <c r="H574" s="90"/>
      <c r="I574" s="84"/>
      <c r="J574" s="91"/>
      <c r="K574" s="84"/>
      <c r="L574" s="84"/>
      <c r="M574" s="90"/>
      <c r="N574" s="84"/>
      <c r="O574" s="91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30.0" customHeight="1">
      <c r="A575" s="90"/>
      <c r="B575" s="91"/>
      <c r="C575" s="84"/>
      <c r="D575" s="90"/>
      <c r="E575" s="91"/>
      <c r="F575" s="84"/>
      <c r="G575" s="84"/>
      <c r="H575" s="90"/>
      <c r="I575" s="84"/>
      <c r="J575" s="91"/>
      <c r="K575" s="84"/>
      <c r="L575" s="84"/>
      <c r="M575" s="90"/>
      <c r="N575" s="84"/>
      <c r="O575" s="91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30.0" customHeight="1">
      <c r="A576" s="90"/>
      <c r="B576" s="91"/>
      <c r="C576" s="84"/>
      <c r="D576" s="90"/>
      <c r="E576" s="91"/>
      <c r="F576" s="84"/>
      <c r="G576" s="84"/>
      <c r="H576" s="90"/>
      <c r="I576" s="84"/>
      <c r="J576" s="91"/>
      <c r="K576" s="84"/>
      <c r="L576" s="84"/>
      <c r="M576" s="90"/>
      <c r="N576" s="84"/>
      <c r="O576" s="91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30.0" customHeight="1">
      <c r="A577" s="90"/>
      <c r="B577" s="91"/>
      <c r="C577" s="84"/>
      <c r="D577" s="90"/>
      <c r="E577" s="91"/>
      <c r="F577" s="84"/>
      <c r="G577" s="84"/>
      <c r="H577" s="90"/>
      <c r="I577" s="84"/>
      <c r="J577" s="91"/>
      <c r="K577" s="84"/>
      <c r="L577" s="84"/>
      <c r="M577" s="90"/>
      <c r="N577" s="84"/>
      <c r="O577" s="91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30.0" customHeight="1">
      <c r="A578" s="90"/>
      <c r="B578" s="91"/>
      <c r="C578" s="84"/>
      <c r="D578" s="90"/>
      <c r="E578" s="91"/>
      <c r="F578" s="84"/>
      <c r="G578" s="84"/>
      <c r="H578" s="90"/>
      <c r="I578" s="84"/>
      <c r="J578" s="91"/>
      <c r="K578" s="84"/>
      <c r="L578" s="84"/>
      <c r="M578" s="90"/>
      <c r="N578" s="84"/>
      <c r="O578" s="91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30.0" customHeight="1">
      <c r="A579" s="90"/>
      <c r="B579" s="91"/>
      <c r="C579" s="84"/>
      <c r="D579" s="90"/>
      <c r="E579" s="91"/>
      <c r="F579" s="84"/>
      <c r="G579" s="84"/>
      <c r="H579" s="90"/>
      <c r="I579" s="84"/>
      <c r="J579" s="91"/>
      <c r="K579" s="84"/>
      <c r="L579" s="84"/>
      <c r="M579" s="90"/>
      <c r="N579" s="84"/>
      <c r="O579" s="91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30.0" customHeight="1">
      <c r="A580" s="90"/>
      <c r="B580" s="91"/>
      <c r="C580" s="84"/>
      <c r="D580" s="90"/>
      <c r="E580" s="91"/>
      <c r="F580" s="84"/>
      <c r="G580" s="84"/>
      <c r="H580" s="90"/>
      <c r="I580" s="84"/>
      <c r="J580" s="91"/>
      <c r="K580" s="84"/>
      <c r="L580" s="84"/>
      <c r="M580" s="90"/>
      <c r="N580" s="84"/>
      <c r="O580" s="91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30.0" customHeight="1">
      <c r="A581" s="90"/>
      <c r="B581" s="91"/>
      <c r="C581" s="84"/>
      <c r="D581" s="90"/>
      <c r="E581" s="91"/>
      <c r="F581" s="84"/>
      <c r="G581" s="84"/>
      <c r="H581" s="90"/>
      <c r="I581" s="84"/>
      <c r="J581" s="91"/>
      <c r="K581" s="84"/>
      <c r="L581" s="84"/>
      <c r="M581" s="90"/>
      <c r="N581" s="84"/>
      <c r="O581" s="91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30.0" customHeight="1">
      <c r="A582" s="90"/>
      <c r="B582" s="91"/>
      <c r="C582" s="84"/>
      <c r="D582" s="90"/>
      <c r="E582" s="91"/>
      <c r="F582" s="84"/>
      <c r="G582" s="84"/>
      <c r="H582" s="90"/>
      <c r="I582" s="84"/>
      <c r="J582" s="91"/>
      <c r="K582" s="84"/>
      <c r="L582" s="84"/>
      <c r="M582" s="90"/>
      <c r="N582" s="84"/>
      <c r="O582" s="91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30.0" customHeight="1">
      <c r="A583" s="90"/>
      <c r="B583" s="91"/>
      <c r="C583" s="84"/>
      <c r="D583" s="90"/>
      <c r="E583" s="91"/>
      <c r="F583" s="84"/>
      <c r="G583" s="84"/>
      <c r="H583" s="90"/>
      <c r="I583" s="84"/>
      <c r="J583" s="91"/>
      <c r="K583" s="84"/>
      <c r="L583" s="84"/>
      <c r="M583" s="90"/>
      <c r="N583" s="84"/>
      <c r="O583" s="91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30.0" customHeight="1">
      <c r="A584" s="90"/>
      <c r="B584" s="91"/>
      <c r="C584" s="84"/>
      <c r="D584" s="90"/>
      <c r="E584" s="91"/>
      <c r="F584" s="84"/>
      <c r="G584" s="84"/>
      <c r="H584" s="90"/>
      <c r="I584" s="84"/>
      <c r="J584" s="91"/>
      <c r="K584" s="84"/>
      <c r="L584" s="84"/>
      <c r="M584" s="90"/>
      <c r="N584" s="84"/>
      <c r="O584" s="91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30.0" customHeight="1">
      <c r="A585" s="90"/>
      <c r="B585" s="91"/>
      <c r="C585" s="84"/>
      <c r="D585" s="90"/>
      <c r="E585" s="91"/>
      <c r="F585" s="84"/>
      <c r="G585" s="84"/>
      <c r="H585" s="90"/>
      <c r="I585" s="84"/>
      <c r="J585" s="91"/>
      <c r="K585" s="84"/>
      <c r="L585" s="84"/>
      <c r="M585" s="90"/>
      <c r="N585" s="84"/>
      <c r="O585" s="91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30.0" customHeight="1">
      <c r="A586" s="90"/>
      <c r="B586" s="91"/>
      <c r="C586" s="84"/>
      <c r="D586" s="90"/>
      <c r="E586" s="91"/>
      <c r="F586" s="84"/>
      <c r="G586" s="84"/>
      <c r="H586" s="90"/>
      <c r="I586" s="84"/>
      <c r="J586" s="91"/>
      <c r="K586" s="84"/>
      <c r="L586" s="84"/>
      <c r="M586" s="90"/>
      <c r="N586" s="84"/>
      <c r="O586" s="91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30.0" customHeight="1">
      <c r="A587" s="90"/>
      <c r="B587" s="91"/>
      <c r="C587" s="84"/>
      <c r="D587" s="90"/>
      <c r="E587" s="91"/>
      <c r="F587" s="84"/>
      <c r="G587" s="84"/>
      <c r="H587" s="90"/>
      <c r="I587" s="84"/>
      <c r="J587" s="91"/>
      <c r="K587" s="84"/>
      <c r="L587" s="84"/>
      <c r="M587" s="90"/>
      <c r="N587" s="84"/>
      <c r="O587" s="91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30.0" customHeight="1">
      <c r="A588" s="90"/>
      <c r="B588" s="91"/>
      <c r="C588" s="84"/>
      <c r="D588" s="90"/>
      <c r="E588" s="91"/>
      <c r="F588" s="84"/>
      <c r="G588" s="84"/>
      <c r="H588" s="90"/>
      <c r="I588" s="84"/>
      <c r="J588" s="91"/>
      <c r="K588" s="84"/>
      <c r="L588" s="84"/>
      <c r="M588" s="90"/>
      <c r="N588" s="84"/>
      <c r="O588" s="91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30.0" customHeight="1">
      <c r="A589" s="90"/>
      <c r="B589" s="91"/>
      <c r="C589" s="84"/>
      <c r="D589" s="90"/>
      <c r="E589" s="91"/>
      <c r="F589" s="84"/>
      <c r="G589" s="84"/>
      <c r="H589" s="90"/>
      <c r="I589" s="84"/>
      <c r="J589" s="91"/>
      <c r="K589" s="84"/>
      <c r="L589" s="84"/>
      <c r="M589" s="90"/>
      <c r="N589" s="84"/>
      <c r="O589" s="91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30.0" customHeight="1">
      <c r="A590" s="90"/>
      <c r="B590" s="91"/>
      <c r="C590" s="84"/>
      <c r="D590" s="90"/>
      <c r="E590" s="91"/>
      <c r="F590" s="84"/>
      <c r="G590" s="84"/>
      <c r="H590" s="90"/>
      <c r="I590" s="84"/>
      <c r="J590" s="91"/>
      <c r="K590" s="84"/>
      <c r="L590" s="84"/>
      <c r="M590" s="90"/>
      <c r="N590" s="84"/>
      <c r="O590" s="91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30.0" customHeight="1">
      <c r="A591" s="90"/>
      <c r="B591" s="91"/>
      <c r="C591" s="84"/>
      <c r="D591" s="90"/>
      <c r="E591" s="91"/>
      <c r="F591" s="84"/>
      <c r="G591" s="84"/>
      <c r="H591" s="90"/>
      <c r="I591" s="84"/>
      <c r="J591" s="91"/>
      <c r="K591" s="84"/>
      <c r="L591" s="84"/>
      <c r="M591" s="90"/>
      <c r="N591" s="84"/>
      <c r="O591" s="91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30.0" customHeight="1">
      <c r="A592" s="90"/>
      <c r="B592" s="91"/>
      <c r="C592" s="84"/>
      <c r="D592" s="90"/>
      <c r="E592" s="91"/>
      <c r="F592" s="84"/>
      <c r="G592" s="84"/>
      <c r="H592" s="90"/>
      <c r="I592" s="84"/>
      <c r="J592" s="91"/>
      <c r="K592" s="84"/>
      <c r="L592" s="84"/>
      <c r="M592" s="90"/>
      <c r="N592" s="84"/>
      <c r="O592" s="91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30.0" customHeight="1">
      <c r="A593" s="90"/>
      <c r="B593" s="91"/>
      <c r="C593" s="84"/>
      <c r="D593" s="90"/>
      <c r="E593" s="91"/>
      <c r="F593" s="84"/>
      <c r="G593" s="84"/>
      <c r="H593" s="90"/>
      <c r="I593" s="84"/>
      <c r="J593" s="91"/>
      <c r="K593" s="84"/>
      <c r="L593" s="84"/>
      <c r="M593" s="90"/>
      <c r="N593" s="84"/>
      <c r="O593" s="91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30.0" customHeight="1">
      <c r="A594" s="90"/>
      <c r="B594" s="91"/>
      <c r="C594" s="84"/>
      <c r="D594" s="90"/>
      <c r="E594" s="91"/>
      <c r="F594" s="84"/>
      <c r="G594" s="84"/>
      <c r="H594" s="90"/>
      <c r="I594" s="84"/>
      <c r="J594" s="91"/>
      <c r="K594" s="84"/>
      <c r="L594" s="84"/>
      <c r="M594" s="90"/>
      <c r="N594" s="84"/>
      <c r="O594" s="91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30.0" customHeight="1">
      <c r="A595" s="90"/>
      <c r="B595" s="91"/>
      <c r="C595" s="84"/>
      <c r="D595" s="90"/>
      <c r="E595" s="91"/>
      <c r="F595" s="84"/>
      <c r="G595" s="84"/>
      <c r="H595" s="90"/>
      <c r="I595" s="84"/>
      <c r="J595" s="91"/>
      <c r="K595" s="84"/>
      <c r="L595" s="84"/>
      <c r="M595" s="90"/>
      <c r="N595" s="84"/>
      <c r="O595" s="91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30.0" customHeight="1">
      <c r="A596" s="90"/>
      <c r="B596" s="91"/>
      <c r="C596" s="84"/>
      <c r="D596" s="90"/>
      <c r="E596" s="91"/>
      <c r="F596" s="84"/>
      <c r="G596" s="84"/>
      <c r="H596" s="90"/>
      <c r="I596" s="84"/>
      <c r="J596" s="91"/>
      <c r="K596" s="84"/>
      <c r="L596" s="84"/>
      <c r="M596" s="90"/>
      <c r="N596" s="84"/>
      <c r="O596" s="91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30.0" customHeight="1">
      <c r="A597" s="90"/>
      <c r="B597" s="91"/>
      <c r="C597" s="84"/>
      <c r="D597" s="90"/>
      <c r="E597" s="91"/>
      <c r="F597" s="84"/>
      <c r="G597" s="84"/>
      <c r="H597" s="90"/>
      <c r="I597" s="84"/>
      <c r="J597" s="91"/>
      <c r="K597" s="84"/>
      <c r="L597" s="84"/>
      <c r="M597" s="90"/>
      <c r="N597" s="84"/>
      <c r="O597" s="91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30.0" customHeight="1">
      <c r="A598" s="90"/>
      <c r="B598" s="91"/>
      <c r="C598" s="84"/>
      <c r="D598" s="90"/>
      <c r="E598" s="91"/>
      <c r="F598" s="84"/>
      <c r="G598" s="84"/>
      <c r="H598" s="90"/>
      <c r="I598" s="84"/>
      <c r="J598" s="91"/>
      <c r="K598" s="84"/>
      <c r="L598" s="84"/>
      <c r="M598" s="90"/>
      <c r="N598" s="84"/>
      <c r="O598" s="91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30.0" customHeight="1">
      <c r="A599" s="90"/>
      <c r="B599" s="91"/>
      <c r="C599" s="84"/>
      <c r="D599" s="90"/>
      <c r="E599" s="91"/>
      <c r="F599" s="84"/>
      <c r="G599" s="84"/>
      <c r="H599" s="90"/>
      <c r="I599" s="84"/>
      <c r="J599" s="91"/>
      <c r="K599" s="84"/>
      <c r="L599" s="84"/>
      <c r="M599" s="90"/>
      <c r="N599" s="84"/>
      <c r="O599" s="91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30.0" customHeight="1">
      <c r="A600" s="90"/>
      <c r="B600" s="91"/>
      <c r="C600" s="84"/>
      <c r="D600" s="90"/>
      <c r="E600" s="91"/>
      <c r="F600" s="84"/>
      <c r="G600" s="84"/>
      <c r="H600" s="90"/>
      <c r="I600" s="84"/>
      <c r="J600" s="91"/>
      <c r="K600" s="84"/>
      <c r="L600" s="84"/>
      <c r="M600" s="90"/>
      <c r="N600" s="84"/>
      <c r="O600" s="91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30.0" customHeight="1">
      <c r="A601" s="90"/>
      <c r="B601" s="91"/>
      <c r="C601" s="84"/>
      <c r="D601" s="90"/>
      <c r="E601" s="91"/>
      <c r="F601" s="84"/>
      <c r="G601" s="84"/>
      <c r="H601" s="90"/>
      <c r="I601" s="84"/>
      <c r="J601" s="91"/>
      <c r="K601" s="84"/>
      <c r="L601" s="84"/>
      <c r="M601" s="90"/>
      <c r="N601" s="84"/>
      <c r="O601" s="91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30.0" customHeight="1">
      <c r="A602" s="90"/>
      <c r="B602" s="91"/>
      <c r="C602" s="84"/>
      <c r="D602" s="90"/>
      <c r="E602" s="91"/>
      <c r="F602" s="84"/>
      <c r="G602" s="84"/>
      <c r="H602" s="90"/>
      <c r="I602" s="84"/>
      <c r="J602" s="91"/>
      <c r="K602" s="84"/>
      <c r="L602" s="84"/>
      <c r="M602" s="90"/>
      <c r="N602" s="84"/>
      <c r="O602" s="91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30.0" customHeight="1">
      <c r="A603" s="90"/>
      <c r="B603" s="91"/>
      <c r="C603" s="84"/>
      <c r="D603" s="90"/>
      <c r="E603" s="91"/>
      <c r="F603" s="84"/>
      <c r="G603" s="84"/>
      <c r="H603" s="90"/>
      <c r="I603" s="84"/>
      <c r="J603" s="91"/>
      <c r="K603" s="84"/>
      <c r="L603" s="84"/>
      <c r="M603" s="90"/>
      <c r="N603" s="84"/>
      <c r="O603" s="91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30.0" customHeight="1">
      <c r="A604" s="90"/>
      <c r="B604" s="91"/>
      <c r="C604" s="84"/>
      <c r="D604" s="90"/>
      <c r="E604" s="91"/>
      <c r="F604" s="84"/>
      <c r="G604" s="84"/>
      <c r="H604" s="90"/>
      <c r="I604" s="84"/>
      <c r="J604" s="91"/>
      <c r="K604" s="84"/>
      <c r="L604" s="84"/>
      <c r="M604" s="90"/>
      <c r="N604" s="84"/>
      <c r="O604" s="91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30.0" customHeight="1">
      <c r="A605" s="90"/>
      <c r="B605" s="91"/>
      <c r="C605" s="84"/>
      <c r="D605" s="90"/>
      <c r="E605" s="91"/>
      <c r="F605" s="84"/>
      <c r="G605" s="84"/>
      <c r="H605" s="90"/>
      <c r="I605" s="84"/>
      <c r="J605" s="91"/>
      <c r="K605" s="84"/>
      <c r="L605" s="84"/>
      <c r="M605" s="90"/>
      <c r="N605" s="84"/>
      <c r="O605" s="91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30.0" customHeight="1">
      <c r="A606" s="90"/>
      <c r="B606" s="91"/>
      <c r="C606" s="84"/>
      <c r="D606" s="90"/>
      <c r="E606" s="91"/>
      <c r="F606" s="84"/>
      <c r="G606" s="84"/>
      <c r="H606" s="90"/>
      <c r="I606" s="84"/>
      <c r="J606" s="91"/>
      <c r="K606" s="84"/>
      <c r="L606" s="84"/>
      <c r="M606" s="90"/>
      <c r="N606" s="84"/>
      <c r="O606" s="91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30.0" customHeight="1">
      <c r="A607" s="90"/>
      <c r="B607" s="91"/>
      <c r="C607" s="84"/>
      <c r="D607" s="90"/>
      <c r="E607" s="91"/>
      <c r="F607" s="84"/>
      <c r="G607" s="84"/>
      <c r="H607" s="90"/>
      <c r="I607" s="84"/>
      <c r="J607" s="91"/>
      <c r="K607" s="84"/>
      <c r="L607" s="84"/>
      <c r="M607" s="90"/>
      <c r="N607" s="84"/>
      <c r="O607" s="91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30.0" customHeight="1">
      <c r="A608" s="90"/>
      <c r="B608" s="91"/>
      <c r="C608" s="84"/>
      <c r="D608" s="90"/>
      <c r="E608" s="91"/>
      <c r="F608" s="84"/>
      <c r="G608" s="84"/>
      <c r="H608" s="90"/>
      <c r="I608" s="84"/>
      <c r="J608" s="91"/>
      <c r="K608" s="84"/>
      <c r="L608" s="84"/>
      <c r="M608" s="90"/>
      <c r="N608" s="84"/>
      <c r="O608" s="91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30.0" customHeight="1">
      <c r="A609" s="90"/>
      <c r="B609" s="91"/>
      <c r="C609" s="84"/>
      <c r="D609" s="90"/>
      <c r="E609" s="91"/>
      <c r="F609" s="84"/>
      <c r="G609" s="84"/>
      <c r="H609" s="90"/>
      <c r="I609" s="84"/>
      <c r="J609" s="91"/>
      <c r="K609" s="84"/>
      <c r="L609" s="84"/>
      <c r="M609" s="90"/>
      <c r="N609" s="84"/>
      <c r="O609" s="91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30.0" customHeight="1">
      <c r="A610" s="90"/>
      <c r="B610" s="91"/>
      <c r="C610" s="84"/>
      <c r="D610" s="90"/>
      <c r="E610" s="91"/>
      <c r="F610" s="84"/>
      <c r="G610" s="84"/>
      <c r="H610" s="90"/>
      <c r="I610" s="84"/>
      <c r="J610" s="91"/>
      <c r="K610" s="84"/>
      <c r="L610" s="84"/>
      <c r="M610" s="90"/>
      <c r="N610" s="84"/>
      <c r="O610" s="91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30.0" customHeight="1">
      <c r="A611" s="90"/>
      <c r="B611" s="91"/>
      <c r="C611" s="84"/>
      <c r="D611" s="90"/>
      <c r="E611" s="91"/>
      <c r="F611" s="84"/>
      <c r="G611" s="84"/>
      <c r="H611" s="90"/>
      <c r="I611" s="84"/>
      <c r="J611" s="91"/>
      <c r="K611" s="84"/>
      <c r="L611" s="84"/>
      <c r="M611" s="90"/>
      <c r="N611" s="84"/>
      <c r="O611" s="91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30.0" customHeight="1">
      <c r="A612" s="90"/>
      <c r="B612" s="91"/>
      <c r="C612" s="84"/>
      <c r="D612" s="90"/>
      <c r="E612" s="91"/>
      <c r="F612" s="84"/>
      <c r="G612" s="84"/>
      <c r="H612" s="90"/>
      <c r="I612" s="84"/>
      <c r="J612" s="91"/>
      <c r="K612" s="84"/>
      <c r="L612" s="84"/>
      <c r="M612" s="90"/>
      <c r="N612" s="84"/>
      <c r="O612" s="91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30.0" customHeight="1">
      <c r="A613" s="90"/>
      <c r="B613" s="91"/>
      <c r="C613" s="84"/>
      <c r="D613" s="90"/>
      <c r="E613" s="91"/>
      <c r="F613" s="84"/>
      <c r="G613" s="84"/>
      <c r="H613" s="90"/>
      <c r="I613" s="84"/>
      <c r="J613" s="91"/>
      <c r="K613" s="84"/>
      <c r="L613" s="84"/>
      <c r="M613" s="90"/>
      <c r="N613" s="84"/>
      <c r="O613" s="91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30.0" customHeight="1">
      <c r="A614" s="90"/>
      <c r="B614" s="91"/>
      <c r="C614" s="84"/>
      <c r="D614" s="90"/>
      <c r="E614" s="91"/>
      <c r="F614" s="84"/>
      <c r="G614" s="84"/>
      <c r="H614" s="90"/>
      <c r="I614" s="84"/>
      <c r="J614" s="91"/>
      <c r="K614" s="84"/>
      <c r="L614" s="84"/>
      <c r="M614" s="90"/>
      <c r="N614" s="84"/>
      <c r="O614" s="91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30.0" customHeight="1">
      <c r="A615" s="90"/>
      <c r="B615" s="91"/>
      <c r="C615" s="84"/>
      <c r="D615" s="90"/>
      <c r="E615" s="91"/>
      <c r="F615" s="84"/>
      <c r="G615" s="84"/>
      <c r="H615" s="90"/>
      <c r="I615" s="84"/>
      <c r="J615" s="91"/>
      <c r="K615" s="84"/>
      <c r="L615" s="84"/>
      <c r="M615" s="90"/>
      <c r="N615" s="84"/>
      <c r="O615" s="91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30.0" customHeight="1">
      <c r="A616" s="90"/>
      <c r="B616" s="91"/>
      <c r="C616" s="84"/>
      <c r="D616" s="90"/>
      <c r="E616" s="91"/>
      <c r="F616" s="84"/>
      <c r="G616" s="84"/>
      <c r="H616" s="90"/>
      <c r="I616" s="84"/>
      <c r="J616" s="91"/>
      <c r="K616" s="84"/>
      <c r="L616" s="84"/>
      <c r="M616" s="90"/>
      <c r="N616" s="84"/>
      <c r="O616" s="91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30.0" customHeight="1">
      <c r="A617" s="90"/>
      <c r="B617" s="91"/>
      <c r="C617" s="84"/>
      <c r="D617" s="90"/>
      <c r="E617" s="91"/>
      <c r="F617" s="84"/>
      <c r="G617" s="84"/>
      <c r="H617" s="90"/>
      <c r="I617" s="84"/>
      <c r="J617" s="91"/>
      <c r="K617" s="84"/>
      <c r="L617" s="84"/>
      <c r="M617" s="90"/>
      <c r="N617" s="84"/>
      <c r="O617" s="91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30.0" customHeight="1">
      <c r="A618" s="90"/>
      <c r="B618" s="91"/>
      <c r="C618" s="84"/>
      <c r="D618" s="90"/>
      <c r="E618" s="91"/>
      <c r="F618" s="84"/>
      <c r="G618" s="84"/>
      <c r="H618" s="90"/>
      <c r="I618" s="84"/>
      <c r="J618" s="91"/>
      <c r="K618" s="84"/>
      <c r="L618" s="84"/>
      <c r="M618" s="90"/>
      <c r="N618" s="84"/>
      <c r="O618" s="91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30.0" customHeight="1">
      <c r="A619" s="90"/>
      <c r="B619" s="91"/>
      <c r="C619" s="84"/>
      <c r="D619" s="90"/>
      <c r="E619" s="91"/>
      <c r="F619" s="84"/>
      <c r="G619" s="84"/>
      <c r="H619" s="90"/>
      <c r="I619" s="84"/>
      <c r="J619" s="91"/>
      <c r="K619" s="84"/>
      <c r="L619" s="84"/>
      <c r="M619" s="90"/>
      <c r="N619" s="84"/>
      <c r="O619" s="91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30.0" customHeight="1">
      <c r="A620" s="90"/>
      <c r="B620" s="91"/>
      <c r="C620" s="84"/>
      <c r="D620" s="90"/>
      <c r="E620" s="91"/>
      <c r="F620" s="84"/>
      <c r="G620" s="84"/>
      <c r="H620" s="90"/>
      <c r="I620" s="84"/>
      <c r="J620" s="91"/>
      <c r="K620" s="84"/>
      <c r="L620" s="84"/>
      <c r="M620" s="90"/>
      <c r="N620" s="84"/>
      <c r="O620" s="91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30.0" customHeight="1">
      <c r="A621" s="90"/>
      <c r="B621" s="91"/>
      <c r="C621" s="84"/>
      <c r="D621" s="90"/>
      <c r="E621" s="91"/>
      <c r="F621" s="84"/>
      <c r="G621" s="84"/>
      <c r="H621" s="90"/>
      <c r="I621" s="84"/>
      <c r="J621" s="91"/>
      <c r="K621" s="84"/>
      <c r="L621" s="84"/>
      <c r="M621" s="90"/>
      <c r="N621" s="84"/>
      <c r="O621" s="91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30.0" customHeight="1">
      <c r="A622" s="90"/>
      <c r="B622" s="91"/>
      <c r="C622" s="84"/>
      <c r="D622" s="90"/>
      <c r="E622" s="91"/>
      <c r="F622" s="84"/>
      <c r="G622" s="84"/>
      <c r="H622" s="90"/>
      <c r="I622" s="84"/>
      <c r="J622" s="91"/>
      <c r="K622" s="84"/>
      <c r="L622" s="84"/>
      <c r="M622" s="90"/>
      <c r="N622" s="84"/>
      <c r="O622" s="91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30.0" customHeight="1">
      <c r="A623" s="90"/>
      <c r="B623" s="91"/>
      <c r="C623" s="84"/>
      <c r="D623" s="90"/>
      <c r="E623" s="91"/>
      <c r="F623" s="84"/>
      <c r="G623" s="84"/>
      <c r="H623" s="90"/>
      <c r="I623" s="84"/>
      <c r="J623" s="91"/>
      <c r="K623" s="84"/>
      <c r="L623" s="84"/>
      <c r="M623" s="90"/>
      <c r="N623" s="84"/>
      <c r="O623" s="91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30.0" customHeight="1">
      <c r="A624" s="90"/>
      <c r="B624" s="91"/>
      <c r="C624" s="84"/>
      <c r="D624" s="90"/>
      <c r="E624" s="91"/>
      <c r="F624" s="84"/>
      <c r="G624" s="84"/>
      <c r="H624" s="90"/>
      <c r="I624" s="84"/>
      <c r="J624" s="91"/>
      <c r="K624" s="84"/>
      <c r="L624" s="84"/>
      <c r="M624" s="90"/>
      <c r="N624" s="84"/>
      <c r="O624" s="91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30.0" customHeight="1">
      <c r="A625" s="90"/>
      <c r="B625" s="91"/>
      <c r="C625" s="84"/>
      <c r="D625" s="90"/>
      <c r="E625" s="91"/>
      <c r="F625" s="84"/>
      <c r="G625" s="84"/>
      <c r="H625" s="90"/>
      <c r="I625" s="84"/>
      <c r="J625" s="91"/>
      <c r="K625" s="84"/>
      <c r="L625" s="84"/>
      <c r="M625" s="90"/>
      <c r="N625" s="84"/>
      <c r="O625" s="91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30.0" customHeight="1">
      <c r="A626" s="90"/>
      <c r="B626" s="91"/>
      <c r="C626" s="84"/>
      <c r="D626" s="90"/>
      <c r="E626" s="91"/>
      <c r="F626" s="84"/>
      <c r="G626" s="84"/>
      <c r="H626" s="90"/>
      <c r="I626" s="84"/>
      <c r="J626" s="91"/>
      <c r="K626" s="84"/>
      <c r="L626" s="84"/>
      <c r="M626" s="90"/>
      <c r="N626" s="84"/>
      <c r="O626" s="91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30.0" customHeight="1">
      <c r="A627" s="90"/>
      <c r="B627" s="91"/>
      <c r="C627" s="84"/>
      <c r="D627" s="90"/>
      <c r="E627" s="91"/>
      <c r="F627" s="84"/>
      <c r="G627" s="84"/>
      <c r="H627" s="90"/>
      <c r="I627" s="84"/>
      <c r="J627" s="91"/>
      <c r="K627" s="84"/>
      <c r="L627" s="84"/>
      <c r="M627" s="90"/>
      <c r="N627" s="84"/>
      <c r="O627" s="91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30.0" customHeight="1">
      <c r="A628" s="90"/>
      <c r="B628" s="91"/>
      <c r="C628" s="84"/>
      <c r="D628" s="90"/>
      <c r="E628" s="91"/>
      <c r="F628" s="84"/>
      <c r="G628" s="84"/>
      <c r="H628" s="90"/>
      <c r="I628" s="84"/>
      <c r="J628" s="91"/>
      <c r="K628" s="84"/>
      <c r="L628" s="84"/>
      <c r="M628" s="90"/>
      <c r="N628" s="84"/>
      <c r="O628" s="91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30.0" customHeight="1">
      <c r="A629" s="90"/>
      <c r="B629" s="91"/>
      <c r="C629" s="84"/>
      <c r="D629" s="90"/>
      <c r="E629" s="91"/>
      <c r="F629" s="84"/>
      <c r="G629" s="84"/>
      <c r="H629" s="90"/>
      <c r="I629" s="84"/>
      <c r="J629" s="91"/>
      <c r="K629" s="84"/>
      <c r="L629" s="84"/>
      <c r="M629" s="90"/>
      <c r="N629" s="84"/>
      <c r="O629" s="91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30.0" customHeight="1">
      <c r="A630" s="90"/>
      <c r="B630" s="91"/>
      <c r="C630" s="84"/>
      <c r="D630" s="90"/>
      <c r="E630" s="91"/>
      <c r="F630" s="84"/>
      <c r="G630" s="84"/>
      <c r="H630" s="90"/>
      <c r="I630" s="84"/>
      <c r="J630" s="91"/>
      <c r="K630" s="84"/>
      <c r="L630" s="84"/>
      <c r="M630" s="90"/>
      <c r="N630" s="84"/>
      <c r="O630" s="91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30.0" customHeight="1">
      <c r="A631" s="90"/>
      <c r="B631" s="91"/>
      <c r="C631" s="84"/>
      <c r="D631" s="90"/>
      <c r="E631" s="91"/>
      <c r="F631" s="84"/>
      <c r="G631" s="84"/>
      <c r="H631" s="90"/>
      <c r="I631" s="84"/>
      <c r="J631" s="91"/>
      <c r="K631" s="84"/>
      <c r="L631" s="84"/>
      <c r="M631" s="90"/>
      <c r="N631" s="84"/>
      <c r="O631" s="91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30.0" customHeight="1">
      <c r="A632" s="90"/>
      <c r="B632" s="91"/>
      <c r="C632" s="84"/>
      <c r="D632" s="90"/>
      <c r="E632" s="91"/>
      <c r="F632" s="84"/>
      <c r="G632" s="84"/>
      <c r="H632" s="90"/>
      <c r="I632" s="84"/>
      <c r="J632" s="91"/>
      <c r="K632" s="84"/>
      <c r="L632" s="84"/>
      <c r="M632" s="90"/>
      <c r="N632" s="84"/>
      <c r="O632" s="91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30.0" customHeight="1">
      <c r="A633" s="90"/>
      <c r="B633" s="91"/>
      <c r="C633" s="84"/>
      <c r="D633" s="90"/>
      <c r="E633" s="91"/>
      <c r="F633" s="84"/>
      <c r="G633" s="84"/>
      <c r="H633" s="90"/>
      <c r="I633" s="84"/>
      <c r="J633" s="91"/>
      <c r="K633" s="84"/>
      <c r="L633" s="84"/>
      <c r="M633" s="90"/>
      <c r="N633" s="84"/>
      <c r="O633" s="91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30.0" customHeight="1">
      <c r="A634" s="90"/>
      <c r="B634" s="91"/>
      <c r="C634" s="84"/>
      <c r="D634" s="90"/>
      <c r="E634" s="91"/>
      <c r="F634" s="84"/>
      <c r="G634" s="84"/>
      <c r="H634" s="90"/>
      <c r="I634" s="84"/>
      <c r="J634" s="91"/>
      <c r="K634" s="84"/>
      <c r="L634" s="84"/>
      <c r="M634" s="90"/>
      <c r="N634" s="84"/>
      <c r="O634" s="91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30.0" customHeight="1">
      <c r="A635" s="90"/>
      <c r="B635" s="91"/>
      <c r="C635" s="84"/>
      <c r="D635" s="90"/>
      <c r="E635" s="91"/>
      <c r="F635" s="84"/>
      <c r="G635" s="84"/>
      <c r="H635" s="90"/>
      <c r="I635" s="84"/>
      <c r="J635" s="91"/>
      <c r="K635" s="84"/>
      <c r="L635" s="84"/>
      <c r="M635" s="90"/>
      <c r="N635" s="84"/>
      <c r="O635" s="91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30.0" customHeight="1">
      <c r="A636" s="90"/>
      <c r="B636" s="91"/>
      <c r="C636" s="84"/>
      <c r="D636" s="90"/>
      <c r="E636" s="91"/>
      <c r="F636" s="84"/>
      <c r="G636" s="84"/>
      <c r="H636" s="90"/>
      <c r="I636" s="84"/>
      <c r="J636" s="91"/>
      <c r="K636" s="84"/>
      <c r="L636" s="84"/>
      <c r="M636" s="90"/>
      <c r="N636" s="84"/>
      <c r="O636" s="91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30.0" customHeight="1">
      <c r="A637" s="90"/>
      <c r="B637" s="91"/>
      <c r="C637" s="84"/>
      <c r="D637" s="90"/>
      <c r="E637" s="91"/>
      <c r="F637" s="84"/>
      <c r="G637" s="84"/>
      <c r="H637" s="90"/>
      <c r="I637" s="84"/>
      <c r="J637" s="91"/>
      <c r="K637" s="84"/>
      <c r="L637" s="84"/>
      <c r="M637" s="90"/>
      <c r="N637" s="84"/>
      <c r="O637" s="91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30.0" customHeight="1">
      <c r="A638" s="90"/>
      <c r="B638" s="91"/>
      <c r="C638" s="84"/>
      <c r="D638" s="90"/>
      <c r="E638" s="91"/>
      <c r="F638" s="84"/>
      <c r="G638" s="84"/>
      <c r="H638" s="90"/>
      <c r="I638" s="84"/>
      <c r="J638" s="91"/>
      <c r="K638" s="84"/>
      <c r="L638" s="84"/>
      <c r="M638" s="90"/>
      <c r="N638" s="84"/>
      <c r="O638" s="91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30.0" customHeight="1">
      <c r="A639" s="90"/>
      <c r="B639" s="91"/>
      <c r="C639" s="84"/>
      <c r="D639" s="90"/>
      <c r="E639" s="91"/>
      <c r="F639" s="84"/>
      <c r="G639" s="84"/>
      <c r="H639" s="90"/>
      <c r="I639" s="84"/>
      <c r="J639" s="91"/>
      <c r="K639" s="84"/>
      <c r="L639" s="84"/>
      <c r="M639" s="90"/>
      <c r="N639" s="84"/>
      <c r="O639" s="91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30.0" customHeight="1">
      <c r="A640" s="90"/>
      <c r="B640" s="91"/>
      <c r="C640" s="84"/>
      <c r="D640" s="90"/>
      <c r="E640" s="91"/>
      <c r="F640" s="84"/>
      <c r="G640" s="84"/>
      <c r="H640" s="90"/>
      <c r="I640" s="84"/>
      <c r="J640" s="91"/>
      <c r="K640" s="84"/>
      <c r="L640" s="84"/>
      <c r="M640" s="90"/>
      <c r="N640" s="84"/>
      <c r="O640" s="91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30.0" customHeight="1">
      <c r="A641" s="90"/>
      <c r="B641" s="91"/>
      <c r="C641" s="84"/>
      <c r="D641" s="90"/>
      <c r="E641" s="91"/>
      <c r="F641" s="84"/>
      <c r="G641" s="84"/>
      <c r="H641" s="90"/>
      <c r="I641" s="84"/>
      <c r="J641" s="91"/>
      <c r="K641" s="84"/>
      <c r="L641" s="84"/>
      <c r="M641" s="90"/>
      <c r="N641" s="84"/>
      <c r="O641" s="91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30.0" customHeight="1">
      <c r="A642" s="90"/>
      <c r="B642" s="91"/>
      <c r="C642" s="84"/>
      <c r="D642" s="90"/>
      <c r="E642" s="91"/>
      <c r="F642" s="84"/>
      <c r="G642" s="84"/>
      <c r="H642" s="90"/>
      <c r="I642" s="84"/>
      <c r="J642" s="91"/>
      <c r="K642" s="84"/>
      <c r="L642" s="84"/>
      <c r="M642" s="90"/>
      <c r="N642" s="84"/>
      <c r="O642" s="91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30.0" customHeight="1">
      <c r="A643" s="90"/>
      <c r="B643" s="91"/>
      <c r="C643" s="84"/>
      <c r="D643" s="90"/>
      <c r="E643" s="91"/>
      <c r="F643" s="84"/>
      <c r="G643" s="84"/>
      <c r="H643" s="90"/>
      <c r="I643" s="84"/>
      <c r="J643" s="91"/>
      <c r="K643" s="84"/>
      <c r="L643" s="84"/>
      <c r="M643" s="90"/>
      <c r="N643" s="84"/>
      <c r="O643" s="91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30.0" customHeight="1">
      <c r="A644" s="90"/>
      <c r="B644" s="91"/>
      <c r="C644" s="84"/>
      <c r="D644" s="90"/>
      <c r="E644" s="91"/>
      <c r="F644" s="84"/>
      <c r="G644" s="84"/>
      <c r="H644" s="90"/>
      <c r="I644" s="84"/>
      <c r="J644" s="91"/>
      <c r="K644" s="84"/>
      <c r="L644" s="84"/>
      <c r="M644" s="90"/>
      <c r="N644" s="84"/>
      <c r="O644" s="91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30.0" customHeight="1">
      <c r="A645" s="90"/>
      <c r="B645" s="91"/>
      <c r="C645" s="84"/>
      <c r="D645" s="90"/>
      <c r="E645" s="91"/>
      <c r="F645" s="84"/>
      <c r="G645" s="84"/>
      <c r="H645" s="90"/>
      <c r="I645" s="84"/>
      <c r="J645" s="91"/>
      <c r="K645" s="84"/>
      <c r="L645" s="84"/>
      <c r="M645" s="90"/>
      <c r="N645" s="84"/>
      <c r="O645" s="91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30.0" customHeight="1">
      <c r="A646" s="90"/>
      <c r="B646" s="91"/>
      <c r="C646" s="84"/>
      <c r="D646" s="90"/>
      <c r="E646" s="91"/>
      <c r="F646" s="84"/>
      <c r="G646" s="84"/>
      <c r="H646" s="90"/>
      <c r="I646" s="84"/>
      <c r="J646" s="91"/>
      <c r="K646" s="84"/>
      <c r="L646" s="84"/>
      <c r="M646" s="90"/>
      <c r="N646" s="84"/>
      <c r="O646" s="91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30.0" customHeight="1">
      <c r="A647" s="90"/>
      <c r="B647" s="91"/>
      <c r="C647" s="84"/>
      <c r="D647" s="90"/>
      <c r="E647" s="91"/>
      <c r="F647" s="84"/>
      <c r="G647" s="84"/>
      <c r="H647" s="90"/>
      <c r="I647" s="84"/>
      <c r="J647" s="91"/>
      <c r="K647" s="84"/>
      <c r="L647" s="84"/>
      <c r="M647" s="90"/>
      <c r="N647" s="84"/>
      <c r="O647" s="91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30.0" customHeight="1">
      <c r="A648" s="90"/>
      <c r="B648" s="91"/>
      <c r="C648" s="84"/>
      <c r="D648" s="90"/>
      <c r="E648" s="91"/>
      <c r="F648" s="84"/>
      <c r="G648" s="84"/>
      <c r="H648" s="90"/>
      <c r="I648" s="84"/>
      <c r="J648" s="91"/>
      <c r="K648" s="84"/>
      <c r="L648" s="84"/>
      <c r="M648" s="90"/>
      <c r="N648" s="84"/>
      <c r="O648" s="91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30.0" customHeight="1">
      <c r="A649" s="90"/>
      <c r="B649" s="91"/>
      <c r="C649" s="84"/>
      <c r="D649" s="90"/>
      <c r="E649" s="91"/>
      <c r="F649" s="84"/>
      <c r="G649" s="84"/>
      <c r="H649" s="90"/>
      <c r="I649" s="84"/>
      <c r="J649" s="91"/>
      <c r="K649" s="84"/>
      <c r="L649" s="84"/>
      <c r="M649" s="90"/>
      <c r="N649" s="84"/>
      <c r="O649" s="91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30.0" customHeight="1">
      <c r="A650" s="90"/>
      <c r="B650" s="91"/>
      <c r="C650" s="84"/>
      <c r="D650" s="90"/>
      <c r="E650" s="91"/>
      <c r="F650" s="84"/>
      <c r="G650" s="84"/>
      <c r="H650" s="90"/>
      <c r="I650" s="84"/>
      <c r="J650" s="91"/>
      <c r="K650" s="84"/>
      <c r="L650" s="84"/>
      <c r="M650" s="90"/>
      <c r="N650" s="84"/>
      <c r="O650" s="91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30.0" customHeight="1">
      <c r="A651" s="90"/>
      <c r="B651" s="91"/>
      <c r="C651" s="84"/>
      <c r="D651" s="90"/>
      <c r="E651" s="91"/>
      <c r="F651" s="84"/>
      <c r="G651" s="84"/>
      <c r="H651" s="90"/>
      <c r="I651" s="84"/>
      <c r="J651" s="91"/>
      <c r="K651" s="84"/>
      <c r="L651" s="84"/>
      <c r="M651" s="90"/>
      <c r="N651" s="84"/>
      <c r="O651" s="91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30.0" customHeight="1">
      <c r="A652" s="90"/>
      <c r="B652" s="91"/>
      <c r="C652" s="84"/>
      <c r="D652" s="90"/>
      <c r="E652" s="91"/>
      <c r="F652" s="84"/>
      <c r="G652" s="84"/>
      <c r="H652" s="90"/>
      <c r="I652" s="84"/>
      <c r="J652" s="91"/>
      <c r="K652" s="84"/>
      <c r="L652" s="84"/>
      <c r="M652" s="90"/>
      <c r="N652" s="84"/>
      <c r="O652" s="91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30.0" customHeight="1">
      <c r="A653" s="90"/>
      <c r="B653" s="91"/>
      <c r="C653" s="84"/>
      <c r="D653" s="90"/>
      <c r="E653" s="91"/>
      <c r="F653" s="84"/>
      <c r="G653" s="84"/>
      <c r="H653" s="90"/>
      <c r="I653" s="84"/>
      <c r="J653" s="91"/>
      <c r="K653" s="84"/>
      <c r="L653" s="84"/>
      <c r="M653" s="90"/>
      <c r="N653" s="84"/>
      <c r="O653" s="91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30.0" customHeight="1">
      <c r="A654" s="90"/>
      <c r="B654" s="91"/>
      <c r="C654" s="84"/>
      <c r="D654" s="90"/>
      <c r="E654" s="91"/>
      <c r="F654" s="84"/>
      <c r="G654" s="84"/>
      <c r="H654" s="90"/>
      <c r="I654" s="84"/>
      <c r="J654" s="91"/>
      <c r="K654" s="84"/>
      <c r="L654" s="84"/>
      <c r="M654" s="90"/>
      <c r="N654" s="84"/>
      <c r="O654" s="91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30.0" customHeight="1">
      <c r="A655" s="90"/>
      <c r="B655" s="91"/>
      <c r="C655" s="84"/>
      <c r="D655" s="90"/>
      <c r="E655" s="91"/>
      <c r="F655" s="84"/>
      <c r="G655" s="84"/>
      <c r="H655" s="90"/>
      <c r="I655" s="84"/>
      <c r="J655" s="91"/>
      <c r="K655" s="84"/>
      <c r="L655" s="84"/>
      <c r="M655" s="90"/>
      <c r="N655" s="84"/>
      <c r="O655" s="91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30.0" customHeight="1">
      <c r="A656" s="90"/>
      <c r="B656" s="91"/>
      <c r="C656" s="84"/>
      <c r="D656" s="90"/>
      <c r="E656" s="91"/>
      <c r="F656" s="84"/>
      <c r="G656" s="84"/>
      <c r="H656" s="90"/>
      <c r="I656" s="84"/>
      <c r="J656" s="91"/>
      <c r="K656" s="84"/>
      <c r="L656" s="84"/>
      <c r="M656" s="90"/>
      <c r="N656" s="84"/>
      <c r="O656" s="91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30.0" customHeight="1">
      <c r="A657" s="90"/>
      <c r="B657" s="91"/>
      <c r="C657" s="84"/>
      <c r="D657" s="90"/>
      <c r="E657" s="91"/>
      <c r="F657" s="84"/>
      <c r="G657" s="84"/>
      <c r="H657" s="90"/>
      <c r="I657" s="84"/>
      <c r="J657" s="91"/>
      <c r="K657" s="84"/>
      <c r="L657" s="84"/>
      <c r="M657" s="90"/>
      <c r="N657" s="84"/>
      <c r="O657" s="91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30.0" customHeight="1">
      <c r="A658" s="90"/>
      <c r="B658" s="91"/>
      <c r="C658" s="84"/>
      <c r="D658" s="90"/>
      <c r="E658" s="91"/>
      <c r="F658" s="84"/>
      <c r="G658" s="84"/>
      <c r="H658" s="90"/>
      <c r="I658" s="84"/>
      <c r="J658" s="91"/>
      <c r="K658" s="84"/>
      <c r="L658" s="84"/>
      <c r="M658" s="90"/>
      <c r="N658" s="84"/>
      <c r="O658" s="91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30.0" customHeight="1">
      <c r="A659" s="90"/>
      <c r="B659" s="91"/>
      <c r="C659" s="84"/>
      <c r="D659" s="90"/>
      <c r="E659" s="91"/>
      <c r="F659" s="84"/>
      <c r="G659" s="84"/>
      <c r="H659" s="90"/>
      <c r="I659" s="84"/>
      <c r="J659" s="91"/>
      <c r="K659" s="84"/>
      <c r="L659" s="84"/>
      <c r="M659" s="90"/>
      <c r="N659" s="84"/>
      <c r="O659" s="91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30.0" customHeight="1">
      <c r="A660" s="90"/>
      <c r="B660" s="91"/>
      <c r="C660" s="84"/>
      <c r="D660" s="90"/>
      <c r="E660" s="91"/>
      <c r="F660" s="84"/>
      <c r="G660" s="84"/>
      <c r="H660" s="90"/>
      <c r="I660" s="84"/>
      <c r="J660" s="91"/>
      <c r="K660" s="84"/>
      <c r="L660" s="84"/>
      <c r="M660" s="90"/>
      <c r="N660" s="84"/>
      <c r="O660" s="91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30.0" customHeight="1">
      <c r="A661" s="90"/>
      <c r="B661" s="91"/>
      <c r="C661" s="84"/>
      <c r="D661" s="90"/>
      <c r="E661" s="91"/>
      <c r="F661" s="84"/>
      <c r="G661" s="84"/>
      <c r="H661" s="90"/>
      <c r="I661" s="84"/>
      <c r="J661" s="91"/>
      <c r="K661" s="84"/>
      <c r="L661" s="84"/>
      <c r="M661" s="90"/>
      <c r="N661" s="84"/>
      <c r="O661" s="91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30.0" customHeight="1">
      <c r="A662" s="90"/>
      <c r="B662" s="91"/>
      <c r="C662" s="84"/>
      <c r="D662" s="90"/>
      <c r="E662" s="91"/>
      <c r="F662" s="84"/>
      <c r="G662" s="84"/>
      <c r="H662" s="90"/>
      <c r="I662" s="84"/>
      <c r="J662" s="91"/>
      <c r="K662" s="84"/>
      <c r="L662" s="84"/>
      <c r="M662" s="90"/>
      <c r="N662" s="84"/>
      <c r="O662" s="91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30.0" customHeight="1">
      <c r="A663" s="90"/>
      <c r="B663" s="91"/>
      <c r="C663" s="84"/>
      <c r="D663" s="90"/>
      <c r="E663" s="91"/>
      <c r="F663" s="84"/>
      <c r="G663" s="84"/>
      <c r="H663" s="90"/>
      <c r="I663" s="84"/>
      <c r="J663" s="91"/>
      <c r="K663" s="84"/>
      <c r="L663" s="84"/>
      <c r="M663" s="90"/>
      <c r="N663" s="84"/>
      <c r="O663" s="91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30.0" customHeight="1">
      <c r="A664" s="90"/>
      <c r="B664" s="91"/>
      <c r="C664" s="84"/>
      <c r="D664" s="90"/>
      <c r="E664" s="91"/>
      <c r="F664" s="84"/>
      <c r="G664" s="84"/>
      <c r="H664" s="90"/>
      <c r="I664" s="84"/>
      <c r="J664" s="91"/>
      <c r="K664" s="84"/>
      <c r="L664" s="84"/>
      <c r="M664" s="90"/>
      <c r="N664" s="84"/>
      <c r="O664" s="91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30.0" customHeight="1">
      <c r="A665" s="90"/>
      <c r="B665" s="91"/>
      <c r="C665" s="84"/>
      <c r="D665" s="90"/>
      <c r="E665" s="91"/>
      <c r="F665" s="84"/>
      <c r="G665" s="84"/>
      <c r="H665" s="90"/>
      <c r="I665" s="84"/>
      <c r="J665" s="91"/>
      <c r="K665" s="84"/>
      <c r="L665" s="84"/>
      <c r="M665" s="90"/>
      <c r="N665" s="84"/>
      <c r="O665" s="91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30.0" customHeight="1">
      <c r="A666" s="90"/>
      <c r="B666" s="91"/>
      <c r="C666" s="84"/>
      <c r="D666" s="90"/>
      <c r="E666" s="91"/>
      <c r="F666" s="84"/>
      <c r="G666" s="84"/>
      <c r="H666" s="90"/>
      <c r="I666" s="84"/>
      <c r="J666" s="91"/>
      <c r="K666" s="84"/>
      <c r="L666" s="84"/>
      <c r="M666" s="90"/>
      <c r="N666" s="84"/>
      <c r="O666" s="91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30.0" customHeight="1">
      <c r="A667" s="90"/>
      <c r="B667" s="91"/>
      <c r="C667" s="84"/>
      <c r="D667" s="90"/>
      <c r="E667" s="91"/>
      <c r="F667" s="84"/>
      <c r="G667" s="84"/>
      <c r="H667" s="90"/>
      <c r="I667" s="84"/>
      <c r="J667" s="91"/>
      <c r="K667" s="84"/>
      <c r="L667" s="84"/>
      <c r="M667" s="90"/>
      <c r="N667" s="84"/>
      <c r="O667" s="91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30.0" customHeight="1">
      <c r="A668" s="90"/>
      <c r="B668" s="91"/>
      <c r="C668" s="84"/>
      <c r="D668" s="90"/>
      <c r="E668" s="91"/>
      <c r="F668" s="84"/>
      <c r="G668" s="84"/>
      <c r="H668" s="90"/>
      <c r="I668" s="84"/>
      <c r="J668" s="91"/>
      <c r="K668" s="84"/>
      <c r="L668" s="84"/>
      <c r="M668" s="90"/>
      <c r="N668" s="84"/>
      <c r="O668" s="91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30.0" customHeight="1">
      <c r="A669" s="90"/>
      <c r="B669" s="91"/>
      <c r="C669" s="84"/>
      <c r="D669" s="90"/>
      <c r="E669" s="91"/>
      <c r="F669" s="84"/>
      <c r="G669" s="84"/>
      <c r="H669" s="90"/>
      <c r="I669" s="84"/>
      <c r="J669" s="91"/>
      <c r="K669" s="84"/>
      <c r="L669" s="84"/>
      <c r="M669" s="90"/>
      <c r="N669" s="84"/>
      <c r="O669" s="91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30.0" customHeight="1">
      <c r="A670" s="90"/>
      <c r="B670" s="91"/>
      <c r="C670" s="84"/>
      <c r="D670" s="90"/>
      <c r="E670" s="91"/>
      <c r="F670" s="84"/>
      <c r="G670" s="84"/>
      <c r="H670" s="90"/>
      <c r="I670" s="84"/>
      <c r="J670" s="91"/>
      <c r="K670" s="84"/>
      <c r="L670" s="84"/>
      <c r="M670" s="90"/>
      <c r="N670" s="84"/>
      <c r="O670" s="91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30.0" customHeight="1">
      <c r="A671" s="90"/>
      <c r="B671" s="91"/>
      <c r="C671" s="84"/>
      <c r="D671" s="90"/>
      <c r="E671" s="91"/>
      <c r="F671" s="84"/>
      <c r="G671" s="84"/>
      <c r="H671" s="90"/>
      <c r="I671" s="84"/>
      <c r="J671" s="91"/>
      <c r="K671" s="84"/>
      <c r="L671" s="84"/>
      <c r="M671" s="90"/>
      <c r="N671" s="84"/>
      <c r="O671" s="91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30.0" customHeight="1">
      <c r="A672" s="90"/>
      <c r="B672" s="91"/>
      <c r="C672" s="84"/>
      <c r="D672" s="90"/>
      <c r="E672" s="91"/>
      <c r="F672" s="84"/>
      <c r="G672" s="84"/>
      <c r="H672" s="90"/>
      <c r="I672" s="84"/>
      <c r="J672" s="91"/>
      <c r="K672" s="84"/>
      <c r="L672" s="84"/>
      <c r="M672" s="90"/>
      <c r="N672" s="84"/>
      <c r="O672" s="91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30.0" customHeight="1">
      <c r="A673" s="90"/>
      <c r="B673" s="91"/>
      <c r="C673" s="84"/>
      <c r="D673" s="90"/>
      <c r="E673" s="91"/>
      <c r="F673" s="84"/>
      <c r="G673" s="84"/>
      <c r="H673" s="90"/>
      <c r="I673" s="84"/>
      <c r="J673" s="91"/>
      <c r="K673" s="84"/>
      <c r="L673" s="84"/>
      <c r="M673" s="90"/>
      <c r="N673" s="84"/>
      <c r="O673" s="91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30.0" customHeight="1">
      <c r="A674" s="90"/>
      <c r="B674" s="91"/>
      <c r="C674" s="84"/>
      <c r="D674" s="90"/>
      <c r="E674" s="91"/>
      <c r="F674" s="84"/>
      <c r="G674" s="84"/>
      <c r="H674" s="90"/>
      <c r="I674" s="84"/>
      <c r="J674" s="91"/>
      <c r="K674" s="84"/>
      <c r="L674" s="84"/>
      <c r="M674" s="90"/>
      <c r="N674" s="84"/>
      <c r="O674" s="91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30.0" customHeight="1">
      <c r="A675" s="90"/>
      <c r="B675" s="91"/>
      <c r="C675" s="84"/>
      <c r="D675" s="90"/>
      <c r="E675" s="91"/>
      <c r="F675" s="84"/>
      <c r="G675" s="84"/>
      <c r="H675" s="90"/>
      <c r="I675" s="84"/>
      <c r="J675" s="91"/>
      <c r="K675" s="84"/>
      <c r="L675" s="84"/>
      <c r="M675" s="90"/>
      <c r="N675" s="84"/>
      <c r="O675" s="91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30.0" customHeight="1">
      <c r="A676" s="90"/>
      <c r="B676" s="91"/>
      <c r="C676" s="84"/>
      <c r="D676" s="90"/>
      <c r="E676" s="91"/>
      <c r="F676" s="84"/>
      <c r="G676" s="84"/>
      <c r="H676" s="90"/>
      <c r="I676" s="84"/>
      <c r="J676" s="91"/>
      <c r="K676" s="84"/>
      <c r="L676" s="84"/>
      <c r="M676" s="90"/>
      <c r="N676" s="84"/>
      <c r="O676" s="91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30.0" customHeight="1">
      <c r="A677" s="90"/>
      <c r="B677" s="91"/>
      <c r="C677" s="84"/>
      <c r="D677" s="90"/>
      <c r="E677" s="91"/>
      <c r="F677" s="84"/>
      <c r="G677" s="84"/>
      <c r="H677" s="90"/>
      <c r="I677" s="84"/>
      <c r="J677" s="91"/>
      <c r="K677" s="84"/>
      <c r="L677" s="84"/>
      <c r="M677" s="90"/>
      <c r="N677" s="84"/>
      <c r="O677" s="91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30.0" customHeight="1">
      <c r="A678" s="90"/>
      <c r="B678" s="91"/>
      <c r="C678" s="84"/>
      <c r="D678" s="90"/>
      <c r="E678" s="91"/>
      <c r="F678" s="84"/>
      <c r="G678" s="84"/>
      <c r="H678" s="90"/>
      <c r="I678" s="84"/>
      <c r="J678" s="91"/>
      <c r="K678" s="84"/>
      <c r="L678" s="84"/>
      <c r="M678" s="90"/>
      <c r="N678" s="84"/>
      <c r="O678" s="91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30.0" customHeight="1">
      <c r="A679" s="90"/>
      <c r="B679" s="91"/>
      <c r="C679" s="84"/>
      <c r="D679" s="90"/>
      <c r="E679" s="91"/>
      <c r="F679" s="84"/>
      <c r="G679" s="84"/>
      <c r="H679" s="90"/>
      <c r="I679" s="84"/>
      <c r="J679" s="91"/>
      <c r="K679" s="84"/>
      <c r="L679" s="84"/>
      <c r="M679" s="90"/>
      <c r="N679" s="84"/>
      <c r="O679" s="91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30.0" customHeight="1">
      <c r="A680" s="90"/>
      <c r="B680" s="91"/>
      <c r="C680" s="84"/>
      <c r="D680" s="90"/>
      <c r="E680" s="91"/>
      <c r="F680" s="84"/>
      <c r="G680" s="84"/>
      <c r="H680" s="90"/>
      <c r="I680" s="84"/>
      <c r="J680" s="91"/>
      <c r="K680" s="84"/>
      <c r="L680" s="84"/>
      <c r="M680" s="90"/>
      <c r="N680" s="84"/>
      <c r="O680" s="91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30.0" customHeight="1">
      <c r="A681" s="90"/>
      <c r="B681" s="91"/>
      <c r="C681" s="84"/>
      <c r="D681" s="90"/>
      <c r="E681" s="91"/>
      <c r="F681" s="84"/>
      <c r="G681" s="84"/>
      <c r="H681" s="90"/>
      <c r="I681" s="84"/>
      <c r="J681" s="91"/>
      <c r="K681" s="84"/>
      <c r="L681" s="84"/>
      <c r="M681" s="90"/>
      <c r="N681" s="84"/>
      <c r="O681" s="91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30.0" customHeight="1">
      <c r="A682" s="90"/>
      <c r="B682" s="91"/>
      <c r="C682" s="84"/>
      <c r="D682" s="90"/>
      <c r="E682" s="91"/>
      <c r="F682" s="84"/>
      <c r="G682" s="84"/>
      <c r="H682" s="90"/>
      <c r="I682" s="84"/>
      <c r="J682" s="91"/>
      <c r="K682" s="84"/>
      <c r="L682" s="84"/>
      <c r="M682" s="90"/>
      <c r="N682" s="84"/>
      <c r="O682" s="91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30.0" customHeight="1">
      <c r="A683" s="90"/>
      <c r="B683" s="91"/>
      <c r="C683" s="84"/>
      <c r="D683" s="90"/>
      <c r="E683" s="91"/>
      <c r="F683" s="84"/>
      <c r="G683" s="84"/>
      <c r="H683" s="90"/>
      <c r="I683" s="84"/>
      <c r="J683" s="91"/>
      <c r="K683" s="84"/>
      <c r="L683" s="84"/>
      <c r="M683" s="90"/>
      <c r="N683" s="84"/>
      <c r="O683" s="91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30.0" customHeight="1">
      <c r="A684" s="90"/>
      <c r="B684" s="91"/>
      <c r="C684" s="84"/>
      <c r="D684" s="90"/>
      <c r="E684" s="91"/>
      <c r="F684" s="84"/>
      <c r="G684" s="84"/>
      <c r="H684" s="90"/>
      <c r="I684" s="84"/>
      <c r="J684" s="91"/>
      <c r="K684" s="84"/>
      <c r="L684" s="84"/>
      <c r="M684" s="90"/>
      <c r="N684" s="84"/>
      <c r="O684" s="91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30.0" customHeight="1">
      <c r="A685" s="90"/>
      <c r="B685" s="91"/>
      <c r="C685" s="84"/>
      <c r="D685" s="90"/>
      <c r="E685" s="91"/>
      <c r="F685" s="84"/>
      <c r="G685" s="84"/>
      <c r="H685" s="90"/>
      <c r="I685" s="84"/>
      <c r="J685" s="91"/>
      <c r="K685" s="84"/>
      <c r="L685" s="84"/>
      <c r="M685" s="90"/>
      <c r="N685" s="84"/>
      <c r="O685" s="91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30.0" customHeight="1">
      <c r="A686" s="90"/>
      <c r="B686" s="91"/>
      <c r="C686" s="84"/>
      <c r="D686" s="90"/>
      <c r="E686" s="91"/>
      <c r="F686" s="84"/>
      <c r="G686" s="84"/>
      <c r="H686" s="90"/>
      <c r="I686" s="84"/>
      <c r="J686" s="91"/>
      <c r="K686" s="84"/>
      <c r="L686" s="84"/>
      <c r="M686" s="90"/>
      <c r="N686" s="84"/>
      <c r="O686" s="91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30.0" customHeight="1">
      <c r="A687" s="90"/>
      <c r="B687" s="91"/>
      <c r="C687" s="84"/>
      <c r="D687" s="90"/>
      <c r="E687" s="91"/>
      <c r="F687" s="84"/>
      <c r="G687" s="84"/>
      <c r="H687" s="90"/>
      <c r="I687" s="84"/>
      <c r="J687" s="91"/>
      <c r="K687" s="84"/>
      <c r="L687" s="84"/>
      <c r="M687" s="90"/>
      <c r="N687" s="84"/>
      <c r="O687" s="91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30.0" customHeight="1">
      <c r="A688" s="90"/>
      <c r="B688" s="91"/>
      <c r="C688" s="84"/>
      <c r="D688" s="90"/>
      <c r="E688" s="91"/>
      <c r="F688" s="84"/>
      <c r="G688" s="84"/>
      <c r="H688" s="90"/>
      <c r="I688" s="84"/>
      <c r="J688" s="91"/>
      <c r="K688" s="84"/>
      <c r="L688" s="84"/>
      <c r="M688" s="90"/>
      <c r="N688" s="84"/>
      <c r="O688" s="91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30.0" customHeight="1">
      <c r="A689" s="90"/>
      <c r="B689" s="91"/>
      <c r="C689" s="84"/>
      <c r="D689" s="90"/>
      <c r="E689" s="91"/>
      <c r="F689" s="84"/>
      <c r="G689" s="84"/>
      <c r="H689" s="90"/>
      <c r="I689" s="84"/>
      <c r="J689" s="91"/>
      <c r="K689" s="84"/>
      <c r="L689" s="84"/>
      <c r="M689" s="90"/>
      <c r="N689" s="84"/>
      <c r="O689" s="91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30.0" customHeight="1">
      <c r="A690" s="90"/>
      <c r="B690" s="91"/>
      <c r="C690" s="84"/>
      <c r="D690" s="90"/>
      <c r="E690" s="91"/>
      <c r="F690" s="84"/>
      <c r="G690" s="84"/>
      <c r="H690" s="90"/>
      <c r="I690" s="84"/>
      <c r="J690" s="91"/>
      <c r="K690" s="84"/>
      <c r="L690" s="84"/>
      <c r="M690" s="90"/>
      <c r="N690" s="84"/>
      <c r="O690" s="91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30.0" customHeight="1">
      <c r="A691" s="90"/>
      <c r="B691" s="91"/>
      <c r="C691" s="84"/>
      <c r="D691" s="90"/>
      <c r="E691" s="91"/>
      <c r="F691" s="84"/>
      <c r="G691" s="84"/>
      <c r="H691" s="90"/>
      <c r="I691" s="84"/>
      <c r="J691" s="91"/>
      <c r="K691" s="84"/>
      <c r="L691" s="84"/>
      <c r="M691" s="90"/>
      <c r="N691" s="84"/>
      <c r="O691" s="91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30.0" customHeight="1">
      <c r="A692" s="90"/>
      <c r="B692" s="91"/>
      <c r="C692" s="84"/>
      <c r="D692" s="90"/>
      <c r="E692" s="91"/>
      <c r="F692" s="84"/>
      <c r="G692" s="84"/>
      <c r="H692" s="90"/>
      <c r="I692" s="84"/>
      <c r="J692" s="91"/>
      <c r="K692" s="84"/>
      <c r="L692" s="84"/>
      <c r="M692" s="90"/>
      <c r="N692" s="84"/>
      <c r="O692" s="91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30.0" customHeight="1">
      <c r="A693" s="90"/>
      <c r="B693" s="91"/>
      <c r="C693" s="84"/>
      <c r="D693" s="90"/>
      <c r="E693" s="91"/>
      <c r="F693" s="84"/>
      <c r="G693" s="84"/>
      <c r="H693" s="90"/>
      <c r="I693" s="84"/>
      <c r="J693" s="91"/>
      <c r="K693" s="84"/>
      <c r="L693" s="84"/>
      <c r="M693" s="90"/>
      <c r="N693" s="84"/>
      <c r="O693" s="91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30.0" customHeight="1">
      <c r="A694" s="90"/>
      <c r="B694" s="91"/>
      <c r="C694" s="84"/>
      <c r="D694" s="90"/>
      <c r="E694" s="91"/>
      <c r="F694" s="84"/>
      <c r="G694" s="84"/>
      <c r="H694" s="90"/>
      <c r="I694" s="84"/>
      <c r="J694" s="91"/>
      <c r="K694" s="84"/>
      <c r="L694" s="84"/>
      <c r="M694" s="90"/>
      <c r="N694" s="84"/>
      <c r="O694" s="91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30.0" customHeight="1">
      <c r="A695" s="90"/>
      <c r="B695" s="91"/>
      <c r="C695" s="84"/>
      <c r="D695" s="90"/>
      <c r="E695" s="91"/>
      <c r="F695" s="84"/>
      <c r="G695" s="84"/>
      <c r="H695" s="90"/>
      <c r="I695" s="84"/>
      <c r="J695" s="91"/>
      <c r="K695" s="84"/>
      <c r="L695" s="84"/>
      <c r="M695" s="90"/>
      <c r="N695" s="84"/>
      <c r="O695" s="91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30.0" customHeight="1">
      <c r="A696" s="90"/>
      <c r="B696" s="91"/>
      <c r="C696" s="84"/>
      <c r="D696" s="90"/>
      <c r="E696" s="91"/>
      <c r="F696" s="84"/>
      <c r="G696" s="84"/>
      <c r="H696" s="90"/>
      <c r="I696" s="84"/>
      <c r="J696" s="91"/>
      <c r="K696" s="84"/>
      <c r="L696" s="84"/>
      <c r="M696" s="90"/>
      <c r="N696" s="84"/>
      <c r="O696" s="91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30.0" customHeight="1">
      <c r="A697" s="90"/>
      <c r="B697" s="91"/>
      <c r="C697" s="84"/>
      <c r="D697" s="90"/>
      <c r="E697" s="91"/>
      <c r="F697" s="84"/>
      <c r="G697" s="84"/>
      <c r="H697" s="90"/>
      <c r="I697" s="84"/>
      <c r="J697" s="91"/>
      <c r="K697" s="84"/>
      <c r="L697" s="84"/>
      <c r="M697" s="90"/>
      <c r="N697" s="84"/>
      <c r="O697" s="91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30.0" customHeight="1">
      <c r="A698" s="90"/>
      <c r="B698" s="91"/>
      <c r="C698" s="84"/>
      <c r="D698" s="90"/>
      <c r="E698" s="91"/>
      <c r="F698" s="84"/>
      <c r="G698" s="84"/>
      <c r="H698" s="90"/>
      <c r="I698" s="84"/>
      <c r="J698" s="91"/>
      <c r="K698" s="84"/>
      <c r="L698" s="84"/>
      <c r="M698" s="90"/>
      <c r="N698" s="84"/>
      <c r="O698" s="91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30.0" customHeight="1">
      <c r="A699" s="90"/>
      <c r="B699" s="91"/>
      <c r="C699" s="84"/>
      <c r="D699" s="90"/>
      <c r="E699" s="91"/>
      <c r="F699" s="84"/>
      <c r="G699" s="84"/>
      <c r="H699" s="90"/>
      <c r="I699" s="84"/>
      <c r="J699" s="91"/>
      <c r="K699" s="84"/>
      <c r="L699" s="84"/>
      <c r="M699" s="90"/>
      <c r="N699" s="84"/>
      <c r="O699" s="91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30.0" customHeight="1">
      <c r="A700" s="90"/>
      <c r="B700" s="91"/>
      <c r="C700" s="84"/>
      <c r="D700" s="90"/>
      <c r="E700" s="91"/>
      <c r="F700" s="84"/>
      <c r="G700" s="84"/>
      <c r="H700" s="90"/>
      <c r="I700" s="84"/>
      <c r="J700" s="91"/>
      <c r="K700" s="84"/>
      <c r="L700" s="84"/>
      <c r="M700" s="90"/>
      <c r="N700" s="84"/>
      <c r="O700" s="91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30.0" customHeight="1">
      <c r="A701" s="90"/>
      <c r="B701" s="91"/>
      <c r="C701" s="84"/>
      <c r="D701" s="90"/>
      <c r="E701" s="91"/>
      <c r="F701" s="84"/>
      <c r="G701" s="84"/>
      <c r="H701" s="90"/>
      <c r="I701" s="84"/>
      <c r="J701" s="91"/>
      <c r="K701" s="84"/>
      <c r="L701" s="84"/>
      <c r="M701" s="90"/>
      <c r="N701" s="84"/>
      <c r="O701" s="91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30.0" customHeight="1">
      <c r="A702" s="90"/>
      <c r="B702" s="91"/>
      <c r="C702" s="84"/>
      <c r="D702" s="90"/>
      <c r="E702" s="91"/>
      <c r="F702" s="84"/>
      <c r="G702" s="84"/>
      <c r="H702" s="90"/>
      <c r="I702" s="84"/>
      <c r="J702" s="91"/>
      <c r="K702" s="84"/>
      <c r="L702" s="84"/>
      <c r="M702" s="90"/>
      <c r="N702" s="84"/>
      <c r="O702" s="91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30.0" customHeight="1">
      <c r="A703" s="90"/>
      <c r="B703" s="91"/>
      <c r="C703" s="84"/>
      <c r="D703" s="90"/>
      <c r="E703" s="91"/>
      <c r="F703" s="84"/>
      <c r="G703" s="84"/>
      <c r="H703" s="90"/>
      <c r="I703" s="84"/>
      <c r="J703" s="91"/>
      <c r="K703" s="84"/>
      <c r="L703" s="84"/>
      <c r="M703" s="90"/>
      <c r="N703" s="84"/>
      <c r="O703" s="91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30.0" customHeight="1">
      <c r="A704" s="90"/>
      <c r="B704" s="91"/>
      <c r="C704" s="84"/>
      <c r="D704" s="90"/>
      <c r="E704" s="91"/>
      <c r="F704" s="84"/>
      <c r="G704" s="84"/>
      <c r="H704" s="90"/>
      <c r="I704" s="84"/>
      <c r="J704" s="91"/>
      <c r="K704" s="84"/>
      <c r="L704" s="84"/>
      <c r="M704" s="90"/>
      <c r="N704" s="84"/>
      <c r="O704" s="91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30.0" customHeight="1">
      <c r="A705" s="90"/>
      <c r="B705" s="91"/>
      <c r="C705" s="84"/>
      <c r="D705" s="90"/>
      <c r="E705" s="91"/>
      <c r="F705" s="84"/>
      <c r="G705" s="84"/>
      <c r="H705" s="90"/>
      <c r="I705" s="84"/>
      <c r="J705" s="91"/>
      <c r="K705" s="84"/>
      <c r="L705" s="84"/>
      <c r="M705" s="90"/>
      <c r="N705" s="84"/>
      <c r="O705" s="91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30.0" customHeight="1">
      <c r="A706" s="90"/>
      <c r="B706" s="91"/>
      <c r="C706" s="84"/>
      <c r="D706" s="90"/>
      <c r="E706" s="91"/>
      <c r="F706" s="84"/>
      <c r="G706" s="84"/>
      <c r="H706" s="90"/>
      <c r="I706" s="84"/>
      <c r="J706" s="91"/>
      <c r="K706" s="84"/>
      <c r="L706" s="84"/>
      <c r="M706" s="90"/>
      <c r="N706" s="84"/>
      <c r="O706" s="91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30.0" customHeight="1">
      <c r="A707" s="90"/>
      <c r="B707" s="91"/>
      <c r="C707" s="84"/>
      <c r="D707" s="90"/>
      <c r="E707" s="91"/>
      <c r="F707" s="84"/>
      <c r="G707" s="84"/>
      <c r="H707" s="90"/>
      <c r="I707" s="84"/>
      <c r="J707" s="91"/>
      <c r="K707" s="84"/>
      <c r="L707" s="84"/>
      <c r="M707" s="90"/>
      <c r="N707" s="84"/>
      <c r="O707" s="91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30.0" customHeight="1">
      <c r="A708" s="90"/>
      <c r="B708" s="91"/>
      <c r="C708" s="84"/>
      <c r="D708" s="90"/>
      <c r="E708" s="91"/>
      <c r="F708" s="84"/>
      <c r="G708" s="84"/>
      <c r="H708" s="90"/>
      <c r="I708" s="84"/>
      <c r="J708" s="91"/>
      <c r="K708" s="84"/>
      <c r="L708" s="84"/>
      <c r="M708" s="90"/>
      <c r="N708" s="84"/>
      <c r="O708" s="91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30.0" customHeight="1">
      <c r="A709" s="90"/>
      <c r="B709" s="91"/>
      <c r="C709" s="84"/>
      <c r="D709" s="90"/>
      <c r="E709" s="91"/>
      <c r="F709" s="84"/>
      <c r="G709" s="84"/>
      <c r="H709" s="90"/>
      <c r="I709" s="84"/>
      <c r="J709" s="91"/>
      <c r="K709" s="84"/>
      <c r="L709" s="84"/>
      <c r="M709" s="90"/>
      <c r="N709" s="84"/>
      <c r="O709" s="91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30.0" customHeight="1">
      <c r="A710" s="90"/>
      <c r="B710" s="91"/>
      <c r="C710" s="84"/>
      <c r="D710" s="90"/>
      <c r="E710" s="91"/>
      <c r="F710" s="84"/>
      <c r="G710" s="84"/>
      <c r="H710" s="90"/>
      <c r="I710" s="84"/>
      <c r="J710" s="91"/>
      <c r="K710" s="84"/>
      <c r="L710" s="84"/>
      <c r="M710" s="90"/>
      <c r="N710" s="84"/>
      <c r="O710" s="91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30.0" customHeight="1">
      <c r="A711" s="90"/>
      <c r="B711" s="91"/>
      <c r="C711" s="84"/>
      <c r="D711" s="90"/>
      <c r="E711" s="91"/>
      <c r="F711" s="84"/>
      <c r="G711" s="84"/>
      <c r="H711" s="90"/>
      <c r="I711" s="84"/>
      <c r="J711" s="91"/>
      <c r="K711" s="84"/>
      <c r="L711" s="84"/>
      <c r="M711" s="90"/>
      <c r="N711" s="84"/>
      <c r="O711" s="91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30.0" customHeight="1">
      <c r="A712" s="90"/>
      <c r="B712" s="91"/>
      <c r="C712" s="84"/>
      <c r="D712" s="90"/>
      <c r="E712" s="91"/>
      <c r="F712" s="84"/>
      <c r="G712" s="84"/>
      <c r="H712" s="90"/>
      <c r="I712" s="84"/>
      <c r="J712" s="91"/>
      <c r="K712" s="84"/>
      <c r="L712" s="84"/>
      <c r="M712" s="90"/>
      <c r="N712" s="84"/>
      <c r="O712" s="91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30.0" customHeight="1">
      <c r="A713" s="90"/>
      <c r="B713" s="91"/>
      <c r="C713" s="84"/>
      <c r="D713" s="90"/>
      <c r="E713" s="91"/>
      <c r="F713" s="84"/>
      <c r="G713" s="84"/>
      <c r="H713" s="90"/>
      <c r="I713" s="84"/>
      <c r="J713" s="91"/>
      <c r="K713" s="84"/>
      <c r="L713" s="84"/>
      <c r="M713" s="90"/>
      <c r="N713" s="84"/>
      <c r="O713" s="91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30.0" customHeight="1">
      <c r="A714" s="90"/>
      <c r="B714" s="91"/>
      <c r="C714" s="84"/>
      <c r="D714" s="90"/>
      <c r="E714" s="91"/>
      <c r="F714" s="84"/>
      <c r="G714" s="84"/>
      <c r="H714" s="90"/>
      <c r="I714" s="84"/>
      <c r="J714" s="91"/>
      <c r="K714" s="84"/>
      <c r="L714" s="84"/>
      <c r="M714" s="90"/>
      <c r="N714" s="84"/>
      <c r="O714" s="91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30.0" customHeight="1">
      <c r="A715" s="90"/>
      <c r="B715" s="91"/>
      <c r="C715" s="84"/>
      <c r="D715" s="90"/>
      <c r="E715" s="91"/>
      <c r="F715" s="84"/>
      <c r="G715" s="84"/>
      <c r="H715" s="90"/>
      <c r="I715" s="84"/>
      <c r="J715" s="91"/>
      <c r="K715" s="84"/>
      <c r="L715" s="84"/>
      <c r="M715" s="90"/>
      <c r="N715" s="84"/>
      <c r="O715" s="91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30.0" customHeight="1">
      <c r="A716" s="90"/>
      <c r="B716" s="91"/>
      <c r="C716" s="84"/>
      <c r="D716" s="90"/>
      <c r="E716" s="91"/>
      <c r="F716" s="84"/>
      <c r="G716" s="84"/>
      <c r="H716" s="90"/>
      <c r="I716" s="84"/>
      <c r="J716" s="91"/>
      <c r="K716" s="84"/>
      <c r="L716" s="84"/>
      <c r="M716" s="90"/>
      <c r="N716" s="84"/>
      <c r="O716" s="91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30.0" customHeight="1">
      <c r="A717" s="90"/>
      <c r="B717" s="91"/>
      <c r="C717" s="84"/>
      <c r="D717" s="90"/>
      <c r="E717" s="91"/>
      <c r="F717" s="84"/>
      <c r="G717" s="84"/>
      <c r="H717" s="90"/>
      <c r="I717" s="84"/>
      <c r="J717" s="91"/>
      <c r="K717" s="84"/>
      <c r="L717" s="84"/>
      <c r="M717" s="90"/>
      <c r="N717" s="84"/>
      <c r="O717" s="91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30.0" customHeight="1">
      <c r="A718" s="90"/>
      <c r="B718" s="91"/>
      <c r="C718" s="84"/>
      <c r="D718" s="90"/>
      <c r="E718" s="91"/>
      <c r="F718" s="84"/>
      <c r="G718" s="84"/>
      <c r="H718" s="90"/>
      <c r="I718" s="84"/>
      <c r="J718" s="91"/>
      <c r="K718" s="84"/>
      <c r="L718" s="84"/>
      <c r="M718" s="90"/>
      <c r="N718" s="84"/>
      <c r="O718" s="91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30.0" customHeight="1">
      <c r="A719" s="90"/>
      <c r="B719" s="91"/>
      <c r="C719" s="84"/>
      <c r="D719" s="90"/>
      <c r="E719" s="91"/>
      <c r="F719" s="84"/>
      <c r="G719" s="84"/>
      <c r="H719" s="90"/>
      <c r="I719" s="84"/>
      <c r="J719" s="91"/>
      <c r="K719" s="84"/>
      <c r="L719" s="84"/>
      <c r="M719" s="90"/>
      <c r="N719" s="84"/>
      <c r="O719" s="91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30.0" customHeight="1">
      <c r="A720" s="90"/>
      <c r="B720" s="91"/>
      <c r="C720" s="84"/>
      <c r="D720" s="90"/>
      <c r="E720" s="91"/>
      <c r="F720" s="84"/>
      <c r="G720" s="84"/>
      <c r="H720" s="90"/>
      <c r="I720" s="84"/>
      <c r="J720" s="91"/>
      <c r="K720" s="84"/>
      <c r="L720" s="84"/>
      <c r="M720" s="90"/>
      <c r="N720" s="84"/>
      <c r="O720" s="91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30.0" customHeight="1">
      <c r="A721" s="90"/>
      <c r="B721" s="91"/>
      <c r="C721" s="84"/>
      <c r="D721" s="90"/>
      <c r="E721" s="91"/>
      <c r="F721" s="84"/>
      <c r="G721" s="84"/>
      <c r="H721" s="90"/>
      <c r="I721" s="84"/>
      <c r="J721" s="91"/>
      <c r="K721" s="84"/>
      <c r="L721" s="84"/>
      <c r="M721" s="90"/>
      <c r="N721" s="84"/>
      <c r="O721" s="91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30.0" customHeight="1">
      <c r="A722" s="90"/>
      <c r="B722" s="91"/>
      <c r="C722" s="84"/>
      <c r="D722" s="90"/>
      <c r="E722" s="91"/>
      <c r="F722" s="84"/>
      <c r="G722" s="84"/>
      <c r="H722" s="90"/>
      <c r="I722" s="84"/>
      <c r="J722" s="91"/>
      <c r="K722" s="84"/>
      <c r="L722" s="84"/>
      <c r="M722" s="90"/>
      <c r="N722" s="84"/>
      <c r="O722" s="91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30.0" customHeight="1">
      <c r="A723" s="90"/>
      <c r="B723" s="91"/>
      <c r="C723" s="84"/>
      <c r="D723" s="90"/>
      <c r="E723" s="91"/>
      <c r="F723" s="84"/>
      <c r="G723" s="84"/>
      <c r="H723" s="90"/>
      <c r="I723" s="84"/>
      <c r="J723" s="91"/>
      <c r="K723" s="84"/>
      <c r="L723" s="84"/>
      <c r="M723" s="90"/>
      <c r="N723" s="84"/>
      <c r="O723" s="91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30.0" customHeight="1">
      <c r="A724" s="90"/>
      <c r="B724" s="91"/>
      <c r="C724" s="84"/>
      <c r="D724" s="90"/>
      <c r="E724" s="91"/>
      <c r="F724" s="84"/>
      <c r="G724" s="84"/>
      <c r="H724" s="90"/>
      <c r="I724" s="84"/>
      <c r="J724" s="91"/>
      <c r="K724" s="84"/>
      <c r="L724" s="84"/>
      <c r="M724" s="90"/>
      <c r="N724" s="84"/>
      <c r="O724" s="91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30.0" customHeight="1">
      <c r="A725" s="90"/>
      <c r="B725" s="91"/>
      <c r="C725" s="84"/>
      <c r="D725" s="90"/>
      <c r="E725" s="91"/>
      <c r="F725" s="84"/>
      <c r="G725" s="84"/>
      <c r="H725" s="90"/>
      <c r="I725" s="84"/>
      <c r="J725" s="91"/>
      <c r="K725" s="84"/>
      <c r="L725" s="84"/>
      <c r="M725" s="90"/>
      <c r="N725" s="84"/>
      <c r="O725" s="91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30.0" customHeight="1">
      <c r="A726" s="90"/>
      <c r="B726" s="91"/>
      <c r="C726" s="84"/>
      <c r="D726" s="90"/>
      <c r="E726" s="91"/>
      <c r="F726" s="84"/>
      <c r="G726" s="84"/>
      <c r="H726" s="90"/>
      <c r="I726" s="84"/>
      <c r="J726" s="91"/>
      <c r="K726" s="84"/>
      <c r="L726" s="84"/>
      <c r="M726" s="90"/>
      <c r="N726" s="84"/>
      <c r="O726" s="91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30.0" customHeight="1">
      <c r="A727" s="90"/>
      <c r="B727" s="91"/>
      <c r="C727" s="84"/>
      <c r="D727" s="90"/>
      <c r="E727" s="91"/>
      <c r="F727" s="84"/>
      <c r="G727" s="84"/>
      <c r="H727" s="90"/>
      <c r="I727" s="84"/>
      <c r="J727" s="91"/>
      <c r="K727" s="84"/>
      <c r="L727" s="84"/>
      <c r="M727" s="90"/>
      <c r="N727" s="84"/>
      <c r="O727" s="91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30.0" customHeight="1">
      <c r="A728" s="90"/>
      <c r="B728" s="91"/>
      <c r="C728" s="84"/>
      <c r="D728" s="90"/>
      <c r="E728" s="91"/>
      <c r="F728" s="84"/>
      <c r="G728" s="84"/>
      <c r="H728" s="90"/>
      <c r="I728" s="84"/>
      <c r="J728" s="91"/>
      <c r="K728" s="84"/>
      <c r="L728" s="84"/>
      <c r="M728" s="90"/>
      <c r="N728" s="84"/>
      <c r="O728" s="91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30.0" customHeight="1">
      <c r="A729" s="90"/>
      <c r="B729" s="91"/>
      <c r="C729" s="84"/>
      <c r="D729" s="90"/>
      <c r="E729" s="91"/>
      <c r="F729" s="84"/>
      <c r="G729" s="84"/>
      <c r="H729" s="90"/>
      <c r="I729" s="84"/>
      <c r="J729" s="91"/>
      <c r="K729" s="84"/>
      <c r="L729" s="84"/>
      <c r="M729" s="90"/>
      <c r="N729" s="84"/>
      <c r="O729" s="91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30.0" customHeight="1">
      <c r="A730" s="90"/>
      <c r="B730" s="91"/>
      <c r="C730" s="84"/>
      <c r="D730" s="90"/>
      <c r="E730" s="91"/>
      <c r="F730" s="84"/>
      <c r="G730" s="84"/>
      <c r="H730" s="90"/>
      <c r="I730" s="84"/>
      <c r="J730" s="91"/>
      <c r="K730" s="84"/>
      <c r="L730" s="84"/>
      <c r="M730" s="90"/>
      <c r="N730" s="84"/>
      <c r="O730" s="91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30.0" customHeight="1">
      <c r="A731" s="90"/>
      <c r="B731" s="91"/>
      <c r="C731" s="84"/>
      <c r="D731" s="90"/>
      <c r="E731" s="91"/>
      <c r="F731" s="84"/>
      <c r="G731" s="84"/>
      <c r="H731" s="90"/>
      <c r="I731" s="84"/>
      <c r="J731" s="91"/>
      <c r="K731" s="84"/>
      <c r="L731" s="84"/>
      <c r="M731" s="90"/>
      <c r="N731" s="84"/>
      <c r="O731" s="91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30.0" customHeight="1">
      <c r="A732" s="90"/>
      <c r="B732" s="91"/>
      <c r="C732" s="84"/>
      <c r="D732" s="90"/>
      <c r="E732" s="91"/>
      <c r="F732" s="84"/>
      <c r="G732" s="84"/>
      <c r="H732" s="90"/>
      <c r="I732" s="84"/>
      <c r="J732" s="91"/>
      <c r="K732" s="84"/>
      <c r="L732" s="84"/>
      <c r="M732" s="90"/>
      <c r="N732" s="84"/>
      <c r="O732" s="91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30.0" customHeight="1">
      <c r="A733" s="90"/>
      <c r="B733" s="91"/>
      <c r="C733" s="84"/>
      <c r="D733" s="90"/>
      <c r="E733" s="91"/>
      <c r="F733" s="84"/>
      <c r="G733" s="84"/>
      <c r="H733" s="90"/>
      <c r="I733" s="84"/>
      <c r="J733" s="91"/>
      <c r="K733" s="84"/>
      <c r="L733" s="84"/>
      <c r="M733" s="90"/>
      <c r="N733" s="84"/>
      <c r="O733" s="91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30.0" customHeight="1">
      <c r="A734" s="90"/>
      <c r="B734" s="91"/>
      <c r="C734" s="84"/>
      <c r="D734" s="90"/>
      <c r="E734" s="91"/>
      <c r="F734" s="84"/>
      <c r="G734" s="84"/>
      <c r="H734" s="90"/>
      <c r="I734" s="84"/>
      <c r="J734" s="91"/>
      <c r="K734" s="84"/>
      <c r="L734" s="84"/>
      <c r="M734" s="90"/>
      <c r="N734" s="84"/>
      <c r="O734" s="91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30.0" customHeight="1">
      <c r="A735" s="90"/>
      <c r="B735" s="91"/>
      <c r="C735" s="84"/>
      <c r="D735" s="90"/>
      <c r="E735" s="91"/>
      <c r="F735" s="84"/>
      <c r="G735" s="84"/>
      <c r="H735" s="90"/>
      <c r="I735" s="84"/>
      <c r="J735" s="91"/>
      <c r="K735" s="84"/>
      <c r="L735" s="84"/>
      <c r="M735" s="90"/>
      <c r="N735" s="84"/>
      <c r="O735" s="91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30.0" customHeight="1">
      <c r="A736" s="90"/>
      <c r="B736" s="91"/>
      <c r="C736" s="84"/>
      <c r="D736" s="90"/>
      <c r="E736" s="91"/>
      <c r="F736" s="84"/>
      <c r="G736" s="84"/>
      <c r="H736" s="90"/>
      <c r="I736" s="84"/>
      <c r="J736" s="91"/>
      <c r="K736" s="84"/>
      <c r="L736" s="84"/>
      <c r="M736" s="90"/>
      <c r="N736" s="84"/>
      <c r="O736" s="91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30.0" customHeight="1">
      <c r="A737" s="90"/>
      <c r="B737" s="91"/>
      <c r="C737" s="84"/>
      <c r="D737" s="90"/>
      <c r="E737" s="91"/>
      <c r="F737" s="84"/>
      <c r="G737" s="84"/>
      <c r="H737" s="90"/>
      <c r="I737" s="84"/>
      <c r="J737" s="91"/>
      <c r="K737" s="84"/>
      <c r="L737" s="84"/>
      <c r="M737" s="90"/>
      <c r="N737" s="84"/>
      <c r="O737" s="91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30.0" customHeight="1">
      <c r="A738" s="90"/>
      <c r="B738" s="91"/>
      <c r="C738" s="84"/>
      <c r="D738" s="90"/>
      <c r="E738" s="91"/>
      <c r="F738" s="84"/>
      <c r="G738" s="84"/>
      <c r="H738" s="90"/>
      <c r="I738" s="84"/>
      <c r="J738" s="91"/>
      <c r="K738" s="84"/>
      <c r="L738" s="84"/>
      <c r="M738" s="90"/>
      <c r="N738" s="84"/>
      <c r="O738" s="91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30.0" customHeight="1">
      <c r="A739" s="90"/>
      <c r="B739" s="91"/>
      <c r="C739" s="84"/>
      <c r="D739" s="90"/>
      <c r="E739" s="91"/>
      <c r="F739" s="84"/>
      <c r="G739" s="84"/>
      <c r="H739" s="90"/>
      <c r="I739" s="84"/>
      <c r="J739" s="91"/>
      <c r="K739" s="84"/>
      <c r="L739" s="84"/>
      <c r="M739" s="90"/>
      <c r="N739" s="84"/>
      <c r="O739" s="91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30.0" customHeight="1">
      <c r="A740" s="90"/>
      <c r="B740" s="91"/>
      <c r="C740" s="84"/>
      <c r="D740" s="90"/>
      <c r="E740" s="91"/>
      <c r="F740" s="84"/>
      <c r="G740" s="84"/>
      <c r="H740" s="90"/>
      <c r="I740" s="84"/>
      <c r="J740" s="91"/>
      <c r="K740" s="84"/>
      <c r="L740" s="84"/>
      <c r="M740" s="90"/>
      <c r="N740" s="84"/>
      <c r="O740" s="91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30.0" customHeight="1">
      <c r="A741" s="90"/>
      <c r="B741" s="91"/>
      <c r="C741" s="84"/>
      <c r="D741" s="90"/>
      <c r="E741" s="91"/>
      <c r="F741" s="84"/>
      <c r="G741" s="84"/>
      <c r="H741" s="90"/>
      <c r="I741" s="84"/>
      <c r="J741" s="91"/>
      <c r="K741" s="84"/>
      <c r="L741" s="84"/>
      <c r="M741" s="90"/>
      <c r="N741" s="84"/>
      <c r="O741" s="91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30.0" customHeight="1">
      <c r="A742" s="90"/>
      <c r="B742" s="91"/>
      <c r="C742" s="84"/>
      <c r="D742" s="90"/>
      <c r="E742" s="91"/>
      <c r="F742" s="84"/>
      <c r="G742" s="84"/>
      <c r="H742" s="90"/>
      <c r="I742" s="84"/>
      <c r="J742" s="91"/>
      <c r="K742" s="84"/>
      <c r="L742" s="84"/>
      <c r="M742" s="90"/>
      <c r="N742" s="84"/>
      <c r="O742" s="91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30.0" customHeight="1">
      <c r="A743" s="90"/>
      <c r="B743" s="91"/>
      <c r="C743" s="84"/>
      <c r="D743" s="90"/>
      <c r="E743" s="91"/>
      <c r="F743" s="84"/>
      <c r="G743" s="84"/>
      <c r="H743" s="90"/>
      <c r="I743" s="84"/>
      <c r="J743" s="91"/>
      <c r="K743" s="84"/>
      <c r="L743" s="84"/>
      <c r="M743" s="90"/>
      <c r="N743" s="84"/>
      <c r="O743" s="91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30.0" customHeight="1">
      <c r="A744" s="90"/>
      <c r="B744" s="91"/>
      <c r="C744" s="84"/>
      <c r="D744" s="90"/>
      <c r="E744" s="91"/>
      <c r="F744" s="84"/>
      <c r="G744" s="84"/>
      <c r="H744" s="90"/>
      <c r="I744" s="84"/>
      <c r="J744" s="91"/>
      <c r="K744" s="84"/>
      <c r="L744" s="84"/>
      <c r="M744" s="90"/>
      <c r="N744" s="84"/>
      <c r="O744" s="91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30.0" customHeight="1">
      <c r="A745" s="90"/>
      <c r="B745" s="91"/>
      <c r="C745" s="84"/>
      <c r="D745" s="90"/>
      <c r="E745" s="91"/>
      <c r="F745" s="84"/>
      <c r="G745" s="84"/>
      <c r="H745" s="90"/>
      <c r="I745" s="84"/>
      <c r="J745" s="91"/>
      <c r="K745" s="84"/>
      <c r="L745" s="84"/>
      <c r="M745" s="90"/>
      <c r="N745" s="84"/>
      <c r="O745" s="91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30.0" customHeight="1">
      <c r="A746" s="90"/>
      <c r="B746" s="91"/>
      <c r="C746" s="84"/>
      <c r="D746" s="90"/>
      <c r="E746" s="91"/>
      <c r="F746" s="84"/>
      <c r="G746" s="84"/>
      <c r="H746" s="90"/>
      <c r="I746" s="84"/>
      <c r="J746" s="91"/>
      <c r="K746" s="84"/>
      <c r="L746" s="84"/>
      <c r="M746" s="90"/>
      <c r="N746" s="84"/>
      <c r="O746" s="91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30.0" customHeight="1">
      <c r="A747" s="90"/>
      <c r="B747" s="91"/>
      <c r="C747" s="84"/>
      <c r="D747" s="90"/>
      <c r="E747" s="91"/>
      <c r="F747" s="84"/>
      <c r="G747" s="84"/>
      <c r="H747" s="90"/>
      <c r="I747" s="84"/>
      <c r="J747" s="91"/>
      <c r="K747" s="84"/>
      <c r="L747" s="84"/>
      <c r="M747" s="90"/>
      <c r="N747" s="84"/>
      <c r="O747" s="91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30.0" customHeight="1">
      <c r="A748" s="90"/>
      <c r="B748" s="91"/>
      <c r="C748" s="84"/>
      <c r="D748" s="90"/>
      <c r="E748" s="91"/>
      <c r="F748" s="84"/>
      <c r="G748" s="84"/>
      <c r="H748" s="90"/>
      <c r="I748" s="84"/>
      <c r="J748" s="91"/>
      <c r="K748" s="84"/>
      <c r="L748" s="84"/>
      <c r="M748" s="90"/>
      <c r="N748" s="84"/>
      <c r="O748" s="91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30.0" customHeight="1">
      <c r="A749" s="90"/>
      <c r="B749" s="91"/>
      <c r="C749" s="84"/>
      <c r="D749" s="90"/>
      <c r="E749" s="91"/>
      <c r="F749" s="84"/>
      <c r="G749" s="84"/>
      <c r="H749" s="90"/>
      <c r="I749" s="84"/>
      <c r="J749" s="91"/>
      <c r="K749" s="84"/>
      <c r="L749" s="84"/>
      <c r="M749" s="90"/>
      <c r="N749" s="84"/>
      <c r="O749" s="91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30.0" customHeight="1">
      <c r="A750" s="90"/>
      <c r="B750" s="91"/>
      <c r="C750" s="84"/>
      <c r="D750" s="90"/>
      <c r="E750" s="91"/>
      <c r="F750" s="84"/>
      <c r="G750" s="84"/>
      <c r="H750" s="90"/>
      <c r="I750" s="84"/>
      <c r="J750" s="91"/>
      <c r="K750" s="84"/>
      <c r="L750" s="84"/>
      <c r="M750" s="90"/>
      <c r="N750" s="84"/>
      <c r="O750" s="91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30.0" customHeight="1">
      <c r="A751" s="90"/>
      <c r="B751" s="91"/>
      <c r="C751" s="84"/>
      <c r="D751" s="90"/>
      <c r="E751" s="91"/>
      <c r="F751" s="84"/>
      <c r="G751" s="84"/>
      <c r="H751" s="90"/>
      <c r="I751" s="84"/>
      <c r="J751" s="91"/>
      <c r="K751" s="84"/>
      <c r="L751" s="84"/>
      <c r="M751" s="90"/>
      <c r="N751" s="84"/>
      <c r="O751" s="91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30.0" customHeight="1">
      <c r="A752" s="90"/>
      <c r="B752" s="91"/>
      <c r="C752" s="84"/>
      <c r="D752" s="90"/>
      <c r="E752" s="91"/>
      <c r="F752" s="84"/>
      <c r="G752" s="84"/>
      <c r="H752" s="90"/>
      <c r="I752" s="84"/>
      <c r="J752" s="91"/>
      <c r="K752" s="84"/>
      <c r="L752" s="84"/>
      <c r="M752" s="90"/>
      <c r="N752" s="84"/>
      <c r="O752" s="91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30.0" customHeight="1">
      <c r="A753" s="90"/>
      <c r="B753" s="91"/>
      <c r="C753" s="84"/>
      <c r="D753" s="90"/>
      <c r="E753" s="91"/>
      <c r="F753" s="84"/>
      <c r="G753" s="84"/>
      <c r="H753" s="90"/>
      <c r="I753" s="84"/>
      <c r="J753" s="91"/>
      <c r="K753" s="84"/>
      <c r="L753" s="84"/>
      <c r="M753" s="90"/>
      <c r="N753" s="84"/>
      <c r="O753" s="91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30.0" customHeight="1">
      <c r="A754" s="90"/>
      <c r="B754" s="91"/>
      <c r="C754" s="84"/>
      <c r="D754" s="90"/>
      <c r="E754" s="91"/>
      <c r="F754" s="84"/>
      <c r="G754" s="84"/>
      <c r="H754" s="90"/>
      <c r="I754" s="84"/>
      <c r="J754" s="91"/>
      <c r="K754" s="84"/>
      <c r="L754" s="84"/>
      <c r="M754" s="90"/>
      <c r="N754" s="84"/>
      <c r="O754" s="91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30.0" customHeight="1">
      <c r="A755" s="90"/>
      <c r="B755" s="91"/>
      <c r="C755" s="84"/>
      <c r="D755" s="90"/>
      <c r="E755" s="91"/>
      <c r="F755" s="84"/>
      <c r="G755" s="84"/>
      <c r="H755" s="90"/>
      <c r="I755" s="84"/>
      <c r="J755" s="91"/>
      <c r="K755" s="84"/>
      <c r="L755" s="84"/>
      <c r="M755" s="90"/>
      <c r="N755" s="84"/>
      <c r="O755" s="91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30.0" customHeight="1">
      <c r="A756" s="90"/>
      <c r="B756" s="91"/>
      <c r="C756" s="84"/>
      <c r="D756" s="90"/>
      <c r="E756" s="91"/>
      <c r="F756" s="84"/>
      <c r="G756" s="84"/>
      <c r="H756" s="90"/>
      <c r="I756" s="84"/>
      <c r="J756" s="91"/>
      <c r="K756" s="84"/>
      <c r="L756" s="84"/>
      <c r="M756" s="90"/>
      <c r="N756" s="84"/>
      <c r="O756" s="91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30.0" customHeight="1">
      <c r="A757" s="90"/>
      <c r="B757" s="91"/>
      <c r="C757" s="84"/>
      <c r="D757" s="90"/>
      <c r="E757" s="91"/>
      <c r="F757" s="84"/>
      <c r="G757" s="84"/>
      <c r="H757" s="90"/>
      <c r="I757" s="84"/>
      <c r="J757" s="91"/>
      <c r="K757" s="84"/>
      <c r="L757" s="84"/>
      <c r="M757" s="90"/>
      <c r="N757" s="84"/>
      <c r="O757" s="91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30.0" customHeight="1">
      <c r="A758" s="90"/>
      <c r="B758" s="91"/>
      <c r="C758" s="84"/>
      <c r="D758" s="90"/>
      <c r="E758" s="91"/>
      <c r="F758" s="84"/>
      <c r="G758" s="84"/>
      <c r="H758" s="90"/>
      <c r="I758" s="84"/>
      <c r="J758" s="91"/>
      <c r="K758" s="84"/>
      <c r="L758" s="84"/>
      <c r="M758" s="90"/>
      <c r="N758" s="84"/>
      <c r="O758" s="91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30.0" customHeight="1">
      <c r="A759" s="90"/>
      <c r="B759" s="91"/>
      <c r="C759" s="84"/>
      <c r="D759" s="90"/>
      <c r="E759" s="91"/>
      <c r="F759" s="84"/>
      <c r="G759" s="84"/>
      <c r="H759" s="90"/>
      <c r="I759" s="84"/>
      <c r="J759" s="91"/>
      <c r="K759" s="84"/>
      <c r="L759" s="84"/>
      <c r="M759" s="90"/>
      <c r="N759" s="84"/>
      <c r="O759" s="91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30.0" customHeight="1">
      <c r="A760" s="90"/>
      <c r="B760" s="91"/>
      <c r="C760" s="84"/>
      <c r="D760" s="90"/>
      <c r="E760" s="91"/>
      <c r="F760" s="84"/>
      <c r="G760" s="84"/>
      <c r="H760" s="90"/>
      <c r="I760" s="84"/>
      <c r="J760" s="91"/>
      <c r="K760" s="84"/>
      <c r="L760" s="84"/>
      <c r="M760" s="90"/>
      <c r="N760" s="84"/>
      <c r="O760" s="91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30.0" customHeight="1">
      <c r="A761" s="90"/>
      <c r="B761" s="91"/>
      <c r="C761" s="84"/>
      <c r="D761" s="90"/>
      <c r="E761" s="91"/>
      <c r="F761" s="84"/>
      <c r="G761" s="84"/>
      <c r="H761" s="90"/>
      <c r="I761" s="84"/>
      <c r="J761" s="91"/>
      <c r="K761" s="84"/>
      <c r="L761" s="84"/>
      <c r="M761" s="90"/>
      <c r="N761" s="84"/>
      <c r="O761" s="91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30.0" customHeight="1">
      <c r="A762" s="90"/>
      <c r="B762" s="91"/>
      <c r="C762" s="84"/>
      <c r="D762" s="90"/>
      <c r="E762" s="91"/>
      <c r="F762" s="84"/>
      <c r="G762" s="84"/>
      <c r="H762" s="90"/>
      <c r="I762" s="84"/>
      <c r="J762" s="91"/>
      <c r="K762" s="84"/>
      <c r="L762" s="84"/>
      <c r="M762" s="90"/>
      <c r="N762" s="84"/>
      <c r="O762" s="91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30.0" customHeight="1">
      <c r="A763" s="90"/>
      <c r="B763" s="91"/>
      <c r="C763" s="84"/>
      <c r="D763" s="90"/>
      <c r="E763" s="91"/>
      <c r="F763" s="84"/>
      <c r="G763" s="84"/>
      <c r="H763" s="90"/>
      <c r="I763" s="84"/>
      <c r="J763" s="91"/>
      <c r="K763" s="84"/>
      <c r="L763" s="84"/>
      <c r="M763" s="90"/>
      <c r="N763" s="84"/>
      <c r="O763" s="91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30.0" customHeight="1">
      <c r="A764" s="90"/>
      <c r="B764" s="91"/>
      <c r="C764" s="84"/>
      <c r="D764" s="90"/>
      <c r="E764" s="91"/>
      <c r="F764" s="84"/>
      <c r="G764" s="84"/>
      <c r="H764" s="90"/>
      <c r="I764" s="84"/>
      <c r="J764" s="91"/>
      <c r="K764" s="84"/>
      <c r="L764" s="84"/>
      <c r="M764" s="90"/>
      <c r="N764" s="84"/>
      <c r="O764" s="91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30.0" customHeight="1">
      <c r="A765" s="90"/>
      <c r="B765" s="91"/>
      <c r="C765" s="84"/>
      <c r="D765" s="90"/>
      <c r="E765" s="91"/>
      <c r="F765" s="84"/>
      <c r="G765" s="84"/>
      <c r="H765" s="90"/>
      <c r="I765" s="84"/>
      <c r="J765" s="91"/>
      <c r="K765" s="84"/>
      <c r="L765" s="84"/>
      <c r="M765" s="90"/>
      <c r="N765" s="84"/>
      <c r="O765" s="91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30.0" customHeight="1">
      <c r="A766" s="90"/>
      <c r="B766" s="91"/>
      <c r="C766" s="84"/>
      <c r="D766" s="90"/>
      <c r="E766" s="91"/>
      <c r="F766" s="84"/>
      <c r="G766" s="84"/>
      <c r="H766" s="90"/>
      <c r="I766" s="84"/>
      <c r="J766" s="91"/>
      <c r="K766" s="84"/>
      <c r="L766" s="84"/>
      <c r="M766" s="90"/>
      <c r="N766" s="84"/>
      <c r="O766" s="91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30.0" customHeight="1">
      <c r="A767" s="90"/>
      <c r="B767" s="91"/>
      <c r="C767" s="84"/>
      <c r="D767" s="90"/>
      <c r="E767" s="91"/>
      <c r="F767" s="84"/>
      <c r="G767" s="84"/>
      <c r="H767" s="90"/>
      <c r="I767" s="84"/>
      <c r="J767" s="91"/>
      <c r="K767" s="84"/>
      <c r="L767" s="84"/>
      <c r="M767" s="90"/>
      <c r="N767" s="84"/>
      <c r="O767" s="91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30.0" customHeight="1">
      <c r="A768" s="90"/>
      <c r="B768" s="91"/>
      <c r="C768" s="84"/>
      <c r="D768" s="90"/>
      <c r="E768" s="91"/>
      <c r="F768" s="84"/>
      <c r="G768" s="84"/>
      <c r="H768" s="90"/>
      <c r="I768" s="84"/>
      <c r="J768" s="91"/>
      <c r="K768" s="84"/>
      <c r="L768" s="84"/>
      <c r="M768" s="90"/>
      <c r="N768" s="84"/>
      <c r="O768" s="91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30.0" customHeight="1">
      <c r="A769" s="90"/>
      <c r="B769" s="91"/>
      <c r="C769" s="84"/>
      <c r="D769" s="90"/>
      <c r="E769" s="91"/>
      <c r="F769" s="84"/>
      <c r="G769" s="84"/>
      <c r="H769" s="90"/>
      <c r="I769" s="84"/>
      <c r="J769" s="91"/>
      <c r="K769" s="84"/>
      <c r="L769" s="84"/>
      <c r="M769" s="90"/>
      <c r="N769" s="84"/>
      <c r="O769" s="91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30.0" customHeight="1">
      <c r="A770" s="90"/>
      <c r="B770" s="91"/>
      <c r="C770" s="84"/>
      <c r="D770" s="90"/>
      <c r="E770" s="91"/>
      <c r="F770" s="84"/>
      <c r="G770" s="84"/>
      <c r="H770" s="90"/>
      <c r="I770" s="84"/>
      <c r="J770" s="91"/>
      <c r="K770" s="84"/>
      <c r="L770" s="84"/>
      <c r="M770" s="90"/>
      <c r="N770" s="84"/>
      <c r="O770" s="91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30.0" customHeight="1">
      <c r="A771" s="90"/>
      <c r="B771" s="91"/>
      <c r="C771" s="84"/>
      <c r="D771" s="90"/>
      <c r="E771" s="91"/>
      <c r="F771" s="84"/>
      <c r="G771" s="84"/>
      <c r="H771" s="90"/>
      <c r="I771" s="84"/>
      <c r="J771" s="91"/>
      <c r="K771" s="84"/>
      <c r="L771" s="84"/>
      <c r="M771" s="90"/>
      <c r="N771" s="84"/>
      <c r="O771" s="91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30.0" customHeight="1">
      <c r="A772" s="90"/>
      <c r="B772" s="91"/>
      <c r="C772" s="84"/>
      <c r="D772" s="90"/>
      <c r="E772" s="91"/>
      <c r="F772" s="84"/>
      <c r="G772" s="84"/>
      <c r="H772" s="90"/>
      <c r="I772" s="84"/>
      <c r="J772" s="91"/>
      <c r="K772" s="84"/>
      <c r="L772" s="84"/>
      <c r="M772" s="90"/>
      <c r="N772" s="84"/>
      <c r="O772" s="91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30.0" customHeight="1">
      <c r="A773" s="90"/>
      <c r="B773" s="91"/>
      <c r="C773" s="84"/>
      <c r="D773" s="90"/>
      <c r="E773" s="91"/>
      <c r="F773" s="84"/>
      <c r="G773" s="84"/>
      <c r="H773" s="90"/>
      <c r="I773" s="84"/>
      <c r="J773" s="91"/>
      <c r="K773" s="84"/>
      <c r="L773" s="84"/>
      <c r="M773" s="90"/>
      <c r="N773" s="84"/>
      <c r="O773" s="91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30.0" customHeight="1">
      <c r="A774" s="90"/>
      <c r="B774" s="91"/>
      <c r="C774" s="84"/>
      <c r="D774" s="90"/>
      <c r="E774" s="91"/>
      <c r="F774" s="84"/>
      <c r="G774" s="84"/>
      <c r="H774" s="90"/>
      <c r="I774" s="84"/>
      <c r="J774" s="91"/>
      <c r="K774" s="84"/>
      <c r="L774" s="84"/>
      <c r="M774" s="90"/>
      <c r="N774" s="84"/>
      <c r="O774" s="91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30.0" customHeight="1">
      <c r="A775" s="90"/>
      <c r="B775" s="91"/>
      <c r="C775" s="84"/>
      <c r="D775" s="90"/>
      <c r="E775" s="91"/>
      <c r="F775" s="84"/>
      <c r="G775" s="84"/>
      <c r="H775" s="90"/>
      <c r="I775" s="84"/>
      <c r="J775" s="91"/>
      <c r="K775" s="84"/>
      <c r="L775" s="84"/>
      <c r="M775" s="90"/>
      <c r="N775" s="84"/>
      <c r="O775" s="91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30.0" customHeight="1">
      <c r="A776" s="90"/>
      <c r="B776" s="91"/>
      <c r="C776" s="84"/>
      <c r="D776" s="90"/>
      <c r="E776" s="91"/>
      <c r="F776" s="84"/>
      <c r="G776" s="84"/>
      <c r="H776" s="90"/>
      <c r="I776" s="84"/>
      <c r="J776" s="91"/>
      <c r="K776" s="84"/>
      <c r="L776" s="84"/>
      <c r="M776" s="90"/>
      <c r="N776" s="84"/>
      <c r="O776" s="91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30.0" customHeight="1">
      <c r="A777" s="90"/>
      <c r="B777" s="91"/>
      <c r="C777" s="84"/>
      <c r="D777" s="90"/>
      <c r="E777" s="91"/>
      <c r="F777" s="84"/>
      <c r="G777" s="84"/>
      <c r="H777" s="90"/>
      <c r="I777" s="84"/>
      <c r="J777" s="91"/>
      <c r="K777" s="84"/>
      <c r="L777" s="84"/>
      <c r="M777" s="90"/>
      <c r="N777" s="84"/>
      <c r="O777" s="91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30.0" customHeight="1">
      <c r="A778" s="90"/>
      <c r="B778" s="91"/>
      <c r="C778" s="84"/>
      <c r="D778" s="90"/>
      <c r="E778" s="91"/>
      <c r="F778" s="84"/>
      <c r="G778" s="84"/>
      <c r="H778" s="90"/>
      <c r="I778" s="84"/>
      <c r="J778" s="91"/>
      <c r="K778" s="84"/>
      <c r="L778" s="84"/>
      <c r="M778" s="90"/>
      <c r="N778" s="84"/>
      <c r="O778" s="91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30.0" customHeight="1">
      <c r="A779" s="90"/>
      <c r="B779" s="91"/>
      <c r="C779" s="84"/>
      <c r="D779" s="90"/>
      <c r="E779" s="91"/>
      <c r="F779" s="84"/>
      <c r="G779" s="84"/>
      <c r="H779" s="90"/>
      <c r="I779" s="84"/>
      <c r="J779" s="91"/>
      <c r="K779" s="84"/>
      <c r="L779" s="84"/>
      <c r="M779" s="90"/>
      <c r="N779" s="84"/>
      <c r="O779" s="91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30.0" customHeight="1">
      <c r="A780" s="90"/>
      <c r="B780" s="91"/>
      <c r="C780" s="84"/>
      <c r="D780" s="90"/>
      <c r="E780" s="91"/>
      <c r="F780" s="84"/>
      <c r="G780" s="84"/>
      <c r="H780" s="90"/>
      <c r="I780" s="84"/>
      <c r="J780" s="91"/>
      <c r="K780" s="84"/>
      <c r="L780" s="84"/>
      <c r="M780" s="90"/>
      <c r="N780" s="84"/>
      <c r="O780" s="91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30.0" customHeight="1">
      <c r="A781" s="90"/>
      <c r="B781" s="91"/>
      <c r="C781" s="84"/>
      <c r="D781" s="90"/>
      <c r="E781" s="91"/>
      <c r="F781" s="84"/>
      <c r="G781" s="84"/>
      <c r="H781" s="90"/>
      <c r="I781" s="84"/>
      <c r="J781" s="91"/>
      <c r="K781" s="84"/>
      <c r="L781" s="84"/>
      <c r="M781" s="90"/>
      <c r="N781" s="84"/>
      <c r="O781" s="91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30.0" customHeight="1">
      <c r="A782" s="90"/>
      <c r="B782" s="91"/>
      <c r="C782" s="84"/>
      <c r="D782" s="90"/>
      <c r="E782" s="91"/>
      <c r="F782" s="84"/>
      <c r="G782" s="84"/>
      <c r="H782" s="90"/>
      <c r="I782" s="84"/>
      <c r="J782" s="91"/>
      <c r="K782" s="84"/>
      <c r="L782" s="84"/>
      <c r="M782" s="90"/>
      <c r="N782" s="84"/>
      <c r="O782" s="91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30.0" customHeight="1">
      <c r="A783" s="90"/>
      <c r="B783" s="91"/>
      <c r="C783" s="84"/>
      <c r="D783" s="90"/>
      <c r="E783" s="91"/>
      <c r="F783" s="84"/>
      <c r="G783" s="84"/>
      <c r="H783" s="90"/>
      <c r="I783" s="84"/>
      <c r="J783" s="91"/>
      <c r="K783" s="84"/>
      <c r="L783" s="84"/>
      <c r="M783" s="90"/>
      <c r="N783" s="84"/>
      <c r="O783" s="91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30.0" customHeight="1">
      <c r="A784" s="90"/>
      <c r="B784" s="91"/>
      <c r="C784" s="84"/>
      <c r="D784" s="90"/>
      <c r="E784" s="91"/>
      <c r="F784" s="84"/>
      <c r="G784" s="84"/>
      <c r="H784" s="90"/>
      <c r="I784" s="84"/>
      <c r="J784" s="91"/>
      <c r="K784" s="84"/>
      <c r="L784" s="84"/>
      <c r="M784" s="90"/>
      <c r="N784" s="84"/>
      <c r="O784" s="91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30.0" customHeight="1">
      <c r="A785" s="90"/>
      <c r="B785" s="91"/>
      <c r="C785" s="84"/>
      <c r="D785" s="90"/>
      <c r="E785" s="91"/>
      <c r="F785" s="84"/>
      <c r="G785" s="84"/>
      <c r="H785" s="90"/>
      <c r="I785" s="84"/>
      <c r="J785" s="91"/>
      <c r="K785" s="84"/>
      <c r="L785" s="84"/>
      <c r="M785" s="90"/>
      <c r="N785" s="84"/>
      <c r="O785" s="91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30.0" customHeight="1">
      <c r="A786" s="90"/>
      <c r="B786" s="91"/>
      <c r="C786" s="84"/>
      <c r="D786" s="90"/>
      <c r="E786" s="91"/>
      <c r="F786" s="84"/>
      <c r="G786" s="84"/>
      <c r="H786" s="90"/>
      <c r="I786" s="84"/>
      <c r="J786" s="91"/>
      <c r="K786" s="84"/>
      <c r="L786" s="84"/>
      <c r="M786" s="90"/>
      <c r="N786" s="84"/>
      <c r="O786" s="91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30.0" customHeight="1">
      <c r="A787" s="90"/>
      <c r="B787" s="91"/>
      <c r="C787" s="84"/>
      <c r="D787" s="90"/>
      <c r="E787" s="91"/>
      <c r="F787" s="84"/>
      <c r="G787" s="84"/>
      <c r="H787" s="90"/>
      <c r="I787" s="84"/>
      <c r="J787" s="91"/>
      <c r="K787" s="84"/>
      <c r="L787" s="84"/>
      <c r="M787" s="90"/>
      <c r="N787" s="84"/>
      <c r="O787" s="91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30.0" customHeight="1">
      <c r="A788" s="90"/>
      <c r="B788" s="91"/>
      <c r="C788" s="84"/>
      <c r="D788" s="90"/>
      <c r="E788" s="91"/>
      <c r="F788" s="84"/>
      <c r="G788" s="84"/>
      <c r="H788" s="90"/>
      <c r="I788" s="84"/>
      <c r="J788" s="91"/>
      <c r="K788" s="84"/>
      <c r="L788" s="84"/>
      <c r="M788" s="90"/>
      <c r="N788" s="84"/>
      <c r="O788" s="91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30.0" customHeight="1">
      <c r="A789" s="90"/>
      <c r="B789" s="91"/>
      <c r="C789" s="84"/>
      <c r="D789" s="90"/>
      <c r="E789" s="91"/>
      <c r="F789" s="84"/>
      <c r="G789" s="84"/>
      <c r="H789" s="90"/>
      <c r="I789" s="84"/>
      <c r="J789" s="91"/>
      <c r="K789" s="84"/>
      <c r="L789" s="84"/>
      <c r="M789" s="90"/>
      <c r="N789" s="84"/>
      <c r="O789" s="91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30.0" customHeight="1">
      <c r="A790" s="90"/>
      <c r="B790" s="91"/>
      <c r="C790" s="84"/>
      <c r="D790" s="90"/>
      <c r="E790" s="91"/>
      <c r="F790" s="84"/>
      <c r="G790" s="84"/>
      <c r="H790" s="90"/>
      <c r="I790" s="84"/>
      <c r="J790" s="91"/>
      <c r="K790" s="84"/>
      <c r="L790" s="84"/>
      <c r="M790" s="90"/>
      <c r="N790" s="84"/>
      <c r="O790" s="91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30.0" customHeight="1">
      <c r="A791" s="90"/>
      <c r="B791" s="91"/>
      <c r="C791" s="84"/>
      <c r="D791" s="90"/>
      <c r="E791" s="91"/>
      <c r="F791" s="84"/>
      <c r="G791" s="84"/>
      <c r="H791" s="90"/>
      <c r="I791" s="84"/>
      <c r="J791" s="91"/>
      <c r="K791" s="84"/>
      <c r="L791" s="84"/>
      <c r="M791" s="90"/>
      <c r="N791" s="84"/>
      <c r="O791" s="91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30.0" customHeight="1">
      <c r="A792" s="90"/>
      <c r="B792" s="91"/>
      <c r="C792" s="84"/>
      <c r="D792" s="90"/>
      <c r="E792" s="91"/>
      <c r="F792" s="84"/>
      <c r="G792" s="84"/>
      <c r="H792" s="90"/>
      <c r="I792" s="84"/>
      <c r="J792" s="91"/>
      <c r="K792" s="84"/>
      <c r="L792" s="84"/>
      <c r="M792" s="90"/>
      <c r="N792" s="84"/>
      <c r="O792" s="91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30.0" customHeight="1">
      <c r="A793" s="90"/>
      <c r="B793" s="91"/>
      <c r="C793" s="84"/>
      <c r="D793" s="90"/>
      <c r="E793" s="91"/>
      <c r="F793" s="84"/>
      <c r="G793" s="84"/>
      <c r="H793" s="90"/>
      <c r="I793" s="84"/>
      <c r="J793" s="91"/>
      <c r="K793" s="84"/>
      <c r="L793" s="84"/>
      <c r="M793" s="90"/>
      <c r="N793" s="84"/>
      <c r="O793" s="91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30.0" customHeight="1">
      <c r="A794" s="90"/>
      <c r="B794" s="91"/>
      <c r="C794" s="84"/>
      <c r="D794" s="90"/>
      <c r="E794" s="91"/>
      <c r="F794" s="84"/>
      <c r="G794" s="84"/>
      <c r="H794" s="90"/>
      <c r="I794" s="84"/>
      <c r="J794" s="91"/>
      <c r="K794" s="84"/>
      <c r="L794" s="84"/>
      <c r="M794" s="90"/>
      <c r="N794" s="84"/>
      <c r="O794" s="91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30.0" customHeight="1">
      <c r="A795" s="90"/>
      <c r="B795" s="91"/>
      <c r="C795" s="84"/>
      <c r="D795" s="90"/>
      <c r="E795" s="91"/>
      <c r="F795" s="84"/>
      <c r="G795" s="84"/>
      <c r="H795" s="90"/>
      <c r="I795" s="84"/>
      <c r="J795" s="91"/>
      <c r="K795" s="84"/>
      <c r="L795" s="84"/>
      <c r="M795" s="90"/>
      <c r="N795" s="84"/>
      <c r="O795" s="91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30.0" customHeight="1">
      <c r="A796" s="90"/>
      <c r="B796" s="91"/>
      <c r="C796" s="84"/>
      <c r="D796" s="90"/>
      <c r="E796" s="91"/>
      <c r="F796" s="84"/>
      <c r="G796" s="84"/>
      <c r="H796" s="90"/>
      <c r="I796" s="84"/>
      <c r="J796" s="91"/>
      <c r="K796" s="84"/>
      <c r="L796" s="84"/>
      <c r="M796" s="90"/>
      <c r="N796" s="84"/>
      <c r="O796" s="91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30.0" customHeight="1">
      <c r="A797" s="90"/>
      <c r="B797" s="91"/>
      <c r="C797" s="84"/>
      <c r="D797" s="90"/>
      <c r="E797" s="91"/>
      <c r="F797" s="84"/>
      <c r="G797" s="84"/>
      <c r="H797" s="90"/>
      <c r="I797" s="84"/>
      <c r="J797" s="91"/>
      <c r="K797" s="84"/>
      <c r="L797" s="84"/>
      <c r="M797" s="90"/>
      <c r="N797" s="84"/>
      <c r="O797" s="91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30.0" customHeight="1">
      <c r="A798" s="90"/>
      <c r="B798" s="91"/>
      <c r="C798" s="84"/>
      <c r="D798" s="90"/>
      <c r="E798" s="91"/>
      <c r="F798" s="84"/>
      <c r="G798" s="84"/>
      <c r="H798" s="90"/>
      <c r="I798" s="84"/>
      <c r="J798" s="91"/>
      <c r="K798" s="84"/>
      <c r="L798" s="84"/>
      <c r="M798" s="90"/>
      <c r="N798" s="84"/>
      <c r="O798" s="91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30.0" customHeight="1">
      <c r="A799" s="90"/>
      <c r="B799" s="91"/>
      <c r="C799" s="84"/>
      <c r="D799" s="90"/>
      <c r="E799" s="91"/>
      <c r="F799" s="84"/>
      <c r="G799" s="84"/>
      <c r="H799" s="90"/>
      <c r="I799" s="84"/>
      <c r="J799" s="91"/>
      <c r="K799" s="84"/>
      <c r="L799" s="84"/>
      <c r="M799" s="90"/>
      <c r="N799" s="84"/>
      <c r="O799" s="91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30.0" customHeight="1">
      <c r="A800" s="90"/>
      <c r="B800" s="91"/>
      <c r="C800" s="84"/>
      <c r="D800" s="90"/>
      <c r="E800" s="91"/>
      <c r="F800" s="84"/>
      <c r="G800" s="84"/>
      <c r="H800" s="90"/>
      <c r="I800" s="84"/>
      <c r="J800" s="91"/>
      <c r="K800" s="84"/>
      <c r="L800" s="84"/>
      <c r="M800" s="90"/>
      <c r="N800" s="84"/>
      <c r="O800" s="91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30.0" customHeight="1">
      <c r="A801" s="90"/>
      <c r="B801" s="91"/>
      <c r="C801" s="84"/>
      <c r="D801" s="90"/>
      <c r="E801" s="91"/>
      <c r="F801" s="84"/>
      <c r="G801" s="84"/>
      <c r="H801" s="90"/>
      <c r="I801" s="84"/>
      <c r="J801" s="91"/>
      <c r="K801" s="84"/>
      <c r="L801" s="84"/>
      <c r="M801" s="90"/>
      <c r="N801" s="84"/>
      <c r="O801" s="91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30.0" customHeight="1">
      <c r="A802" s="90"/>
      <c r="B802" s="91"/>
      <c r="C802" s="84"/>
      <c r="D802" s="90"/>
      <c r="E802" s="91"/>
      <c r="F802" s="84"/>
      <c r="G802" s="84"/>
      <c r="H802" s="90"/>
      <c r="I802" s="84"/>
      <c r="J802" s="91"/>
      <c r="K802" s="84"/>
      <c r="L802" s="84"/>
      <c r="M802" s="90"/>
      <c r="N802" s="84"/>
      <c r="O802" s="91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30.0" customHeight="1">
      <c r="A803" s="90"/>
      <c r="B803" s="91"/>
      <c r="C803" s="84"/>
      <c r="D803" s="90"/>
      <c r="E803" s="91"/>
      <c r="F803" s="84"/>
      <c r="G803" s="84"/>
      <c r="H803" s="90"/>
      <c r="I803" s="84"/>
      <c r="J803" s="91"/>
      <c r="K803" s="84"/>
      <c r="L803" s="84"/>
      <c r="M803" s="90"/>
      <c r="N803" s="84"/>
      <c r="O803" s="91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30.0" customHeight="1">
      <c r="A804" s="90"/>
      <c r="B804" s="91"/>
      <c r="C804" s="84"/>
      <c r="D804" s="90"/>
      <c r="E804" s="91"/>
      <c r="F804" s="84"/>
      <c r="G804" s="84"/>
      <c r="H804" s="90"/>
      <c r="I804" s="84"/>
      <c r="J804" s="91"/>
      <c r="K804" s="84"/>
      <c r="L804" s="84"/>
      <c r="M804" s="90"/>
      <c r="N804" s="84"/>
      <c r="O804" s="91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30.0" customHeight="1">
      <c r="A805" s="90"/>
      <c r="B805" s="91"/>
      <c r="C805" s="84"/>
      <c r="D805" s="90"/>
      <c r="E805" s="91"/>
      <c r="F805" s="84"/>
      <c r="G805" s="84"/>
      <c r="H805" s="90"/>
      <c r="I805" s="84"/>
      <c r="J805" s="91"/>
      <c r="K805" s="84"/>
      <c r="L805" s="84"/>
      <c r="M805" s="90"/>
      <c r="N805" s="84"/>
      <c r="O805" s="91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30.0" customHeight="1">
      <c r="A806" s="90"/>
      <c r="B806" s="91"/>
      <c r="C806" s="84"/>
      <c r="D806" s="90"/>
      <c r="E806" s="91"/>
      <c r="F806" s="84"/>
      <c r="G806" s="84"/>
      <c r="H806" s="90"/>
      <c r="I806" s="84"/>
      <c r="J806" s="91"/>
      <c r="K806" s="84"/>
      <c r="L806" s="84"/>
      <c r="M806" s="90"/>
      <c r="N806" s="84"/>
      <c r="O806" s="91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30.0" customHeight="1">
      <c r="A807" s="90"/>
      <c r="B807" s="91"/>
      <c r="C807" s="84"/>
      <c r="D807" s="90"/>
      <c r="E807" s="91"/>
      <c r="F807" s="84"/>
      <c r="G807" s="84"/>
      <c r="H807" s="90"/>
      <c r="I807" s="84"/>
      <c r="J807" s="91"/>
      <c r="K807" s="84"/>
      <c r="L807" s="84"/>
      <c r="M807" s="90"/>
      <c r="N807" s="84"/>
      <c r="O807" s="91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30.0" customHeight="1">
      <c r="A808" s="90"/>
      <c r="B808" s="91"/>
      <c r="C808" s="84"/>
      <c r="D808" s="90"/>
      <c r="E808" s="91"/>
      <c r="F808" s="84"/>
      <c r="G808" s="84"/>
      <c r="H808" s="90"/>
      <c r="I808" s="84"/>
      <c r="J808" s="91"/>
      <c r="K808" s="84"/>
      <c r="L808" s="84"/>
      <c r="M808" s="90"/>
      <c r="N808" s="84"/>
      <c r="O808" s="91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30.0" customHeight="1">
      <c r="A809" s="90"/>
      <c r="B809" s="91"/>
      <c r="C809" s="84"/>
      <c r="D809" s="90"/>
      <c r="E809" s="91"/>
      <c r="F809" s="84"/>
      <c r="G809" s="84"/>
      <c r="H809" s="90"/>
      <c r="I809" s="84"/>
      <c r="J809" s="91"/>
      <c r="K809" s="84"/>
      <c r="L809" s="84"/>
      <c r="M809" s="90"/>
      <c r="N809" s="84"/>
      <c r="O809" s="91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30.0" customHeight="1">
      <c r="A810" s="90"/>
      <c r="B810" s="91"/>
      <c r="C810" s="84"/>
      <c r="D810" s="90"/>
      <c r="E810" s="91"/>
      <c r="F810" s="84"/>
      <c r="G810" s="84"/>
      <c r="H810" s="90"/>
      <c r="I810" s="84"/>
      <c r="J810" s="91"/>
      <c r="K810" s="84"/>
      <c r="L810" s="84"/>
      <c r="M810" s="90"/>
      <c r="N810" s="84"/>
      <c r="O810" s="91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30.0" customHeight="1">
      <c r="A811" s="90"/>
      <c r="B811" s="91"/>
      <c r="C811" s="84"/>
      <c r="D811" s="90"/>
      <c r="E811" s="91"/>
      <c r="F811" s="84"/>
      <c r="G811" s="84"/>
      <c r="H811" s="90"/>
      <c r="I811" s="84"/>
      <c r="J811" s="91"/>
      <c r="K811" s="84"/>
      <c r="L811" s="84"/>
      <c r="M811" s="90"/>
      <c r="N811" s="84"/>
      <c r="O811" s="91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30.0" customHeight="1">
      <c r="A812" s="90"/>
      <c r="B812" s="91"/>
      <c r="C812" s="84"/>
      <c r="D812" s="90"/>
      <c r="E812" s="91"/>
      <c r="F812" s="84"/>
      <c r="G812" s="84"/>
      <c r="H812" s="90"/>
      <c r="I812" s="84"/>
      <c r="J812" s="91"/>
      <c r="K812" s="84"/>
      <c r="L812" s="84"/>
      <c r="M812" s="90"/>
      <c r="N812" s="84"/>
      <c r="O812" s="91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30.0" customHeight="1">
      <c r="A813" s="90"/>
      <c r="B813" s="91"/>
      <c r="C813" s="84"/>
      <c r="D813" s="90"/>
      <c r="E813" s="91"/>
      <c r="F813" s="84"/>
      <c r="G813" s="84"/>
      <c r="H813" s="90"/>
      <c r="I813" s="84"/>
      <c r="J813" s="91"/>
      <c r="K813" s="84"/>
      <c r="L813" s="84"/>
      <c r="M813" s="90"/>
      <c r="N813" s="84"/>
      <c r="O813" s="91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30.0" customHeight="1">
      <c r="A814" s="90"/>
      <c r="B814" s="91"/>
      <c r="C814" s="84"/>
      <c r="D814" s="90"/>
      <c r="E814" s="91"/>
      <c r="F814" s="84"/>
      <c r="G814" s="84"/>
      <c r="H814" s="90"/>
      <c r="I814" s="84"/>
      <c r="J814" s="91"/>
      <c r="K814" s="84"/>
      <c r="L814" s="84"/>
      <c r="M814" s="90"/>
      <c r="N814" s="84"/>
      <c r="O814" s="91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30.0" customHeight="1">
      <c r="A815" s="90"/>
      <c r="B815" s="91"/>
      <c r="C815" s="84"/>
      <c r="D815" s="90"/>
      <c r="E815" s="91"/>
      <c r="F815" s="84"/>
      <c r="G815" s="84"/>
      <c r="H815" s="90"/>
      <c r="I815" s="84"/>
      <c r="J815" s="91"/>
      <c r="K815" s="84"/>
      <c r="L815" s="84"/>
      <c r="M815" s="90"/>
      <c r="N815" s="84"/>
      <c r="O815" s="91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30.0" customHeight="1">
      <c r="A816" s="90"/>
      <c r="B816" s="91"/>
      <c r="C816" s="84"/>
      <c r="D816" s="90"/>
      <c r="E816" s="91"/>
      <c r="F816" s="84"/>
      <c r="G816" s="84"/>
      <c r="H816" s="90"/>
      <c r="I816" s="84"/>
      <c r="J816" s="91"/>
      <c r="K816" s="84"/>
      <c r="L816" s="84"/>
      <c r="M816" s="90"/>
      <c r="N816" s="84"/>
      <c r="O816" s="91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30.0" customHeight="1">
      <c r="A817" s="90"/>
      <c r="B817" s="91"/>
      <c r="C817" s="84"/>
      <c r="D817" s="90"/>
      <c r="E817" s="91"/>
      <c r="F817" s="84"/>
      <c r="G817" s="84"/>
      <c r="H817" s="90"/>
      <c r="I817" s="84"/>
      <c r="J817" s="91"/>
      <c r="K817" s="84"/>
      <c r="L817" s="84"/>
      <c r="M817" s="90"/>
      <c r="N817" s="84"/>
      <c r="O817" s="91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30.0" customHeight="1">
      <c r="A818" s="90"/>
      <c r="B818" s="91"/>
      <c r="C818" s="84"/>
      <c r="D818" s="90"/>
      <c r="E818" s="91"/>
      <c r="F818" s="84"/>
      <c r="G818" s="84"/>
      <c r="H818" s="90"/>
      <c r="I818" s="84"/>
      <c r="J818" s="91"/>
      <c r="K818" s="84"/>
      <c r="L818" s="84"/>
      <c r="M818" s="90"/>
      <c r="N818" s="84"/>
      <c r="O818" s="91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30.0" customHeight="1">
      <c r="A819" s="90"/>
      <c r="B819" s="91"/>
      <c r="C819" s="84"/>
      <c r="D819" s="90"/>
      <c r="E819" s="91"/>
      <c r="F819" s="84"/>
      <c r="G819" s="84"/>
      <c r="H819" s="90"/>
      <c r="I819" s="84"/>
      <c r="J819" s="91"/>
      <c r="K819" s="84"/>
      <c r="L819" s="84"/>
      <c r="M819" s="90"/>
      <c r="N819" s="84"/>
      <c r="O819" s="91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30.0" customHeight="1">
      <c r="A820" s="90"/>
      <c r="B820" s="91"/>
      <c r="C820" s="84"/>
      <c r="D820" s="90"/>
      <c r="E820" s="91"/>
      <c r="F820" s="84"/>
      <c r="G820" s="84"/>
      <c r="H820" s="90"/>
      <c r="I820" s="84"/>
      <c r="J820" s="91"/>
      <c r="K820" s="84"/>
      <c r="L820" s="84"/>
      <c r="M820" s="90"/>
      <c r="N820" s="84"/>
      <c r="O820" s="91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30.0" customHeight="1">
      <c r="A821" s="90"/>
      <c r="B821" s="91"/>
      <c r="C821" s="84"/>
      <c r="D821" s="90"/>
      <c r="E821" s="91"/>
      <c r="F821" s="84"/>
      <c r="G821" s="84"/>
      <c r="H821" s="90"/>
      <c r="I821" s="84"/>
      <c r="J821" s="91"/>
      <c r="K821" s="84"/>
      <c r="L821" s="84"/>
      <c r="M821" s="90"/>
      <c r="N821" s="84"/>
      <c r="O821" s="91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30.0" customHeight="1">
      <c r="A822" s="90"/>
      <c r="B822" s="91"/>
      <c r="C822" s="84"/>
      <c r="D822" s="90"/>
      <c r="E822" s="91"/>
      <c r="F822" s="84"/>
      <c r="G822" s="84"/>
      <c r="H822" s="90"/>
      <c r="I822" s="84"/>
      <c r="J822" s="91"/>
      <c r="K822" s="84"/>
      <c r="L822" s="84"/>
      <c r="M822" s="90"/>
      <c r="N822" s="84"/>
      <c r="O822" s="91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30.0" customHeight="1">
      <c r="A823" s="90"/>
      <c r="B823" s="91"/>
      <c r="C823" s="84"/>
      <c r="D823" s="90"/>
      <c r="E823" s="91"/>
      <c r="F823" s="84"/>
      <c r="G823" s="84"/>
      <c r="H823" s="90"/>
      <c r="I823" s="84"/>
      <c r="J823" s="91"/>
      <c r="K823" s="84"/>
      <c r="L823" s="84"/>
      <c r="M823" s="90"/>
      <c r="N823" s="84"/>
      <c r="O823" s="91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30.0" customHeight="1">
      <c r="A824" s="90"/>
      <c r="B824" s="91"/>
      <c r="C824" s="84"/>
      <c r="D824" s="90"/>
      <c r="E824" s="91"/>
      <c r="F824" s="84"/>
      <c r="G824" s="84"/>
      <c r="H824" s="90"/>
      <c r="I824" s="84"/>
      <c r="J824" s="91"/>
      <c r="K824" s="84"/>
      <c r="L824" s="84"/>
      <c r="M824" s="90"/>
      <c r="N824" s="84"/>
      <c r="O824" s="91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30.0" customHeight="1">
      <c r="A825" s="90"/>
      <c r="B825" s="91"/>
      <c r="C825" s="84"/>
      <c r="D825" s="90"/>
      <c r="E825" s="91"/>
      <c r="F825" s="84"/>
      <c r="G825" s="84"/>
      <c r="H825" s="90"/>
      <c r="I825" s="84"/>
      <c r="J825" s="91"/>
      <c r="K825" s="84"/>
      <c r="L825" s="84"/>
      <c r="M825" s="90"/>
      <c r="N825" s="84"/>
      <c r="O825" s="91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30.0" customHeight="1">
      <c r="A826" s="90"/>
      <c r="B826" s="91"/>
      <c r="C826" s="84"/>
      <c r="D826" s="90"/>
      <c r="E826" s="91"/>
      <c r="F826" s="84"/>
      <c r="G826" s="84"/>
      <c r="H826" s="90"/>
      <c r="I826" s="84"/>
      <c r="J826" s="91"/>
      <c r="K826" s="84"/>
      <c r="L826" s="84"/>
      <c r="M826" s="90"/>
      <c r="N826" s="84"/>
      <c r="O826" s="91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30.0" customHeight="1">
      <c r="A827" s="90"/>
      <c r="B827" s="91"/>
      <c r="C827" s="84"/>
      <c r="D827" s="90"/>
      <c r="E827" s="91"/>
      <c r="F827" s="84"/>
      <c r="G827" s="84"/>
      <c r="H827" s="90"/>
      <c r="I827" s="84"/>
      <c r="J827" s="91"/>
      <c r="K827" s="84"/>
      <c r="L827" s="84"/>
      <c r="M827" s="90"/>
      <c r="N827" s="84"/>
      <c r="O827" s="91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30.0" customHeight="1">
      <c r="A828" s="90"/>
      <c r="B828" s="91"/>
      <c r="C828" s="84"/>
      <c r="D828" s="90"/>
      <c r="E828" s="91"/>
      <c r="F828" s="84"/>
      <c r="G828" s="84"/>
      <c r="H828" s="90"/>
      <c r="I828" s="84"/>
      <c r="J828" s="91"/>
      <c r="K828" s="84"/>
      <c r="L828" s="84"/>
      <c r="M828" s="90"/>
      <c r="N828" s="84"/>
      <c r="O828" s="91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30.0" customHeight="1">
      <c r="A829" s="90"/>
      <c r="B829" s="91"/>
      <c r="C829" s="84"/>
      <c r="D829" s="90"/>
      <c r="E829" s="91"/>
      <c r="F829" s="84"/>
      <c r="G829" s="84"/>
      <c r="H829" s="90"/>
      <c r="I829" s="84"/>
      <c r="J829" s="91"/>
      <c r="K829" s="84"/>
      <c r="L829" s="84"/>
      <c r="M829" s="90"/>
      <c r="N829" s="84"/>
      <c r="O829" s="91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30.0" customHeight="1">
      <c r="A830" s="90"/>
      <c r="B830" s="91"/>
      <c r="C830" s="84"/>
      <c r="D830" s="90"/>
      <c r="E830" s="91"/>
      <c r="F830" s="84"/>
      <c r="G830" s="84"/>
      <c r="H830" s="90"/>
      <c r="I830" s="84"/>
      <c r="J830" s="91"/>
      <c r="K830" s="84"/>
      <c r="L830" s="84"/>
      <c r="M830" s="90"/>
      <c r="N830" s="84"/>
      <c r="O830" s="91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30.0" customHeight="1">
      <c r="A831" s="90"/>
      <c r="B831" s="91"/>
      <c r="C831" s="84"/>
      <c r="D831" s="90"/>
      <c r="E831" s="91"/>
      <c r="F831" s="84"/>
      <c r="G831" s="84"/>
      <c r="H831" s="90"/>
      <c r="I831" s="84"/>
      <c r="J831" s="91"/>
      <c r="K831" s="84"/>
      <c r="L831" s="84"/>
      <c r="M831" s="90"/>
      <c r="N831" s="84"/>
      <c r="O831" s="91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30.0" customHeight="1">
      <c r="A832" s="90"/>
      <c r="B832" s="91"/>
      <c r="C832" s="84"/>
      <c r="D832" s="90"/>
      <c r="E832" s="91"/>
      <c r="F832" s="84"/>
      <c r="G832" s="84"/>
      <c r="H832" s="90"/>
      <c r="I832" s="84"/>
      <c r="J832" s="91"/>
      <c r="K832" s="84"/>
      <c r="L832" s="84"/>
      <c r="M832" s="90"/>
      <c r="N832" s="84"/>
      <c r="O832" s="91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30.0" customHeight="1">
      <c r="A833" s="90"/>
      <c r="B833" s="91"/>
      <c r="C833" s="84"/>
      <c r="D833" s="90"/>
      <c r="E833" s="91"/>
      <c r="F833" s="84"/>
      <c r="G833" s="84"/>
      <c r="H833" s="90"/>
      <c r="I833" s="84"/>
      <c r="J833" s="91"/>
      <c r="K833" s="84"/>
      <c r="L833" s="84"/>
      <c r="M833" s="90"/>
      <c r="N833" s="84"/>
      <c r="O833" s="91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30.0" customHeight="1">
      <c r="A834" s="90"/>
      <c r="B834" s="91"/>
      <c r="C834" s="84"/>
      <c r="D834" s="90"/>
      <c r="E834" s="91"/>
      <c r="F834" s="84"/>
      <c r="G834" s="84"/>
      <c r="H834" s="90"/>
      <c r="I834" s="84"/>
      <c r="J834" s="91"/>
      <c r="K834" s="84"/>
      <c r="L834" s="84"/>
      <c r="M834" s="90"/>
      <c r="N834" s="84"/>
      <c r="O834" s="91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30.0" customHeight="1">
      <c r="A835" s="90"/>
      <c r="B835" s="91"/>
      <c r="C835" s="84"/>
      <c r="D835" s="90"/>
      <c r="E835" s="91"/>
      <c r="F835" s="84"/>
      <c r="G835" s="84"/>
      <c r="H835" s="90"/>
      <c r="I835" s="84"/>
      <c r="J835" s="91"/>
      <c r="K835" s="84"/>
      <c r="L835" s="84"/>
      <c r="M835" s="90"/>
      <c r="N835" s="84"/>
      <c r="O835" s="91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30.0" customHeight="1">
      <c r="A836" s="90"/>
      <c r="B836" s="91"/>
      <c r="C836" s="84"/>
      <c r="D836" s="90"/>
      <c r="E836" s="91"/>
      <c r="F836" s="84"/>
      <c r="G836" s="84"/>
      <c r="H836" s="90"/>
      <c r="I836" s="84"/>
      <c r="J836" s="91"/>
      <c r="K836" s="84"/>
      <c r="L836" s="84"/>
      <c r="M836" s="90"/>
      <c r="N836" s="84"/>
      <c r="O836" s="91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30.0" customHeight="1">
      <c r="A837" s="90"/>
      <c r="B837" s="91"/>
      <c r="C837" s="84"/>
      <c r="D837" s="90"/>
      <c r="E837" s="91"/>
      <c r="F837" s="84"/>
      <c r="G837" s="84"/>
      <c r="H837" s="90"/>
      <c r="I837" s="84"/>
      <c r="J837" s="91"/>
      <c r="K837" s="84"/>
      <c r="L837" s="84"/>
      <c r="M837" s="90"/>
      <c r="N837" s="84"/>
      <c r="O837" s="91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30.0" customHeight="1">
      <c r="A838" s="90"/>
      <c r="B838" s="91"/>
      <c r="C838" s="84"/>
      <c r="D838" s="90"/>
      <c r="E838" s="91"/>
      <c r="F838" s="84"/>
      <c r="G838" s="84"/>
      <c r="H838" s="90"/>
      <c r="I838" s="84"/>
      <c r="J838" s="91"/>
      <c r="K838" s="84"/>
      <c r="L838" s="84"/>
      <c r="M838" s="90"/>
      <c r="N838" s="84"/>
      <c r="O838" s="91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30.0" customHeight="1">
      <c r="A839" s="90"/>
      <c r="B839" s="91"/>
      <c r="C839" s="84"/>
      <c r="D839" s="90"/>
      <c r="E839" s="91"/>
      <c r="F839" s="84"/>
      <c r="G839" s="84"/>
      <c r="H839" s="90"/>
      <c r="I839" s="84"/>
      <c r="J839" s="91"/>
      <c r="K839" s="84"/>
      <c r="L839" s="84"/>
      <c r="M839" s="90"/>
      <c r="N839" s="84"/>
      <c r="O839" s="91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30.0" customHeight="1">
      <c r="A840" s="90"/>
      <c r="B840" s="91"/>
      <c r="C840" s="84"/>
      <c r="D840" s="90"/>
      <c r="E840" s="91"/>
      <c r="F840" s="84"/>
      <c r="G840" s="84"/>
      <c r="H840" s="90"/>
      <c r="I840" s="84"/>
      <c r="J840" s="91"/>
      <c r="K840" s="84"/>
      <c r="L840" s="84"/>
      <c r="M840" s="90"/>
      <c r="N840" s="84"/>
      <c r="O840" s="91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30.0" customHeight="1">
      <c r="A841" s="90"/>
      <c r="B841" s="91"/>
      <c r="C841" s="84"/>
      <c r="D841" s="90"/>
      <c r="E841" s="91"/>
      <c r="F841" s="84"/>
      <c r="G841" s="84"/>
      <c r="H841" s="90"/>
      <c r="I841" s="84"/>
      <c r="J841" s="91"/>
      <c r="K841" s="84"/>
      <c r="L841" s="84"/>
      <c r="M841" s="90"/>
      <c r="N841" s="84"/>
      <c r="O841" s="91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30.0" customHeight="1">
      <c r="A842" s="90"/>
      <c r="B842" s="91"/>
      <c r="C842" s="84"/>
      <c r="D842" s="90"/>
      <c r="E842" s="91"/>
      <c r="F842" s="84"/>
      <c r="G842" s="84"/>
      <c r="H842" s="90"/>
      <c r="I842" s="84"/>
      <c r="J842" s="91"/>
      <c r="K842" s="84"/>
      <c r="L842" s="84"/>
      <c r="M842" s="90"/>
      <c r="N842" s="84"/>
      <c r="O842" s="91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30.0" customHeight="1">
      <c r="A843" s="90"/>
      <c r="B843" s="91"/>
      <c r="C843" s="84"/>
      <c r="D843" s="90"/>
      <c r="E843" s="91"/>
      <c r="F843" s="84"/>
      <c r="G843" s="84"/>
      <c r="H843" s="90"/>
      <c r="I843" s="84"/>
      <c r="J843" s="91"/>
      <c r="K843" s="84"/>
      <c r="L843" s="84"/>
      <c r="M843" s="90"/>
      <c r="N843" s="84"/>
      <c r="O843" s="91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30.0" customHeight="1">
      <c r="A844" s="90"/>
      <c r="B844" s="91"/>
      <c r="C844" s="84"/>
      <c r="D844" s="90"/>
      <c r="E844" s="91"/>
      <c r="F844" s="84"/>
      <c r="G844" s="84"/>
      <c r="H844" s="90"/>
      <c r="I844" s="84"/>
      <c r="J844" s="91"/>
      <c r="K844" s="84"/>
      <c r="L844" s="84"/>
      <c r="M844" s="90"/>
      <c r="N844" s="84"/>
      <c r="O844" s="91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30.0" customHeight="1">
      <c r="A845" s="90"/>
      <c r="B845" s="91"/>
      <c r="C845" s="84"/>
      <c r="D845" s="90"/>
      <c r="E845" s="91"/>
      <c r="F845" s="84"/>
      <c r="G845" s="84"/>
      <c r="H845" s="90"/>
      <c r="I845" s="84"/>
      <c r="J845" s="91"/>
      <c r="K845" s="84"/>
      <c r="L845" s="84"/>
      <c r="M845" s="90"/>
      <c r="N845" s="84"/>
      <c r="O845" s="91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30.0" customHeight="1">
      <c r="A846" s="90"/>
      <c r="B846" s="91"/>
      <c r="C846" s="84"/>
      <c r="D846" s="90"/>
      <c r="E846" s="91"/>
      <c r="F846" s="84"/>
      <c r="G846" s="84"/>
      <c r="H846" s="90"/>
      <c r="I846" s="84"/>
      <c r="J846" s="91"/>
      <c r="K846" s="84"/>
      <c r="L846" s="84"/>
      <c r="M846" s="90"/>
      <c r="N846" s="84"/>
      <c r="O846" s="91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30.0" customHeight="1">
      <c r="A847" s="90"/>
      <c r="B847" s="91"/>
      <c r="C847" s="84"/>
      <c r="D847" s="90"/>
      <c r="E847" s="91"/>
      <c r="F847" s="84"/>
      <c r="G847" s="84"/>
      <c r="H847" s="90"/>
      <c r="I847" s="84"/>
      <c r="J847" s="91"/>
      <c r="K847" s="84"/>
      <c r="L847" s="84"/>
      <c r="M847" s="90"/>
      <c r="N847" s="84"/>
      <c r="O847" s="91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30.0" customHeight="1">
      <c r="A848" s="90"/>
      <c r="B848" s="91"/>
      <c r="C848" s="84"/>
      <c r="D848" s="90"/>
      <c r="E848" s="91"/>
      <c r="F848" s="84"/>
      <c r="G848" s="84"/>
      <c r="H848" s="90"/>
      <c r="I848" s="84"/>
      <c r="J848" s="91"/>
      <c r="K848" s="84"/>
      <c r="L848" s="84"/>
      <c r="M848" s="90"/>
      <c r="N848" s="84"/>
      <c r="O848" s="91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30.0" customHeight="1">
      <c r="A849" s="90"/>
      <c r="B849" s="91"/>
      <c r="C849" s="84"/>
      <c r="D849" s="90"/>
      <c r="E849" s="91"/>
      <c r="F849" s="84"/>
      <c r="G849" s="84"/>
      <c r="H849" s="90"/>
      <c r="I849" s="84"/>
      <c r="J849" s="91"/>
      <c r="K849" s="84"/>
      <c r="L849" s="84"/>
      <c r="M849" s="90"/>
      <c r="N849" s="84"/>
      <c r="O849" s="91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30.0" customHeight="1">
      <c r="A850" s="90"/>
      <c r="B850" s="91"/>
      <c r="C850" s="84"/>
      <c r="D850" s="90"/>
      <c r="E850" s="91"/>
      <c r="F850" s="84"/>
      <c r="G850" s="84"/>
      <c r="H850" s="90"/>
      <c r="I850" s="84"/>
      <c r="J850" s="91"/>
      <c r="K850" s="84"/>
      <c r="L850" s="84"/>
      <c r="M850" s="90"/>
      <c r="N850" s="84"/>
      <c r="O850" s="91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30.0" customHeight="1">
      <c r="A851" s="90"/>
      <c r="B851" s="91"/>
      <c r="C851" s="84"/>
      <c r="D851" s="90"/>
      <c r="E851" s="91"/>
      <c r="F851" s="84"/>
      <c r="G851" s="84"/>
      <c r="H851" s="90"/>
      <c r="I851" s="84"/>
      <c r="J851" s="91"/>
      <c r="K851" s="84"/>
      <c r="L851" s="84"/>
      <c r="M851" s="90"/>
      <c r="N851" s="84"/>
      <c r="O851" s="91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30.0" customHeight="1">
      <c r="A852" s="90"/>
      <c r="B852" s="91"/>
      <c r="C852" s="84"/>
      <c r="D852" s="90"/>
      <c r="E852" s="91"/>
      <c r="F852" s="84"/>
      <c r="G852" s="84"/>
      <c r="H852" s="90"/>
      <c r="I852" s="84"/>
      <c r="J852" s="91"/>
      <c r="K852" s="84"/>
      <c r="L852" s="84"/>
      <c r="M852" s="90"/>
      <c r="N852" s="84"/>
      <c r="O852" s="91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30.0" customHeight="1">
      <c r="A853" s="90"/>
      <c r="B853" s="91"/>
      <c r="C853" s="84"/>
      <c r="D853" s="90"/>
      <c r="E853" s="91"/>
      <c r="F853" s="84"/>
      <c r="G853" s="84"/>
      <c r="H853" s="90"/>
      <c r="I853" s="84"/>
      <c r="J853" s="91"/>
      <c r="K853" s="84"/>
      <c r="L853" s="84"/>
      <c r="M853" s="90"/>
      <c r="N853" s="84"/>
      <c r="O853" s="91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30.0" customHeight="1">
      <c r="A854" s="90"/>
      <c r="B854" s="91"/>
      <c r="C854" s="84"/>
      <c r="D854" s="90"/>
      <c r="E854" s="91"/>
      <c r="F854" s="84"/>
      <c r="G854" s="84"/>
      <c r="H854" s="90"/>
      <c r="I854" s="84"/>
      <c r="J854" s="91"/>
      <c r="K854" s="84"/>
      <c r="L854" s="84"/>
      <c r="M854" s="90"/>
      <c r="N854" s="84"/>
      <c r="O854" s="91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30.0" customHeight="1">
      <c r="A855" s="90"/>
      <c r="B855" s="91"/>
      <c r="C855" s="84"/>
      <c r="D855" s="90"/>
      <c r="E855" s="91"/>
      <c r="F855" s="84"/>
      <c r="G855" s="84"/>
      <c r="H855" s="90"/>
      <c r="I855" s="84"/>
      <c r="J855" s="91"/>
      <c r="K855" s="84"/>
      <c r="L855" s="84"/>
      <c r="M855" s="90"/>
      <c r="N855" s="84"/>
      <c r="O855" s="91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30.0" customHeight="1">
      <c r="A856" s="90"/>
      <c r="B856" s="91"/>
      <c r="C856" s="84"/>
      <c r="D856" s="90"/>
      <c r="E856" s="91"/>
      <c r="F856" s="84"/>
      <c r="G856" s="84"/>
      <c r="H856" s="90"/>
      <c r="I856" s="84"/>
      <c r="J856" s="91"/>
      <c r="K856" s="84"/>
      <c r="L856" s="84"/>
      <c r="M856" s="90"/>
      <c r="N856" s="84"/>
      <c r="O856" s="91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30.0" customHeight="1">
      <c r="A857" s="90"/>
      <c r="B857" s="91"/>
      <c r="C857" s="84"/>
      <c r="D857" s="90"/>
      <c r="E857" s="91"/>
      <c r="F857" s="84"/>
      <c r="G857" s="84"/>
      <c r="H857" s="90"/>
      <c r="I857" s="84"/>
      <c r="J857" s="91"/>
      <c r="K857" s="84"/>
      <c r="L857" s="84"/>
      <c r="M857" s="90"/>
      <c r="N857" s="84"/>
      <c r="O857" s="91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30.0" customHeight="1">
      <c r="A858" s="90"/>
      <c r="B858" s="91"/>
      <c r="C858" s="84"/>
      <c r="D858" s="90"/>
      <c r="E858" s="91"/>
      <c r="F858" s="84"/>
      <c r="G858" s="84"/>
      <c r="H858" s="90"/>
      <c r="I858" s="84"/>
      <c r="J858" s="91"/>
      <c r="K858" s="84"/>
      <c r="L858" s="84"/>
      <c r="M858" s="90"/>
      <c r="N858" s="84"/>
      <c r="O858" s="91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30.0" customHeight="1">
      <c r="A859" s="90"/>
      <c r="B859" s="91"/>
      <c r="C859" s="84"/>
      <c r="D859" s="90"/>
      <c r="E859" s="91"/>
      <c r="F859" s="84"/>
      <c r="G859" s="84"/>
      <c r="H859" s="90"/>
      <c r="I859" s="84"/>
      <c r="J859" s="91"/>
      <c r="K859" s="84"/>
      <c r="L859" s="84"/>
      <c r="M859" s="90"/>
      <c r="N859" s="84"/>
      <c r="O859" s="91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30.0" customHeight="1">
      <c r="A860" s="90"/>
      <c r="B860" s="91"/>
      <c r="C860" s="84"/>
      <c r="D860" s="90"/>
      <c r="E860" s="91"/>
      <c r="F860" s="84"/>
      <c r="G860" s="84"/>
      <c r="H860" s="90"/>
      <c r="I860" s="84"/>
      <c r="J860" s="91"/>
      <c r="K860" s="84"/>
      <c r="L860" s="84"/>
      <c r="M860" s="90"/>
      <c r="N860" s="84"/>
      <c r="O860" s="91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30.0" customHeight="1">
      <c r="A861" s="90"/>
      <c r="B861" s="91"/>
      <c r="C861" s="84"/>
      <c r="D861" s="90"/>
      <c r="E861" s="91"/>
      <c r="F861" s="84"/>
      <c r="G861" s="84"/>
      <c r="H861" s="90"/>
      <c r="I861" s="84"/>
      <c r="J861" s="91"/>
      <c r="K861" s="84"/>
      <c r="L861" s="84"/>
      <c r="M861" s="90"/>
      <c r="N861" s="84"/>
      <c r="O861" s="91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30.0" customHeight="1">
      <c r="A862" s="90"/>
      <c r="B862" s="91"/>
      <c r="C862" s="84"/>
      <c r="D862" s="90"/>
      <c r="E862" s="91"/>
      <c r="F862" s="84"/>
      <c r="G862" s="84"/>
      <c r="H862" s="90"/>
      <c r="I862" s="84"/>
      <c r="J862" s="91"/>
      <c r="K862" s="84"/>
      <c r="L862" s="84"/>
      <c r="M862" s="90"/>
      <c r="N862" s="84"/>
      <c r="O862" s="91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30.0" customHeight="1">
      <c r="A863" s="90"/>
      <c r="B863" s="91"/>
      <c r="C863" s="84"/>
      <c r="D863" s="90"/>
      <c r="E863" s="91"/>
      <c r="F863" s="84"/>
      <c r="G863" s="84"/>
      <c r="H863" s="90"/>
      <c r="I863" s="84"/>
      <c r="J863" s="91"/>
      <c r="K863" s="84"/>
      <c r="L863" s="84"/>
      <c r="M863" s="90"/>
      <c r="N863" s="84"/>
      <c r="O863" s="91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30.0" customHeight="1">
      <c r="A864" s="90"/>
      <c r="B864" s="91"/>
      <c r="C864" s="84"/>
      <c r="D864" s="90"/>
      <c r="E864" s="91"/>
      <c r="F864" s="84"/>
      <c r="G864" s="84"/>
      <c r="H864" s="90"/>
      <c r="I864" s="84"/>
      <c r="J864" s="91"/>
      <c r="K864" s="84"/>
      <c r="L864" s="84"/>
      <c r="M864" s="90"/>
      <c r="N864" s="84"/>
      <c r="O864" s="91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30.0" customHeight="1">
      <c r="A865" s="90"/>
      <c r="B865" s="91"/>
      <c r="C865" s="84"/>
      <c r="D865" s="90"/>
      <c r="E865" s="91"/>
      <c r="F865" s="84"/>
      <c r="G865" s="84"/>
      <c r="H865" s="90"/>
      <c r="I865" s="84"/>
      <c r="J865" s="91"/>
      <c r="K865" s="84"/>
      <c r="L865" s="84"/>
      <c r="M865" s="90"/>
      <c r="N865" s="84"/>
      <c r="O865" s="91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30.0" customHeight="1">
      <c r="A866" s="90"/>
      <c r="B866" s="91"/>
      <c r="C866" s="84"/>
      <c r="D866" s="90"/>
      <c r="E866" s="91"/>
      <c r="F866" s="84"/>
      <c r="G866" s="84"/>
      <c r="H866" s="90"/>
      <c r="I866" s="84"/>
      <c r="J866" s="91"/>
      <c r="K866" s="84"/>
      <c r="L866" s="84"/>
      <c r="M866" s="90"/>
      <c r="N866" s="84"/>
      <c r="O866" s="91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30.0" customHeight="1">
      <c r="A867" s="90"/>
      <c r="B867" s="91"/>
      <c r="C867" s="84"/>
      <c r="D867" s="90"/>
      <c r="E867" s="91"/>
      <c r="F867" s="84"/>
      <c r="G867" s="84"/>
      <c r="H867" s="90"/>
      <c r="I867" s="84"/>
      <c r="J867" s="91"/>
      <c r="K867" s="84"/>
      <c r="L867" s="84"/>
      <c r="M867" s="90"/>
      <c r="N867" s="84"/>
      <c r="O867" s="91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30.0" customHeight="1">
      <c r="A868" s="90"/>
      <c r="B868" s="91"/>
      <c r="C868" s="84"/>
      <c r="D868" s="90"/>
      <c r="E868" s="91"/>
      <c r="F868" s="84"/>
      <c r="G868" s="84"/>
      <c r="H868" s="90"/>
      <c r="I868" s="84"/>
      <c r="J868" s="91"/>
      <c r="K868" s="84"/>
      <c r="L868" s="84"/>
      <c r="M868" s="90"/>
      <c r="N868" s="84"/>
      <c r="O868" s="91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30.0" customHeight="1">
      <c r="A869" s="90"/>
      <c r="B869" s="91"/>
      <c r="C869" s="84"/>
      <c r="D869" s="90"/>
      <c r="E869" s="91"/>
      <c r="F869" s="84"/>
      <c r="G869" s="84"/>
      <c r="H869" s="90"/>
      <c r="I869" s="84"/>
      <c r="J869" s="91"/>
      <c r="K869" s="84"/>
      <c r="L869" s="84"/>
      <c r="M869" s="90"/>
      <c r="N869" s="84"/>
      <c r="O869" s="91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30.0" customHeight="1">
      <c r="A870" s="90"/>
      <c r="B870" s="91"/>
      <c r="C870" s="84"/>
      <c r="D870" s="90"/>
      <c r="E870" s="91"/>
      <c r="F870" s="84"/>
      <c r="G870" s="84"/>
      <c r="H870" s="90"/>
      <c r="I870" s="84"/>
      <c r="J870" s="91"/>
      <c r="K870" s="84"/>
      <c r="L870" s="84"/>
      <c r="M870" s="90"/>
      <c r="N870" s="84"/>
      <c r="O870" s="91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30.0" customHeight="1">
      <c r="A871" s="90"/>
      <c r="B871" s="91"/>
      <c r="C871" s="84"/>
      <c r="D871" s="90"/>
      <c r="E871" s="91"/>
      <c r="F871" s="84"/>
      <c r="G871" s="84"/>
      <c r="H871" s="90"/>
      <c r="I871" s="84"/>
      <c r="J871" s="91"/>
      <c r="K871" s="84"/>
      <c r="L871" s="84"/>
      <c r="M871" s="90"/>
      <c r="N871" s="84"/>
      <c r="O871" s="91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30.0" customHeight="1">
      <c r="A872" s="90"/>
      <c r="B872" s="91"/>
      <c r="C872" s="84"/>
      <c r="D872" s="90"/>
      <c r="E872" s="91"/>
      <c r="F872" s="84"/>
      <c r="G872" s="84"/>
      <c r="H872" s="90"/>
      <c r="I872" s="84"/>
      <c r="J872" s="91"/>
      <c r="K872" s="84"/>
      <c r="L872" s="84"/>
      <c r="M872" s="90"/>
      <c r="N872" s="84"/>
      <c r="O872" s="91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30.0" customHeight="1">
      <c r="A873" s="90"/>
      <c r="B873" s="91"/>
      <c r="C873" s="84"/>
      <c r="D873" s="90"/>
      <c r="E873" s="91"/>
      <c r="F873" s="84"/>
      <c r="G873" s="84"/>
      <c r="H873" s="90"/>
      <c r="I873" s="84"/>
      <c r="J873" s="91"/>
      <c r="K873" s="84"/>
      <c r="L873" s="84"/>
      <c r="M873" s="90"/>
      <c r="N873" s="84"/>
      <c r="O873" s="91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30.0" customHeight="1">
      <c r="A874" s="90"/>
      <c r="B874" s="91"/>
      <c r="C874" s="84"/>
      <c r="D874" s="90"/>
      <c r="E874" s="91"/>
      <c r="F874" s="84"/>
      <c r="G874" s="84"/>
      <c r="H874" s="90"/>
      <c r="I874" s="84"/>
      <c r="J874" s="91"/>
      <c r="K874" s="84"/>
      <c r="L874" s="84"/>
      <c r="M874" s="90"/>
      <c r="N874" s="84"/>
      <c r="O874" s="91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30.0" customHeight="1">
      <c r="A875" s="90"/>
      <c r="B875" s="91"/>
      <c r="C875" s="84"/>
      <c r="D875" s="90"/>
      <c r="E875" s="91"/>
      <c r="F875" s="84"/>
      <c r="G875" s="84"/>
      <c r="H875" s="90"/>
      <c r="I875" s="84"/>
      <c r="J875" s="91"/>
      <c r="K875" s="84"/>
      <c r="L875" s="84"/>
      <c r="M875" s="90"/>
      <c r="N875" s="84"/>
      <c r="O875" s="91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30.0" customHeight="1">
      <c r="A876" s="90"/>
      <c r="B876" s="91"/>
      <c r="C876" s="84"/>
      <c r="D876" s="90"/>
      <c r="E876" s="91"/>
      <c r="F876" s="84"/>
      <c r="G876" s="84"/>
      <c r="H876" s="90"/>
      <c r="I876" s="84"/>
      <c r="J876" s="91"/>
      <c r="K876" s="84"/>
      <c r="L876" s="84"/>
      <c r="M876" s="90"/>
      <c r="N876" s="84"/>
      <c r="O876" s="91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30.0" customHeight="1">
      <c r="A877" s="90"/>
      <c r="B877" s="91"/>
      <c r="C877" s="84"/>
      <c r="D877" s="90"/>
      <c r="E877" s="91"/>
      <c r="F877" s="84"/>
      <c r="G877" s="84"/>
      <c r="H877" s="90"/>
      <c r="I877" s="84"/>
      <c r="J877" s="91"/>
      <c r="K877" s="84"/>
      <c r="L877" s="84"/>
      <c r="M877" s="90"/>
      <c r="N877" s="84"/>
      <c r="O877" s="91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30.0" customHeight="1">
      <c r="A878" s="90"/>
      <c r="B878" s="91"/>
      <c r="C878" s="84"/>
      <c r="D878" s="90"/>
      <c r="E878" s="91"/>
      <c r="F878" s="84"/>
      <c r="G878" s="84"/>
      <c r="H878" s="90"/>
      <c r="I878" s="84"/>
      <c r="J878" s="91"/>
      <c r="K878" s="84"/>
      <c r="L878" s="84"/>
      <c r="M878" s="90"/>
      <c r="N878" s="84"/>
      <c r="O878" s="91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30.0" customHeight="1">
      <c r="A879" s="90"/>
      <c r="B879" s="91"/>
      <c r="C879" s="84"/>
      <c r="D879" s="90"/>
      <c r="E879" s="91"/>
      <c r="F879" s="84"/>
      <c r="G879" s="84"/>
      <c r="H879" s="90"/>
      <c r="I879" s="84"/>
      <c r="J879" s="91"/>
      <c r="K879" s="84"/>
      <c r="L879" s="84"/>
      <c r="M879" s="90"/>
      <c r="N879" s="84"/>
      <c r="O879" s="91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30.0" customHeight="1">
      <c r="A880" s="90"/>
      <c r="B880" s="91"/>
      <c r="C880" s="84"/>
      <c r="D880" s="90"/>
      <c r="E880" s="91"/>
      <c r="F880" s="84"/>
      <c r="G880" s="84"/>
      <c r="H880" s="90"/>
      <c r="I880" s="84"/>
      <c r="J880" s="91"/>
      <c r="K880" s="84"/>
      <c r="L880" s="84"/>
      <c r="M880" s="90"/>
      <c r="N880" s="84"/>
      <c r="O880" s="91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30.0" customHeight="1">
      <c r="A881" s="90"/>
      <c r="B881" s="91"/>
      <c r="C881" s="84"/>
      <c r="D881" s="90"/>
      <c r="E881" s="91"/>
      <c r="F881" s="84"/>
      <c r="G881" s="84"/>
      <c r="H881" s="90"/>
      <c r="I881" s="84"/>
      <c r="J881" s="91"/>
      <c r="K881" s="84"/>
      <c r="L881" s="84"/>
      <c r="M881" s="90"/>
      <c r="N881" s="84"/>
      <c r="O881" s="91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30.0" customHeight="1">
      <c r="A882" s="90"/>
      <c r="B882" s="91"/>
      <c r="C882" s="84"/>
      <c r="D882" s="90"/>
      <c r="E882" s="91"/>
      <c r="F882" s="84"/>
      <c r="G882" s="84"/>
      <c r="H882" s="90"/>
      <c r="I882" s="84"/>
      <c r="J882" s="91"/>
      <c r="K882" s="84"/>
      <c r="L882" s="84"/>
      <c r="M882" s="90"/>
      <c r="N882" s="84"/>
      <c r="O882" s="91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30.0" customHeight="1">
      <c r="A883" s="90"/>
      <c r="B883" s="91"/>
      <c r="C883" s="84"/>
      <c r="D883" s="90"/>
      <c r="E883" s="91"/>
      <c r="F883" s="84"/>
      <c r="G883" s="84"/>
      <c r="H883" s="90"/>
      <c r="I883" s="84"/>
      <c r="J883" s="91"/>
      <c r="K883" s="84"/>
      <c r="L883" s="84"/>
      <c r="M883" s="90"/>
      <c r="N883" s="84"/>
      <c r="O883" s="91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30.0" customHeight="1">
      <c r="A884" s="90"/>
      <c r="B884" s="91"/>
      <c r="C884" s="84"/>
      <c r="D884" s="90"/>
      <c r="E884" s="91"/>
      <c r="F884" s="84"/>
      <c r="G884" s="84"/>
      <c r="H884" s="90"/>
      <c r="I884" s="84"/>
      <c r="J884" s="91"/>
      <c r="K884" s="84"/>
      <c r="L884" s="84"/>
      <c r="M884" s="90"/>
      <c r="N884" s="84"/>
      <c r="O884" s="91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30.0" customHeight="1">
      <c r="A885" s="90"/>
      <c r="B885" s="91"/>
      <c r="C885" s="84"/>
      <c r="D885" s="90"/>
      <c r="E885" s="91"/>
      <c r="F885" s="84"/>
      <c r="G885" s="84"/>
      <c r="H885" s="90"/>
      <c r="I885" s="84"/>
      <c r="J885" s="91"/>
      <c r="K885" s="84"/>
      <c r="L885" s="84"/>
      <c r="M885" s="90"/>
      <c r="N885" s="84"/>
      <c r="O885" s="91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30.0" customHeight="1">
      <c r="A886" s="90"/>
      <c r="B886" s="91"/>
      <c r="C886" s="84"/>
      <c r="D886" s="90"/>
      <c r="E886" s="91"/>
      <c r="F886" s="84"/>
      <c r="G886" s="84"/>
      <c r="H886" s="90"/>
      <c r="I886" s="84"/>
      <c r="J886" s="91"/>
      <c r="K886" s="84"/>
      <c r="L886" s="84"/>
      <c r="M886" s="90"/>
      <c r="N886" s="84"/>
      <c r="O886" s="91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30.0" customHeight="1">
      <c r="A887" s="90"/>
      <c r="B887" s="91"/>
      <c r="C887" s="84"/>
      <c r="D887" s="90"/>
      <c r="E887" s="91"/>
      <c r="F887" s="84"/>
      <c r="G887" s="84"/>
      <c r="H887" s="90"/>
      <c r="I887" s="84"/>
      <c r="J887" s="91"/>
      <c r="K887" s="84"/>
      <c r="L887" s="84"/>
      <c r="M887" s="90"/>
      <c r="N887" s="84"/>
      <c r="O887" s="91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30.0" customHeight="1">
      <c r="A888" s="90"/>
      <c r="B888" s="91"/>
      <c r="C888" s="84"/>
      <c r="D888" s="90"/>
      <c r="E888" s="91"/>
      <c r="F888" s="84"/>
      <c r="G888" s="84"/>
      <c r="H888" s="90"/>
      <c r="I888" s="84"/>
      <c r="J888" s="91"/>
      <c r="K888" s="84"/>
      <c r="L888" s="84"/>
      <c r="M888" s="90"/>
      <c r="N888" s="84"/>
      <c r="O888" s="91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30.0" customHeight="1">
      <c r="A889" s="90"/>
      <c r="B889" s="91"/>
      <c r="C889" s="84"/>
      <c r="D889" s="90"/>
      <c r="E889" s="91"/>
      <c r="F889" s="84"/>
      <c r="G889" s="84"/>
      <c r="H889" s="90"/>
      <c r="I889" s="84"/>
      <c r="J889" s="91"/>
      <c r="K889" s="84"/>
      <c r="L889" s="84"/>
      <c r="M889" s="90"/>
      <c r="N889" s="84"/>
      <c r="O889" s="91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30.0" customHeight="1">
      <c r="A890" s="90"/>
      <c r="B890" s="91"/>
      <c r="C890" s="84"/>
      <c r="D890" s="90"/>
      <c r="E890" s="91"/>
      <c r="F890" s="84"/>
      <c r="G890" s="84"/>
      <c r="H890" s="90"/>
      <c r="I890" s="84"/>
      <c r="J890" s="91"/>
      <c r="K890" s="84"/>
      <c r="L890" s="84"/>
      <c r="M890" s="90"/>
      <c r="N890" s="84"/>
      <c r="O890" s="91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30.0" customHeight="1">
      <c r="A891" s="90"/>
      <c r="B891" s="91"/>
      <c r="C891" s="84"/>
      <c r="D891" s="90"/>
      <c r="E891" s="91"/>
      <c r="F891" s="84"/>
      <c r="G891" s="84"/>
      <c r="H891" s="90"/>
      <c r="I891" s="84"/>
      <c r="J891" s="91"/>
      <c r="K891" s="84"/>
      <c r="L891" s="84"/>
      <c r="M891" s="90"/>
      <c r="N891" s="84"/>
      <c r="O891" s="91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30.0" customHeight="1">
      <c r="A892" s="90"/>
      <c r="B892" s="91"/>
      <c r="C892" s="84"/>
      <c r="D892" s="90"/>
      <c r="E892" s="91"/>
      <c r="F892" s="84"/>
      <c r="G892" s="84"/>
      <c r="H892" s="90"/>
      <c r="I892" s="84"/>
      <c r="J892" s="91"/>
      <c r="K892" s="84"/>
      <c r="L892" s="84"/>
      <c r="M892" s="90"/>
      <c r="N892" s="84"/>
      <c r="O892" s="91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30.0" customHeight="1">
      <c r="A893" s="90"/>
      <c r="B893" s="91"/>
      <c r="C893" s="84"/>
      <c r="D893" s="90"/>
      <c r="E893" s="91"/>
      <c r="F893" s="84"/>
      <c r="G893" s="84"/>
      <c r="H893" s="90"/>
      <c r="I893" s="84"/>
      <c r="J893" s="91"/>
      <c r="K893" s="84"/>
      <c r="L893" s="84"/>
      <c r="M893" s="90"/>
      <c r="N893" s="84"/>
      <c r="O893" s="91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30.0" customHeight="1">
      <c r="A894" s="90"/>
      <c r="B894" s="91"/>
      <c r="C894" s="84"/>
      <c r="D894" s="90"/>
      <c r="E894" s="91"/>
      <c r="F894" s="84"/>
      <c r="G894" s="84"/>
      <c r="H894" s="90"/>
      <c r="I894" s="84"/>
      <c r="J894" s="91"/>
      <c r="K894" s="84"/>
      <c r="L894" s="84"/>
      <c r="M894" s="90"/>
      <c r="N894" s="84"/>
      <c r="O894" s="91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30.0" customHeight="1">
      <c r="A895" s="90"/>
      <c r="B895" s="91"/>
      <c r="C895" s="84"/>
      <c r="D895" s="90"/>
      <c r="E895" s="91"/>
      <c r="F895" s="84"/>
      <c r="G895" s="84"/>
      <c r="H895" s="90"/>
      <c r="I895" s="84"/>
      <c r="J895" s="91"/>
      <c r="K895" s="84"/>
      <c r="L895" s="84"/>
      <c r="M895" s="90"/>
      <c r="N895" s="84"/>
      <c r="O895" s="91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30.0" customHeight="1">
      <c r="A896" s="90"/>
      <c r="B896" s="91"/>
      <c r="C896" s="84"/>
      <c r="D896" s="90"/>
      <c r="E896" s="91"/>
      <c r="F896" s="84"/>
      <c r="G896" s="84"/>
      <c r="H896" s="90"/>
      <c r="I896" s="84"/>
      <c r="J896" s="91"/>
      <c r="K896" s="84"/>
      <c r="L896" s="84"/>
      <c r="M896" s="90"/>
      <c r="N896" s="84"/>
      <c r="O896" s="91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30.0" customHeight="1">
      <c r="A897" s="90"/>
      <c r="B897" s="91"/>
      <c r="C897" s="84"/>
      <c r="D897" s="90"/>
      <c r="E897" s="91"/>
      <c r="F897" s="84"/>
      <c r="G897" s="84"/>
      <c r="H897" s="90"/>
      <c r="I897" s="84"/>
      <c r="J897" s="91"/>
      <c r="K897" s="84"/>
      <c r="L897" s="84"/>
      <c r="M897" s="90"/>
      <c r="N897" s="84"/>
      <c r="O897" s="91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30.0" customHeight="1">
      <c r="A898" s="90"/>
      <c r="B898" s="91"/>
      <c r="C898" s="84"/>
      <c r="D898" s="90"/>
      <c r="E898" s="91"/>
      <c r="F898" s="84"/>
      <c r="G898" s="84"/>
      <c r="H898" s="90"/>
      <c r="I898" s="84"/>
      <c r="J898" s="91"/>
      <c r="K898" s="84"/>
      <c r="L898" s="84"/>
      <c r="M898" s="90"/>
      <c r="N898" s="84"/>
      <c r="O898" s="91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30.0" customHeight="1">
      <c r="A899" s="90"/>
      <c r="B899" s="91"/>
      <c r="C899" s="84"/>
      <c r="D899" s="90"/>
      <c r="E899" s="91"/>
      <c r="F899" s="84"/>
      <c r="G899" s="84"/>
      <c r="H899" s="90"/>
      <c r="I899" s="84"/>
      <c r="J899" s="91"/>
      <c r="K899" s="84"/>
      <c r="L899" s="84"/>
      <c r="M899" s="90"/>
      <c r="N899" s="84"/>
      <c r="O899" s="91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30.0" customHeight="1">
      <c r="A900" s="90"/>
      <c r="B900" s="91"/>
      <c r="C900" s="84"/>
      <c r="D900" s="90"/>
      <c r="E900" s="91"/>
      <c r="F900" s="84"/>
      <c r="G900" s="84"/>
      <c r="H900" s="90"/>
      <c r="I900" s="84"/>
      <c r="J900" s="91"/>
      <c r="K900" s="84"/>
      <c r="L900" s="84"/>
      <c r="M900" s="90"/>
      <c r="N900" s="84"/>
      <c r="O900" s="91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30.0" customHeight="1">
      <c r="A901" s="90"/>
      <c r="B901" s="91"/>
      <c r="C901" s="84"/>
      <c r="D901" s="90"/>
      <c r="E901" s="91"/>
      <c r="F901" s="84"/>
      <c r="G901" s="84"/>
      <c r="H901" s="90"/>
      <c r="I901" s="84"/>
      <c r="J901" s="91"/>
      <c r="K901" s="84"/>
      <c r="L901" s="84"/>
      <c r="M901" s="90"/>
      <c r="N901" s="84"/>
      <c r="O901" s="91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30.0" customHeight="1">
      <c r="A902" s="90"/>
      <c r="B902" s="91"/>
      <c r="C902" s="84"/>
      <c r="D902" s="90"/>
      <c r="E902" s="91"/>
      <c r="F902" s="84"/>
      <c r="G902" s="84"/>
      <c r="H902" s="90"/>
      <c r="I902" s="84"/>
      <c r="J902" s="91"/>
      <c r="K902" s="84"/>
      <c r="L902" s="84"/>
      <c r="M902" s="90"/>
      <c r="N902" s="84"/>
      <c r="O902" s="91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30.0" customHeight="1">
      <c r="A903" s="90"/>
      <c r="B903" s="91"/>
      <c r="C903" s="84"/>
      <c r="D903" s="90"/>
      <c r="E903" s="91"/>
      <c r="F903" s="84"/>
      <c r="G903" s="84"/>
      <c r="H903" s="90"/>
      <c r="I903" s="84"/>
      <c r="J903" s="91"/>
      <c r="K903" s="84"/>
      <c r="L903" s="84"/>
      <c r="M903" s="90"/>
      <c r="N903" s="84"/>
      <c r="O903" s="91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30.0" customHeight="1">
      <c r="A904" s="90"/>
      <c r="B904" s="91"/>
      <c r="C904" s="84"/>
      <c r="D904" s="90"/>
      <c r="E904" s="91"/>
      <c r="F904" s="84"/>
      <c r="G904" s="84"/>
      <c r="H904" s="90"/>
      <c r="I904" s="84"/>
      <c r="J904" s="91"/>
      <c r="K904" s="84"/>
      <c r="L904" s="84"/>
      <c r="M904" s="90"/>
      <c r="N904" s="84"/>
      <c r="O904" s="91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30.0" customHeight="1">
      <c r="A905" s="90"/>
      <c r="B905" s="91"/>
      <c r="C905" s="84"/>
      <c r="D905" s="90"/>
      <c r="E905" s="91"/>
      <c r="F905" s="84"/>
      <c r="G905" s="84"/>
      <c r="H905" s="90"/>
      <c r="I905" s="84"/>
      <c r="J905" s="91"/>
      <c r="K905" s="84"/>
      <c r="L905" s="84"/>
      <c r="M905" s="90"/>
      <c r="N905" s="84"/>
      <c r="O905" s="91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30.0" customHeight="1">
      <c r="A906" s="90"/>
      <c r="B906" s="91"/>
      <c r="C906" s="84"/>
      <c r="D906" s="90"/>
      <c r="E906" s="91"/>
      <c r="F906" s="84"/>
      <c r="G906" s="84"/>
      <c r="H906" s="90"/>
      <c r="I906" s="84"/>
      <c r="J906" s="91"/>
      <c r="K906" s="84"/>
      <c r="L906" s="84"/>
      <c r="M906" s="90"/>
      <c r="N906" s="84"/>
      <c r="O906" s="91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30.0" customHeight="1">
      <c r="A907" s="90"/>
      <c r="B907" s="91"/>
      <c r="C907" s="84"/>
      <c r="D907" s="90"/>
      <c r="E907" s="91"/>
      <c r="F907" s="84"/>
      <c r="G907" s="84"/>
      <c r="H907" s="90"/>
      <c r="I907" s="84"/>
      <c r="J907" s="91"/>
      <c r="K907" s="84"/>
      <c r="L907" s="84"/>
      <c r="M907" s="90"/>
      <c r="N907" s="84"/>
      <c r="O907" s="91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30.0" customHeight="1">
      <c r="A908" s="90"/>
      <c r="B908" s="91"/>
      <c r="C908" s="84"/>
      <c r="D908" s="90"/>
      <c r="E908" s="91"/>
      <c r="F908" s="84"/>
      <c r="G908" s="84"/>
      <c r="H908" s="90"/>
      <c r="I908" s="84"/>
      <c r="J908" s="91"/>
      <c r="K908" s="84"/>
      <c r="L908" s="84"/>
      <c r="M908" s="90"/>
      <c r="N908" s="84"/>
      <c r="O908" s="91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30.0" customHeight="1">
      <c r="A909" s="90"/>
      <c r="B909" s="91"/>
      <c r="C909" s="84"/>
      <c r="D909" s="90"/>
      <c r="E909" s="91"/>
      <c r="F909" s="84"/>
      <c r="G909" s="84"/>
      <c r="H909" s="90"/>
      <c r="I909" s="84"/>
      <c r="J909" s="91"/>
      <c r="K909" s="84"/>
      <c r="L909" s="84"/>
      <c r="M909" s="90"/>
      <c r="N909" s="84"/>
      <c r="O909" s="91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30.0" customHeight="1">
      <c r="A910" s="90"/>
      <c r="B910" s="91"/>
      <c r="C910" s="84"/>
      <c r="D910" s="90"/>
      <c r="E910" s="91"/>
      <c r="F910" s="84"/>
      <c r="G910" s="84"/>
      <c r="H910" s="90"/>
      <c r="I910" s="84"/>
      <c r="J910" s="91"/>
      <c r="K910" s="84"/>
      <c r="L910" s="84"/>
      <c r="M910" s="90"/>
      <c r="N910" s="84"/>
      <c r="O910" s="91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30.0" customHeight="1">
      <c r="A911" s="90"/>
      <c r="B911" s="91"/>
      <c r="C911" s="84"/>
      <c r="D911" s="90"/>
      <c r="E911" s="91"/>
      <c r="F911" s="84"/>
      <c r="G911" s="84"/>
      <c r="H911" s="90"/>
      <c r="I911" s="84"/>
      <c r="J911" s="91"/>
      <c r="K911" s="84"/>
      <c r="L911" s="84"/>
      <c r="M911" s="90"/>
      <c r="N911" s="84"/>
      <c r="O911" s="91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30.0" customHeight="1">
      <c r="A912" s="90"/>
      <c r="B912" s="91"/>
      <c r="C912" s="84"/>
      <c r="D912" s="90"/>
      <c r="E912" s="91"/>
      <c r="F912" s="84"/>
      <c r="G912" s="84"/>
      <c r="H912" s="90"/>
      <c r="I912" s="84"/>
      <c r="J912" s="91"/>
      <c r="K912" s="84"/>
      <c r="L912" s="84"/>
      <c r="M912" s="90"/>
      <c r="N912" s="84"/>
      <c r="O912" s="91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30.0" customHeight="1">
      <c r="A913" s="90"/>
      <c r="B913" s="91"/>
      <c r="C913" s="84"/>
      <c r="D913" s="90"/>
      <c r="E913" s="91"/>
      <c r="F913" s="84"/>
      <c r="G913" s="84"/>
      <c r="H913" s="90"/>
      <c r="I913" s="84"/>
      <c r="J913" s="91"/>
      <c r="K913" s="84"/>
      <c r="L913" s="84"/>
      <c r="M913" s="90"/>
      <c r="N913" s="84"/>
      <c r="O913" s="91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30.0" customHeight="1">
      <c r="A914" s="90"/>
      <c r="B914" s="91"/>
      <c r="C914" s="84"/>
      <c r="D914" s="90"/>
      <c r="E914" s="91"/>
      <c r="F914" s="84"/>
      <c r="G914" s="84"/>
      <c r="H914" s="90"/>
      <c r="I914" s="84"/>
      <c r="J914" s="91"/>
      <c r="K914" s="84"/>
      <c r="L914" s="84"/>
      <c r="M914" s="90"/>
      <c r="N914" s="84"/>
      <c r="O914" s="91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30.0" customHeight="1">
      <c r="A915" s="90"/>
      <c r="B915" s="91"/>
      <c r="C915" s="84"/>
      <c r="D915" s="90"/>
      <c r="E915" s="91"/>
      <c r="F915" s="84"/>
      <c r="G915" s="84"/>
      <c r="H915" s="90"/>
      <c r="I915" s="84"/>
      <c r="J915" s="91"/>
      <c r="K915" s="84"/>
      <c r="L915" s="84"/>
      <c r="M915" s="90"/>
      <c r="N915" s="84"/>
      <c r="O915" s="91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30.0" customHeight="1">
      <c r="A916" s="90"/>
      <c r="B916" s="91"/>
      <c r="C916" s="84"/>
      <c r="D916" s="90"/>
      <c r="E916" s="91"/>
      <c r="F916" s="84"/>
      <c r="G916" s="84"/>
      <c r="H916" s="90"/>
      <c r="I916" s="84"/>
      <c r="J916" s="91"/>
      <c r="K916" s="84"/>
      <c r="L916" s="84"/>
      <c r="M916" s="90"/>
      <c r="N916" s="84"/>
      <c r="O916" s="91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30.0" customHeight="1">
      <c r="A917" s="90"/>
      <c r="B917" s="91"/>
      <c r="C917" s="84"/>
      <c r="D917" s="90"/>
      <c r="E917" s="91"/>
      <c r="F917" s="84"/>
      <c r="G917" s="84"/>
      <c r="H917" s="90"/>
      <c r="I917" s="84"/>
      <c r="J917" s="91"/>
      <c r="K917" s="84"/>
      <c r="L917" s="84"/>
      <c r="M917" s="90"/>
      <c r="N917" s="84"/>
      <c r="O917" s="91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30.0" customHeight="1">
      <c r="A918" s="90"/>
      <c r="B918" s="91"/>
      <c r="C918" s="84"/>
      <c r="D918" s="90"/>
      <c r="E918" s="91"/>
      <c r="F918" s="84"/>
      <c r="G918" s="84"/>
      <c r="H918" s="90"/>
      <c r="I918" s="84"/>
      <c r="J918" s="91"/>
      <c r="K918" s="84"/>
      <c r="L918" s="84"/>
      <c r="M918" s="90"/>
      <c r="N918" s="84"/>
      <c r="O918" s="91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30.0" customHeight="1">
      <c r="A919" s="90"/>
      <c r="B919" s="91"/>
      <c r="C919" s="84"/>
      <c r="D919" s="90"/>
      <c r="E919" s="91"/>
      <c r="F919" s="84"/>
      <c r="G919" s="84"/>
      <c r="H919" s="90"/>
      <c r="I919" s="84"/>
      <c r="J919" s="91"/>
      <c r="K919" s="84"/>
      <c r="L919" s="84"/>
      <c r="M919" s="90"/>
      <c r="N919" s="84"/>
      <c r="O919" s="91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30.0" customHeight="1">
      <c r="A920" s="90"/>
      <c r="B920" s="91"/>
      <c r="C920" s="84"/>
      <c r="D920" s="90"/>
      <c r="E920" s="91"/>
      <c r="F920" s="84"/>
      <c r="G920" s="84"/>
      <c r="H920" s="90"/>
      <c r="I920" s="84"/>
      <c r="J920" s="91"/>
      <c r="K920" s="84"/>
      <c r="L920" s="84"/>
      <c r="M920" s="90"/>
      <c r="N920" s="84"/>
      <c r="O920" s="91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30.0" customHeight="1">
      <c r="A921" s="90"/>
      <c r="B921" s="91"/>
      <c r="C921" s="84"/>
      <c r="D921" s="90"/>
      <c r="E921" s="91"/>
      <c r="F921" s="84"/>
      <c r="G921" s="84"/>
      <c r="H921" s="90"/>
      <c r="I921" s="84"/>
      <c r="J921" s="91"/>
      <c r="K921" s="84"/>
      <c r="L921" s="84"/>
      <c r="M921" s="90"/>
      <c r="N921" s="84"/>
      <c r="O921" s="91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30.0" customHeight="1">
      <c r="A922" s="90"/>
      <c r="B922" s="91"/>
      <c r="C922" s="84"/>
      <c r="D922" s="90"/>
      <c r="E922" s="91"/>
      <c r="F922" s="84"/>
      <c r="G922" s="84"/>
      <c r="H922" s="90"/>
      <c r="I922" s="84"/>
      <c r="J922" s="91"/>
      <c r="K922" s="84"/>
      <c r="L922" s="84"/>
      <c r="M922" s="90"/>
      <c r="N922" s="84"/>
      <c r="O922" s="91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30.0" customHeight="1">
      <c r="A923" s="90"/>
      <c r="B923" s="91"/>
      <c r="C923" s="84"/>
      <c r="D923" s="90"/>
      <c r="E923" s="91"/>
      <c r="F923" s="84"/>
      <c r="G923" s="84"/>
      <c r="H923" s="90"/>
      <c r="I923" s="84"/>
      <c r="J923" s="91"/>
      <c r="K923" s="84"/>
      <c r="L923" s="84"/>
      <c r="M923" s="90"/>
      <c r="N923" s="84"/>
      <c r="O923" s="91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30.0" customHeight="1">
      <c r="A924" s="90"/>
      <c r="B924" s="91"/>
      <c r="C924" s="84"/>
      <c r="D924" s="90"/>
      <c r="E924" s="91"/>
      <c r="F924" s="84"/>
      <c r="G924" s="84"/>
      <c r="H924" s="90"/>
      <c r="I924" s="84"/>
      <c r="J924" s="91"/>
      <c r="K924" s="84"/>
      <c r="L924" s="84"/>
      <c r="M924" s="90"/>
      <c r="N924" s="84"/>
      <c r="O924" s="91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30.0" customHeight="1">
      <c r="A925" s="90"/>
      <c r="B925" s="91"/>
      <c r="C925" s="84"/>
      <c r="D925" s="90"/>
      <c r="E925" s="91"/>
      <c r="F925" s="84"/>
      <c r="G925" s="84"/>
      <c r="H925" s="90"/>
      <c r="I925" s="84"/>
      <c r="J925" s="91"/>
      <c r="K925" s="84"/>
      <c r="L925" s="84"/>
      <c r="M925" s="90"/>
      <c r="N925" s="84"/>
      <c r="O925" s="91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30.0" customHeight="1">
      <c r="A926" s="90"/>
      <c r="B926" s="91"/>
      <c r="C926" s="84"/>
      <c r="D926" s="90"/>
      <c r="E926" s="91"/>
      <c r="F926" s="84"/>
      <c r="G926" s="84"/>
      <c r="H926" s="90"/>
      <c r="I926" s="84"/>
      <c r="J926" s="91"/>
      <c r="K926" s="84"/>
      <c r="L926" s="84"/>
      <c r="M926" s="90"/>
      <c r="N926" s="84"/>
      <c r="O926" s="91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30.0" customHeight="1">
      <c r="A927" s="90"/>
      <c r="B927" s="91"/>
      <c r="C927" s="84"/>
      <c r="D927" s="90"/>
      <c r="E927" s="91"/>
      <c r="F927" s="84"/>
      <c r="G927" s="84"/>
      <c r="H927" s="90"/>
      <c r="I927" s="84"/>
      <c r="J927" s="91"/>
      <c r="K927" s="84"/>
      <c r="L927" s="84"/>
      <c r="M927" s="90"/>
      <c r="N927" s="84"/>
      <c r="O927" s="91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30.0" customHeight="1">
      <c r="A928" s="90"/>
      <c r="B928" s="91"/>
      <c r="C928" s="84"/>
      <c r="D928" s="90"/>
      <c r="E928" s="91"/>
      <c r="F928" s="84"/>
      <c r="G928" s="84"/>
      <c r="H928" s="90"/>
      <c r="I928" s="84"/>
      <c r="J928" s="91"/>
      <c r="K928" s="84"/>
      <c r="L928" s="84"/>
      <c r="M928" s="90"/>
      <c r="N928" s="84"/>
      <c r="O928" s="91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30.0" customHeight="1">
      <c r="A929" s="90"/>
      <c r="B929" s="91"/>
      <c r="C929" s="84"/>
      <c r="D929" s="90"/>
      <c r="E929" s="91"/>
      <c r="F929" s="84"/>
      <c r="G929" s="84"/>
      <c r="H929" s="90"/>
      <c r="I929" s="84"/>
      <c r="J929" s="91"/>
      <c r="K929" s="84"/>
      <c r="L929" s="84"/>
      <c r="M929" s="90"/>
      <c r="N929" s="84"/>
      <c r="O929" s="91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30.0" customHeight="1">
      <c r="A930" s="90"/>
      <c r="B930" s="91"/>
      <c r="C930" s="84"/>
      <c r="D930" s="90"/>
      <c r="E930" s="91"/>
      <c r="F930" s="84"/>
      <c r="G930" s="84"/>
      <c r="H930" s="90"/>
      <c r="I930" s="84"/>
      <c r="J930" s="91"/>
      <c r="K930" s="84"/>
      <c r="L930" s="84"/>
      <c r="M930" s="90"/>
      <c r="N930" s="84"/>
      <c r="O930" s="91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30.0" customHeight="1">
      <c r="A931" s="90"/>
      <c r="B931" s="91"/>
      <c r="C931" s="84"/>
      <c r="D931" s="90"/>
      <c r="E931" s="91"/>
      <c r="F931" s="84"/>
      <c r="G931" s="84"/>
      <c r="H931" s="90"/>
      <c r="I931" s="84"/>
      <c r="J931" s="91"/>
      <c r="K931" s="84"/>
      <c r="L931" s="84"/>
      <c r="M931" s="90"/>
      <c r="N931" s="84"/>
      <c r="O931" s="91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30.0" customHeight="1">
      <c r="A932" s="90"/>
      <c r="B932" s="91"/>
      <c r="C932" s="84"/>
      <c r="D932" s="90"/>
      <c r="E932" s="91"/>
      <c r="F932" s="84"/>
      <c r="G932" s="84"/>
      <c r="H932" s="90"/>
      <c r="I932" s="84"/>
      <c r="J932" s="91"/>
      <c r="K932" s="84"/>
      <c r="L932" s="84"/>
      <c r="M932" s="90"/>
      <c r="N932" s="84"/>
      <c r="O932" s="91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30.0" customHeight="1">
      <c r="A933" s="90"/>
      <c r="B933" s="91"/>
      <c r="C933" s="84"/>
      <c r="D933" s="90"/>
      <c r="E933" s="91"/>
      <c r="F933" s="84"/>
      <c r="G933" s="84"/>
      <c r="H933" s="90"/>
      <c r="I933" s="84"/>
      <c r="J933" s="91"/>
      <c r="K933" s="84"/>
      <c r="L933" s="84"/>
      <c r="M933" s="90"/>
      <c r="N933" s="84"/>
      <c r="O933" s="91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30.0" customHeight="1">
      <c r="A934" s="90"/>
      <c r="B934" s="91"/>
      <c r="C934" s="84"/>
      <c r="D934" s="90"/>
      <c r="E934" s="91"/>
      <c r="F934" s="84"/>
      <c r="G934" s="84"/>
      <c r="H934" s="90"/>
      <c r="I934" s="84"/>
      <c r="J934" s="91"/>
      <c r="K934" s="84"/>
      <c r="L934" s="84"/>
      <c r="M934" s="90"/>
      <c r="N934" s="84"/>
      <c r="O934" s="91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30.0" customHeight="1">
      <c r="A935" s="90"/>
      <c r="B935" s="91"/>
      <c r="C935" s="84"/>
      <c r="D935" s="90"/>
      <c r="E935" s="91"/>
      <c r="F935" s="84"/>
      <c r="G935" s="84"/>
      <c r="H935" s="90"/>
      <c r="I935" s="84"/>
      <c r="J935" s="91"/>
      <c r="K935" s="84"/>
      <c r="L935" s="84"/>
      <c r="M935" s="90"/>
      <c r="N935" s="84"/>
      <c r="O935" s="91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30.0" customHeight="1">
      <c r="A936" s="90"/>
      <c r="B936" s="91"/>
      <c r="C936" s="84"/>
      <c r="D936" s="90"/>
      <c r="E936" s="91"/>
      <c r="F936" s="84"/>
      <c r="G936" s="84"/>
      <c r="H936" s="90"/>
      <c r="I936" s="84"/>
      <c r="J936" s="91"/>
      <c r="K936" s="84"/>
      <c r="L936" s="84"/>
      <c r="M936" s="90"/>
      <c r="N936" s="84"/>
      <c r="O936" s="91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30.0" customHeight="1">
      <c r="A937" s="90"/>
      <c r="B937" s="91"/>
      <c r="C937" s="84"/>
      <c r="D937" s="90"/>
      <c r="E937" s="91"/>
      <c r="F937" s="84"/>
      <c r="G937" s="84"/>
      <c r="H937" s="90"/>
      <c r="I937" s="84"/>
      <c r="J937" s="91"/>
      <c r="K937" s="84"/>
      <c r="L937" s="84"/>
      <c r="M937" s="90"/>
      <c r="N937" s="84"/>
      <c r="O937" s="91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30.0" customHeight="1">
      <c r="A938" s="90"/>
      <c r="B938" s="91"/>
      <c r="C938" s="84"/>
      <c r="D938" s="90"/>
      <c r="E938" s="91"/>
      <c r="F938" s="84"/>
      <c r="G938" s="84"/>
      <c r="H938" s="90"/>
      <c r="I938" s="84"/>
      <c r="J938" s="91"/>
      <c r="K938" s="84"/>
      <c r="L938" s="84"/>
      <c r="M938" s="90"/>
      <c r="N938" s="84"/>
      <c r="O938" s="91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30.0" customHeight="1">
      <c r="A939" s="90"/>
      <c r="B939" s="91"/>
      <c r="C939" s="84"/>
      <c r="D939" s="90"/>
      <c r="E939" s="91"/>
      <c r="F939" s="84"/>
      <c r="G939" s="84"/>
      <c r="H939" s="90"/>
      <c r="I939" s="84"/>
      <c r="J939" s="91"/>
      <c r="K939" s="84"/>
      <c r="L939" s="84"/>
      <c r="M939" s="90"/>
      <c r="N939" s="84"/>
      <c r="O939" s="91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30.0" customHeight="1">
      <c r="A940" s="90"/>
      <c r="B940" s="91"/>
      <c r="C940" s="84"/>
      <c r="D940" s="90"/>
      <c r="E940" s="91"/>
      <c r="F940" s="84"/>
      <c r="G940" s="84"/>
      <c r="H940" s="90"/>
      <c r="I940" s="84"/>
      <c r="J940" s="91"/>
      <c r="K940" s="84"/>
      <c r="L940" s="84"/>
      <c r="M940" s="90"/>
      <c r="N940" s="84"/>
      <c r="O940" s="91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30.0" customHeight="1">
      <c r="A941" s="90"/>
      <c r="B941" s="91"/>
      <c r="C941" s="84"/>
      <c r="D941" s="90"/>
      <c r="E941" s="91"/>
      <c r="F941" s="84"/>
      <c r="G941" s="84"/>
      <c r="H941" s="90"/>
      <c r="I941" s="84"/>
      <c r="J941" s="91"/>
      <c r="K941" s="84"/>
      <c r="L941" s="84"/>
      <c r="M941" s="90"/>
      <c r="N941" s="84"/>
      <c r="O941" s="91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30.0" customHeight="1">
      <c r="A942" s="90"/>
      <c r="B942" s="91"/>
      <c r="C942" s="84"/>
      <c r="D942" s="90"/>
      <c r="E942" s="91"/>
      <c r="F942" s="84"/>
      <c r="G942" s="84"/>
      <c r="H942" s="90"/>
      <c r="I942" s="84"/>
      <c r="J942" s="91"/>
      <c r="K942" s="84"/>
      <c r="L942" s="84"/>
      <c r="M942" s="90"/>
      <c r="N942" s="84"/>
      <c r="O942" s="91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30.0" customHeight="1">
      <c r="A943" s="90"/>
      <c r="B943" s="91"/>
      <c r="C943" s="84"/>
      <c r="D943" s="90"/>
      <c r="E943" s="91"/>
      <c r="F943" s="84"/>
      <c r="G943" s="84"/>
      <c r="H943" s="90"/>
      <c r="I943" s="84"/>
      <c r="J943" s="91"/>
      <c r="K943" s="84"/>
      <c r="L943" s="84"/>
      <c r="M943" s="90"/>
      <c r="N943" s="84"/>
      <c r="O943" s="91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30.0" customHeight="1">
      <c r="A944" s="90"/>
      <c r="B944" s="91"/>
      <c r="C944" s="84"/>
      <c r="D944" s="90"/>
      <c r="E944" s="91"/>
      <c r="F944" s="84"/>
      <c r="G944" s="84"/>
      <c r="H944" s="90"/>
      <c r="I944" s="84"/>
      <c r="J944" s="91"/>
      <c r="K944" s="84"/>
      <c r="L944" s="84"/>
      <c r="M944" s="90"/>
      <c r="N944" s="84"/>
      <c r="O944" s="91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30.0" customHeight="1">
      <c r="A945" s="90"/>
      <c r="B945" s="91"/>
      <c r="C945" s="84"/>
      <c r="D945" s="90"/>
      <c r="E945" s="91"/>
      <c r="F945" s="84"/>
      <c r="G945" s="84"/>
      <c r="H945" s="90"/>
      <c r="I945" s="84"/>
      <c r="J945" s="91"/>
      <c r="K945" s="84"/>
      <c r="L945" s="84"/>
      <c r="M945" s="90"/>
      <c r="N945" s="84"/>
      <c r="O945" s="91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30.0" customHeight="1">
      <c r="A946" s="90"/>
      <c r="B946" s="91"/>
      <c r="C946" s="84"/>
      <c r="D946" s="90"/>
      <c r="E946" s="91"/>
      <c r="F946" s="84"/>
      <c r="G946" s="84"/>
      <c r="H946" s="90"/>
      <c r="I946" s="84"/>
      <c r="J946" s="91"/>
      <c r="K946" s="84"/>
      <c r="L946" s="84"/>
      <c r="M946" s="90"/>
      <c r="N946" s="84"/>
      <c r="O946" s="91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30.0" customHeight="1">
      <c r="A947" s="90"/>
      <c r="B947" s="91"/>
      <c r="C947" s="84"/>
      <c r="D947" s="90"/>
      <c r="E947" s="91"/>
      <c r="F947" s="84"/>
      <c r="G947" s="84"/>
      <c r="H947" s="90"/>
      <c r="I947" s="84"/>
      <c r="J947" s="91"/>
      <c r="K947" s="84"/>
      <c r="L947" s="84"/>
      <c r="M947" s="90"/>
      <c r="N947" s="84"/>
      <c r="O947" s="91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30.0" customHeight="1">
      <c r="A948" s="90"/>
      <c r="B948" s="91"/>
      <c r="C948" s="84"/>
      <c r="D948" s="90"/>
      <c r="E948" s="91"/>
      <c r="F948" s="84"/>
      <c r="G948" s="84"/>
      <c r="H948" s="90"/>
      <c r="I948" s="84"/>
      <c r="J948" s="91"/>
      <c r="K948" s="84"/>
      <c r="L948" s="84"/>
      <c r="M948" s="90"/>
      <c r="N948" s="84"/>
      <c r="O948" s="91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30.0" customHeight="1">
      <c r="A949" s="90"/>
      <c r="B949" s="91"/>
      <c r="C949" s="84"/>
      <c r="D949" s="90"/>
      <c r="E949" s="91"/>
      <c r="F949" s="84"/>
      <c r="G949" s="84"/>
      <c r="H949" s="90"/>
      <c r="I949" s="84"/>
      <c r="J949" s="91"/>
      <c r="K949" s="84"/>
      <c r="L949" s="84"/>
      <c r="M949" s="90"/>
      <c r="N949" s="84"/>
      <c r="O949" s="91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30.0" customHeight="1">
      <c r="A950" s="90"/>
      <c r="B950" s="91"/>
      <c r="C950" s="84"/>
      <c r="D950" s="90"/>
      <c r="E950" s="91"/>
      <c r="F950" s="84"/>
      <c r="G950" s="84"/>
      <c r="H950" s="90"/>
      <c r="I950" s="84"/>
      <c r="J950" s="91"/>
      <c r="K950" s="84"/>
      <c r="L950" s="84"/>
      <c r="M950" s="90"/>
      <c r="N950" s="84"/>
      <c r="O950" s="91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30.0" customHeight="1">
      <c r="A951" s="90"/>
      <c r="B951" s="91"/>
      <c r="C951" s="84"/>
      <c r="D951" s="90"/>
      <c r="E951" s="91"/>
      <c r="F951" s="84"/>
      <c r="G951" s="84"/>
      <c r="H951" s="90"/>
      <c r="I951" s="84"/>
      <c r="J951" s="91"/>
      <c r="K951" s="84"/>
      <c r="L951" s="84"/>
      <c r="M951" s="90"/>
      <c r="N951" s="84"/>
      <c r="O951" s="91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30.0" customHeight="1">
      <c r="A952" s="90"/>
      <c r="B952" s="91"/>
      <c r="C952" s="84"/>
      <c r="D952" s="90"/>
      <c r="E952" s="91"/>
      <c r="F952" s="84"/>
      <c r="G952" s="84"/>
      <c r="H952" s="90"/>
      <c r="I952" s="84"/>
      <c r="J952" s="91"/>
      <c r="K952" s="84"/>
      <c r="L952" s="84"/>
      <c r="M952" s="90"/>
      <c r="N952" s="84"/>
      <c r="O952" s="91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30.0" customHeight="1">
      <c r="A953" s="90"/>
      <c r="B953" s="91"/>
      <c r="C953" s="84"/>
      <c r="D953" s="90"/>
      <c r="E953" s="91"/>
      <c r="F953" s="84"/>
      <c r="G953" s="84"/>
      <c r="H953" s="90"/>
      <c r="I953" s="84"/>
      <c r="J953" s="91"/>
      <c r="K953" s="84"/>
      <c r="L953" s="84"/>
      <c r="M953" s="90"/>
      <c r="N953" s="84"/>
      <c r="O953" s="91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30.0" customHeight="1">
      <c r="A954" s="90"/>
      <c r="B954" s="91"/>
      <c r="C954" s="84"/>
      <c r="D954" s="90"/>
      <c r="E954" s="91"/>
      <c r="F954" s="84"/>
      <c r="G954" s="84"/>
      <c r="H954" s="90"/>
      <c r="I954" s="84"/>
      <c r="J954" s="91"/>
      <c r="K954" s="84"/>
      <c r="L954" s="84"/>
      <c r="M954" s="90"/>
      <c r="N954" s="84"/>
      <c r="O954" s="91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30.0" customHeight="1">
      <c r="A955" s="90"/>
      <c r="B955" s="91"/>
      <c r="C955" s="84"/>
      <c r="D955" s="90"/>
      <c r="E955" s="91"/>
      <c r="F955" s="84"/>
      <c r="G955" s="84"/>
      <c r="H955" s="90"/>
      <c r="I955" s="84"/>
      <c r="J955" s="91"/>
      <c r="K955" s="84"/>
      <c r="L955" s="84"/>
      <c r="M955" s="90"/>
      <c r="N955" s="84"/>
      <c r="O955" s="91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30.0" customHeight="1">
      <c r="A956" s="90"/>
      <c r="B956" s="91"/>
      <c r="C956" s="84"/>
      <c r="D956" s="90"/>
      <c r="E956" s="91"/>
      <c r="F956" s="84"/>
      <c r="G956" s="84"/>
      <c r="H956" s="90"/>
      <c r="I956" s="84"/>
      <c r="J956" s="91"/>
      <c r="K956" s="84"/>
      <c r="L956" s="84"/>
      <c r="M956" s="90"/>
      <c r="N956" s="84"/>
      <c r="O956" s="91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30.0" customHeight="1">
      <c r="A957" s="90"/>
      <c r="B957" s="91"/>
      <c r="C957" s="84"/>
      <c r="D957" s="90"/>
      <c r="E957" s="91"/>
      <c r="F957" s="84"/>
      <c r="G957" s="84"/>
      <c r="H957" s="90"/>
      <c r="I957" s="84"/>
      <c r="J957" s="91"/>
      <c r="K957" s="84"/>
      <c r="L957" s="84"/>
      <c r="M957" s="90"/>
      <c r="N957" s="84"/>
      <c r="O957" s="91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30.0" customHeight="1">
      <c r="A958" s="90"/>
      <c r="B958" s="91"/>
      <c r="C958" s="84"/>
      <c r="D958" s="90"/>
      <c r="E958" s="91"/>
      <c r="F958" s="84"/>
      <c r="G958" s="84"/>
      <c r="H958" s="90"/>
      <c r="I958" s="84"/>
      <c r="J958" s="91"/>
      <c r="K958" s="84"/>
      <c r="L958" s="84"/>
      <c r="M958" s="90"/>
      <c r="N958" s="84"/>
      <c r="O958" s="91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30.0" customHeight="1">
      <c r="A959" s="90"/>
      <c r="B959" s="91"/>
      <c r="C959" s="84"/>
      <c r="D959" s="90"/>
      <c r="E959" s="91"/>
      <c r="F959" s="84"/>
      <c r="G959" s="84"/>
      <c r="H959" s="90"/>
      <c r="I959" s="84"/>
      <c r="J959" s="91"/>
      <c r="K959" s="84"/>
      <c r="L959" s="84"/>
      <c r="M959" s="90"/>
      <c r="N959" s="84"/>
      <c r="O959" s="91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30.0" customHeight="1">
      <c r="A960" s="90"/>
      <c r="B960" s="91"/>
      <c r="C960" s="84"/>
      <c r="D960" s="90"/>
      <c r="E960" s="91"/>
      <c r="F960" s="84"/>
      <c r="G960" s="84"/>
      <c r="H960" s="90"/>
      <c r="I960" s="84"/>
      <c r="J960" s="91"/>
      <c r="K960" s="84"/>
      <c r="L960" s="84"/>
      <c r="M960" s="90"/>
      <c r="N960" s="84"/>
      <c r="O960" s="91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30.0" customHeight="1">
      <c r="A961" s="90"/>
      <c r="B961" s="91"/>
      <c r="C961" s="84"/>
      <c r="D961" s="90"/>
      <c r="E961" s="91"/>
      <c r="F961" s="84"/>
      <c r="G961" s="84"/>
      <c r="H961" s="90"/>
      <c r="I961" s="84"/>
      <c r="J961" s="91"/>
      <c r="K961" s="84"/>
      <c r="L961" s="84"/>
      <c r="M961" s="90"/>
      <c r="N961" s="84"/>
      <c r="O961" s="91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30.0" customHeight="1">
      <c r="A962" s="90"/>
      <c r="B962" s="91"/>
      <c r="C962" s="84"/>
      <c r="D962" s="90"/>
      <c r="E962" s="91"/>
      <c r="F962" s="84"/>
      <c r="G962" s="84"/>
      <c r="H962" s="90"/>
      <c r="I962" s="84"/>
      <c r="J962" s="91"/>
      <c r="K962" s="84"/>
      <c r="L962" s="84"/>
      <c r="M962" s="90"/>
      <c r="N962" s="84"/>
      <c r="O962" s="91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30.0" customHeight="1">
      <c r="A963" s="90"/>
      <c r="B963" s="91"/>
      <c r="C963" s="84"/>
      <c r="D963" s="90"/>
      <c r="E963" s="91"/>
      <c r="F963" s="84"/>
      <c r="G963" s="84"/>
      <c r="H963" s="90"/>
      <c r="I963" s="84"/>
      <c r="J963" s="91"/>
      <c r="K963" s="84"/>
      <c r="L963" s="84"/>
      <c r="M963" s="90"/>
      <c r="N963" s="84"/>
      <c r="O963" s="91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30.0" customHeight="1">
      <c r="A964" s="90"/>
      <c r="B964" s="91"/>
      <c r="C964" s="84"/>
      <c r="D964" s="90"/>
      <c r="E964" s="91"/>
      <c r="F964" s="84"/>
      <c r="G964" s="84"/>
      <c r="H964" s="90"/>
      <c r="I964" s="84"/>
      <c r="J964" s="91"/>
      <c r="K964" s="84"/>
      <c r="L964" s="84"/>
      <c r="M964" s="90"/>
      <c r="N964" s="84"/>
      <c r="O964" s="91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30.0" customHeight="1">
      <c r="A965" s="90"/>
      <c r="B965" s="91"/>
      <c r="C965" s="84"/>
      <c r="D965" s="90"/>
      <c r="E965" s="91"/>
      <c r="F965" s="84"/>
      <c r="G965" s="84"/>
      <c r="H965" s="90"/>
      <c r="I965" s="84"/>
      <c r="J965" s="91"/>
      <c r="K965" s="84"/>
      <c r="L965" s="84"/>
      <c r="M965" s="90"/>
      <c r="N965" s="84"/>
      <c r="O965" s="91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30.0" customHeight="1">
      <c r="A966" s="90"/>
      <c r="B966" s="91"/>
      <c r="C966" s="84"/>
      <c r="D966" s="90"/>
      <c r="E966" s="91"/>
      <c r="F966" s="84"/>
      <c r="G966" s="84"/>
      <c r="H966" s="90"/>
      <c r="I966" s="84"/>
      <c r="J966" s="91"/>
      <c r="K966" s="84"/>
      <c r="L966" s="84"/>
      <c r="M966" s="90"/>
      <c r="N966" s="84"/>
      <c r="O966" s="91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30.0" customHeight="1">
      <c r="A967" s="90"/>
      <c r="B967" s="91"/>
      <c r="C967" s="84"/>
      <c r="D967" s="90"/>
      <c r="E967" s="91"/>
      <c r="F967" s="84"/>
      <c r="G967" s="84"/>
      <c r="H967" s="90"/>
      <c r="I967" s="84"/>
      <c r="J967" s="91"/>
      <c r="K967" s="84"/>
      <c r="L967" s="84"/>
      <c r="M967" s="90"/>
      <c r="N967" s="84"/>
      <c r="O967" s="91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30.0" customHeight="1">
      <c r="A968" s="90"/>
      <c r="B968" s="91"/>
      <c r="C968" s="84"/>
      <c r="D968" s="90"/>
      <c r="E968" s="91"/>
      <c r="F968" s="84"/>
      <c r="G968" s="84"/>
      <c r="H968" s="90"/>
      <c r="I968" s="84"/>
      <c r="J968" s="91"/>
      <c r="K968" s="84"/>
      <c r="L968" s="84"/>
      <c r="M968" s="90"/>
      <c r="N968" s="84"/>
      <c r="O968" s="91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30.0" customHeight="1">
      <c r="A969" s="90"/>
      <c r="B969" s="91"/>
      <c r="C969" s="84"/>
      <c r="D969" s="90"/>
      <c r="E969" s="91"/>
      <c r="F969" s="84"/>
      <c r="G969" s="84"/>
      <c r="H969" s="90"/>
      <c r="I969" s="84"/>
      <c r="J969" s="91"/>
      <c r="K969" s="84"/>
      <c r="L969" s="84"/>
      <c r="M969" s="90"/>
      <c r="N969" s="84"/>
      <c r="O969" s="91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30.0" customHeight="1">
      <c r="A970" s="90"/>
      <c r="B970" s="91"/>
      <c r="C970" s="84"/>
      <c r="D970" s="90"/>
      <c r="E970" s="91"/>
      <c r="F970" s="84"/>
      <c r="G970" s="84"/>
      <c r="H970" s="90"/>
      <c r="I970" s="84"/>
      <c r="J970" s="91"/>
      <c r="K970" s="84"/>
      <c r="L970" s="84"/>
      <c r="M970" s="90"/>
      <c r="N970" s="84"/>
      <c r="O970" s="91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30.0" customHeight="1">
      <c r="A971" s="90"/>
      <c r="B971" s="91"/>
      <c r="C971" s="84"/>
      <c r="D971" s="90"/>
      <c r="E971" s="91"/>
      <c r="F971" s="84"/>
      <c r="G971" s="84"/>
      <c r="H971" s="90"/>
      <c r="I971" s="84"/>
      <c r="J971" s="91"/>
      <c r="K971" s="84"/>
      <c r="L971" s="84"/>
      <c r="M971" s="90"/>
      <c r="N971" s="84"/>
      <c r="O971" s="91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30.0" customHeight="1">
      <c r="A972" s="90"/>
      <c r="B972" s="91"/>
      <c r="C972" s="84"/>
      <c r="D972" s="90"/>
      <c r="E972" s="91"/>
      <c r="F972" s="84"/>
      <c r="G972" s="84"/>
      <c r="H972" s="90"/>
      <c r="I972" s="84"/>
      <c r="J972" s="91"/>
      <c r="K972" s="84"/>
      <c r="L972" s="84"/>
      <c r="M972" s="90"/>
      <c r="N972" s="84"/>
      <c r="O972" s="91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30.0" customHeight="1">
      <c r="A973" s="90"/>
      <c r="B973" s="91"/>
      <c r="C973" s="84"/>
      <c r="D973" s="90"/>
      <c r="E973" s="91"/>
      <c r="F973" s="84"/>
      <c r="G973" s="84"/>
      <c r="H973" s="90"/>
      <c r="I973" s="84"/>
      <c r="J973" s="91"/>
      <c r="K973" s="84"/>
      <c r="L973" s="84"/>
      <c r="M973" s="90"/>
      <c r="N973" s="84"/>
      <c r="O973" s="91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30.0" customHeight="1">
      <c r="A974" s="90"/>
      <c r="B974" s="91"/>
      <c r="C974" s="84"/>
      <c r="D974" s="90"/>
      <c r="E974" s="91"/>
      <c r="F974" s="84"/>
      <c r="G974" s="84"/>
      <c r="H974" s="90"/>
      <c r="I974" s="84"/>
      <c r="J974" s="91"/>
      <c r="K974" s="84"/>
      <c r="L974" s="84"/>
      <c r="M974" s="90"/>
      <c r="N974" s="84"/>
      <c r="O974" s="91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30.0" customHeight="1">
      <c r="A975" s="90"/>
      <c r="B975" s="91"/>
      <c r="C975" s="84"/>
      <c r="D975" s="90"/>
      <c r="E975" s="91"/>
      <c r="F975" s="84"/>
      <c r="G975" s="84"/>
      <c r="H975" s="90"/>
      <c r="I975" s="84"/>
      <c r="J975" s="91"/>
      <c r="K975" s="84"/>
      <c r="L975" s="84"/>
      <c r="M975" s="90"/>
      <c r="N975" s="84"/>
      <c r="O975" s="91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30.0" customHeight="1">
      <c r="A976" s="90"/>
      <c r="B976" s="91"/>
      <c r="C976" s="84"/>
      <c r="D976" s="90"/>
      <c r="E976" s="91"/>
      <c r="F976" s="84"/>
      <c r="G976" s="84"/>
      <c r="H976" s="90"/>
      <c r="I976" s="84"/>
      <c r="J976" s="91"/>
      <c r="K976" s="84"/>
      <c r="L976" s="84"/>
      <c r="M976" s="90"/>
      <c r="N976" s="84"/>
      <c r="O976" s="91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30.0" customHeight="1">
      <c r="A977" s="90"/>
      <c r="B977" s="91"/>
      <c r="C977" s="84"/>
      <c r="D977" s="90"/>
      <c r="E977" s="91"/>
      <c r="F977" s="84"/>
      <c r="G977" s="84"/>
      <c r="H977" s="90"/>
      <c r="I977" s="84"/>
      <c r="J977" s="91"/>
      <c r="K977" s="84"/>
      <c r="L977" s="84"/>
      <c r="M977" s="90"/>
      <c r="N977" s="84"/>
      <c r="O977" s="91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30.0" customHeight="1">
      <c r="A978" s="90"/>
      <c r="B978" s="91"/>
      <c r="C978" s="84"/>
      <c r="D978" s="90"/>
      <c r="E978" s="91"/>
      <c r="F978" s="84"/>
      <c r="G978" s="84"/>
      <c r="H978" s="90"/>
      <c r="I978" s="84"/>
      <c r="J978" s="91"/>
      <c r="K978" s="84"/>
      <c r="L978" s="84"/>
      <c r="M978" s="90"/>
      <c r="N978" s="84"/>
      <c r="O978" s="91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30.0" customHeight="1">
      <c r="A979" s="90"/>
      <c r="B979" s="91"/>
      <c r="C979" s="84"/>
      <c r="D979" s="90"/>
      <c r="E979" s="91"/>
      <c r="F979" s="84"/>
      <c r="G979" s="84"/>
      <c r="H979" s="90"/>
      <c r="I979" s="84"/>
      <c r="J979" s="91"/>
      <c r="K979" s="84"/>
      <c r="L979" s="84"/>
      <c r="M979" s="90"/>
      <c r="N979" s="84"/>
      <c r="O979" s="91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30.0" customHeight="1">
      <c r="A980" s="90"/>
      <c r="B980" s="91"/>
      <c r="C980" s="84"/>
      <c r="D980" s="90"/>
      <c r="E980" s="91"/>
      <c r="F980" s="84"/>
      <c r="G980" s="84"/>
      <c r="H980" s="90"/>
      <c r="I980" s="84"/>
      <c r="J980" s="91"/>
      <c r="K980" s="84"/>
      <c r="L980" s="84"/>
      <c r="M980" s="90"/>
      <c r="N980" s="84"/>
      <c r="O980" s="91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30.0" customHeight="1">
      <c r="A981" s="90"/>
      <c r="B981" s="91"/>
      <c r="C981" s="84"/>
      <c r="D981" s="90"/>
      <c r="E981" s="91"/>
      <c r="F981" s="84"/>
      <c r="G981" s="84"/>
      <c r="H981" s="90"/>
      <c r="I981" s="84"/>
      <c r="J981" s="91"/>
      <c r="K981" s="84"/>
      <c r="L981" s="84"/>
      <c r="M981" s="90"/>
      <c r="N981" s="84"/>
      <c r="O981" s="91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30.0" customHeight="1">
      <c r="A982" s="90"/>
      <c r="B982" s="91"/>
      <c r="C982" s="84"/>
      <c r="D982" s="90"/>
      <c r="E982" s="91"/>
      <c r="F982" s="84"/>
      <c r="G982" s="84"/>
      <c r="H982" s="90"/>
      <c r="I982" s="84"/>
      <c r="J982" s="91"/>
      <c r="K982" s="84"/>
      <c r="L982" s="84"/>
      <c r="M982" s="90"/>
      <c r="N982" s="84"/>
      <c r="O982" s="91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30.0" customHeight="1">
      <c r="A983" s="90"/>
      <c r="B983" s="91"/>
      <c r="C983" s="84"/>
      <c r="D983" s="90"/>
      <c r="E983" s="91"/>
      <c r="F983" s="84"/>
      <c r="G983" s="84"/>
      <c r="H983" s="90"/>
      <c r="I983" s="84"/>
      <c r="J983" s="91"/>
      <c r="K983" s="84"/>
      <c r="L983" s="84"/>
      <c r="M983" s="90"/>
      <c r="N983" s="84"/>
      <c r="O983" s="91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ht="30.0" customHeight="1">
      <c r="A984" s="90"/>
      <c r="B984" s="91"/>
      <c r="C984" s="84"/>
      <c r="D984" s="90"/>
      <c r="E984" s="91"/>
      <c r="F984" s="84"/>
      <c r="G984" s="84"/>
      <c r="H984" s="90"/>
      <c r="I984" s="84"/>
      <c r="J984" s="91"/>
      <c r="K984" s="84"/>
      <c r="L984" s="84"/>
      <c r="M984" s="90"/>
      <c r="N984" s="84"/>
      <c r="O984" s="91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ht="30.0" customHeight="1">
      <c r="A985" s="90"/>
      <c r="B985" s="91"/>
      <c r="C985" s="84"/>
      <c r="D985" s="90"/>
      <c r="E985" s="91"/>
      <c r="F985" s="84"/>
      <c r="G985" s="84"/>
      <c r="H985" s="90"/>
      <c r="I985" s="84"/>
      <c r="J985" s="91"/>
      <c r="K985" s="84"/>
      <c r="L985" s="84"/>
      <c r="M985" s="90"/>
      <c r="N985" s="84"/>
      <c r="O985" s="91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ht="30.0" customHeight="1">
      <c r="A986" s="90"/>
      <c r="B986" s="91"/>
      <c r="C986" s="84"/>
      <c r="D986" s="90"/>
      <c r="E986" s="91"/>
      <c r="F986" s="84"/>
      <c r="G986" s="84"/>
      <c r="H986" s="90"/>
      <c r="I986" s="84"/>
      <c r="J986" s="91"/>
      <c r="K986" s="84"/>
      <c r="L986" s="84"/>
      <c r="M986" s="90"/>
      <c r="N986" s="84"/>
      <c r="O986" s="91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ht="30.0" customHeight="1">
      <c r="A987" s="90"/>
      <c r="B987" s="91"/>
      <c r="C987" s="84"/>
      <c r="D987" s="90"/>
      <c r="E987" s="91"/>
      <c r="F987" s="84"/>
      <c r="G987" s="84"/>
      <c r="H987" s="90"/>
      <c r="I987" s="84"/>
      <c r="J987" s="91"/>
      <c r="K987" s="84"/>
      <c r="L987" s="84"/>
      <c r="M987" s="90"/>
      <c r="N987" s="84"/>
      <c r="O987" s="91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ht="30.0" customHeight="1">
      <c r="A988" s="90"/>
      <c r="B988" s="91"/>
      <c r="C988" s="84"/>
      <c r="D988" s="90"/>
      <c r="E988" s="91"/>
      <c r="F988" s="84"/>
      <c r="G988" s="84"/>
      <c r="H988" s="90"/>
      <c r="I988" s="84"/>
      <c r="J988" s="91"/>
      <c r="K988" s="84"/>
      <c r="L988" s="84"/>
      <c r="M988" s="90"/>
      <c r="N988" s="84"/>
      <c r="O988" s="91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ht="30.0" customHeight="1">
      <c r="A989" s="90"/>
      <c r="B989" s="91"/>
      <c r="C989" s="84"/>
      <c r="D989" s="90"/>
      <c r="E989" s="91"/>
      <c r="F989" s="84"/>
      <c r="G989" s="84"/>
      <c r="H989" s="90"/>
      <c r="I989" s="84"/>
      <c r="J989" s="91"/>
      <c r="K989" s="84"/>
      <c r="L989" s="84"/>
      <c r="M989" s="90"/>
      <c r="N989" s="84"/>
      <c r="O989" s="91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ht="30.0" customHeight="1">
      <c r="A990" s="90"/>
      <c r="B990" s="91"/>
      <c r="C990" s="84"/>
      <c r="D990" s="90"/>
      <c r="E990" s="91"/>
      <c r="F990" s="84"/>
      <c r="G990" s="84"/>
      <c r="H990" s="90"/>
      <c r="I990" s="84"/>
      <c r="J990" s="91"/>
      <c r="K990" s="84"/>
      <c r="L990" s="84"/>
      <c r="M990" s="90"/>
      <c r="N990" s="84"/>
      <c r="O990" s="91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ht="30.0" customHeight="1">
      <c r="A991" s="90"/>
      <c r="B991" s="91"/>
      <c r="C991" s="84"/>
      <c r="D991" s="90"/>
      <c r="E991" s="91"/>
      <c r="F991" s="84"/>
      <c r="G991" s="84"/>
      <c r="H991" s="90"/>
      <c r="I991" s="84"/>
      <c r="J991" s="91"/>
      <c r="K991" s="84"/>
      <c r="L991" s="84"/>
      <c r="M991" s="90"/>
      <c r="N991" s="84"/>
      <c r="O991" s="91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ht="30.0" customHeight="1">
      <c r="A992" s="90"/>
      <c r="B992" s="91"/>
      <c r="C992" s="84"/>
      <c r="D992" s="90"/>
      <c r="E992" s="91"/>
      <c r="F992" s="84"/>
      <c r="G992" s="84"/>
      <c r="H992" s="90"/>
      <c r="I992" s="84"/>
      <c r="J992" s="91"/>
      <c r="K992" s="84"/>
      <c r="L992" s="84"/>
      <c r="M992" s="90"/>
      <c r="N992" s="84"/>
      <c r="O992" s="91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ht="30.0" customHeight="1">
      <c r="A993" s="90"/>
      <c r="B993" s="91"/>
      <c r="C993" s="84"/>
      <c r="D993" s="90"/>
      <c r="E993" s="91"/>
      <c r="F993" s="84"/>
      <c r="G993" s="84"/>
      <c r="H993" s="90"/>
      <c r="I993" s="84"/>
      <c r="J993" s="91"/>
      <c r="K993" s="84"/>
      <c r="L993" s="84"/>
      <c r="M993" s="90"/>
      <c r="N993" s="84"/>
      <c r="O993" s="91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ht="30.0" customHeight="1">
      <c r="A994" s="90"/>
      <c r="B994" s="91"/>
      <c r="C994" s="84"/>
      <c r="D994" s="90"/>
      <c r="E994" s="91"/>
      <c r="F994" s="84"/>
      <c r="G994" s="84"/>
      <c r="H994" s="90"/>
      <c r="I994" s="84"/>
      <c r="J994" s="91"/>
      <c r="K994" s="84"/>
      <c r="L994" s="84"/>
      <c r="M994" s="90"/>
      <c r="N994" s="84"/>
      <c r="O994" s="91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ht="30.0" customHeight="1">
      <c r="A995" s="90"/>
      <c r="B995" s="91"/>
      <c r="C995" s="84"/>
      <c r="D995" s="90"/>
      <c r="E995" s="91"/>
      <c r="F995" s="84"/>
      <c r="G995" s="84"/>
      <c r="H995" s="90"/>
      <c r="I995" s="84"/>
      <c r="J995" s="91"/>
      <c r="K995" s="84"/>
      <c r="L995" s="84"/>
      <c r="M995" s="90"/>
      <c r="N995" s="84"/>
      <c r="O995" s="91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ht="30.0" customHeight="1">
      <c r="A996" s="90"/>
      <c r="B996" s="91"/>
      <c r="C996" s="84"/>
      <c r="D996" s="90"/>
      <c r="E996" s="91"/>
      <c r="F996" s="84"/>
      <c r="G996" s="84"/>
      <c r="H996" s="90"/>
      <c r="I996" s="84"/>
      <c r="J996" s="91"/>
      <c r="K996" s="84"/>
      <c r="L996" s="84"/>
      <c r="M996" s="90"/>
      <c r="N996" s="84"/>
      <c r="O996" s="91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ht="30.0" customHeight="1">
      <c r="A997" s="90"/>
      <c r="B997" s="91"/>
      <c r="C997" s="84"/>
      <c r="D997" s="90"/>
      <c r="E997" s="91"/>
      <c r="F997" s="84"/>
      <c r="G997" s="84"/>
      <c r="H997" s="90"/>
      <c r="I997" s="84"/>
      <c r="J997" s="91"/>
      <c r="K997" s="84"/>
      <c r="L997" s="84"/>
      <c r="M997" s="90"/>
      <c r="N997" s="84"/>
      <c r="O997" s="91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ht="30.0" customHeight="1">
      <c r="A998" s="90"/>
      <c r="B998" s="91"/>
      <c r="C998" s="84"/>
      <c r="D998" s="90"/>
      <c r="E998" s="91"/>
      <c r="F998" s="84"/>
      <c r="G998" s="84"/>
      <c r="H998" s="90"/>
      <c r="I998" s="84"/>
      <c r="J998" s="91"/>
      <c r="K998" s="84"/>
      <c r="L998" s="84"/>
      <c r="M998" s="90"/>
      <c r="N998" s="84"/>
      <c r="O998" s="91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ht="30.0" customHeight="1">
      <c r="A999" s="90"/>
      <c r="B999" s="91"/>
      <c r="C999" s="84"/>
      <c r="D999" s="90"/>
      <c r="E999" s="91"/>
      <c r="F999" s="84"/>
      <c r="G999" s="84"/>
      <c r="H999" s="90"/>
      <c r="I999" s="84"/>
      <c r="J999" s="91"/>
      <c r="K999" s="84"/>
      <c r="L999" s="84"/>
      <c r="M999" s="90"/>
      <c r="N999" s="84"/>
      <c r="O999" s="91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</sheetData>
  <drawing r:id="rId1"/>
</worksheet>
</file>